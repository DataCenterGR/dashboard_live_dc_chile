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aruanvc.sharepoint.com/sites/itr_datacenters/Documentos compartidos/04 Proyectos DC/Proyectos DC Externos/Chile - SEIA/Power BI/"/>
    </mc:Choice>
  </mc:AlternateContent>
  <xr:revisionPtr revIDLastSave="0" documentId="8_{B29B705C-EE06-40B9-A4DB-86BF7FCDBD75}" xr6:coauthVersionLast="47" xr6:coauthVersionMax="47" xr10:uidLastSave="{00000000-0000-0000-0000-000000000000}"/>
  <bookViews>
    <workbookView xWindow="-28920" yWindow="1650" windowWidth="29040" windowHeight="15720" firstSheet="4" activeTab="4" xr2:uid="{00000000-000D-0000-FFFF-FFFF00000000}"/>
  </bookViews>
  <sheets>
    <sheet name="solicitudes" sheetId="1" state="hidden" r:id="rId1"/>
    <sheet name="lista" sheetId="3" state="hidden" r:id="rId2"/>
    <sheet name="Analisis SE 2025" sheetId="2" r:id="rId3"/>
    <sheet name="DC Acceso abierto 2025" sheetId="5" r:id="rId4"/>
    <sheet name="DC SEA  2026" sheetId="8" r:id="rId5"/>
    <sheet name="DC Acceso abierto 2026" sheetId="9" r:id="rId6"/>
  </sheets>
  <definedNames>
    <definedName name="_xlnm._FilterDatabase" localSheetId="2" hidden="1">'Analisis SE 2025'!$B$2:$M$16</definedName>
    <definedName name="_xlnm._FilterDatabase" localSheetId="3" hidden="1">'DC Acceso abierto 2025'!$A$2:$T$23</definedName>
    <definedName name="_xlnm._FilterDatabase" localSheetId="5" hidden="1">'DC Acceso abierto 2026'!$A$1:$T$2641</definedName>
    <definedName name="_xlnm._FilterDatabase" localSheetId="4" hidden="1">'DC SEA  2026'!$A$3:$I$41</definedName>
    <definedName name="_xlnm._FilterDatabase" localSheetId="1" hidden="1">lista!$B$3:$B$11</definedName>
    <definedName name="_xlnm._FilterDatabase" localSheetId="0" hidden="1">solicitudes!$A$1:$AA$119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8" l="1"/>
  <c r="M4" i="8"/>
  <c r="Y4" i="8" s="1"/>
  <c r="P4" i="8"/>
  <c r="S4" i="8"/>
  <c r="W4" i="8"/>
  <c r="Z4" i="8"/>
  <c r="O5" i="8"/>
  <c r="P5" i="8" s="1"/>
  <c r="M5" i="8"/>
  <c r="Y5" i="8" s="1"/>
  <c r="Q5" i="8"/>
  <c r="H5" i="8"/>
  <c r="W5" i="8"/>
  <c r="H7" i="8"/>
  <c r="H8" i="8"/>
  <c r="H9" i="8"/>
  <c r="H10" i="8"/>
  <c r="H11" i="8"/>
  <c r="M6" i="8"/>
  <c r="Y6" i="8" s="1"/>
  <c r="H6" i="8"/>
  <c r="P6" i="8"/>
  <c r="S6" i="8"/>
  <c r="W6" i="8"/>
  <c r="B7" i="8"/>
  <c r="M7" i="8"/>
  <c r="Y7" i="8" s="1"/>
  <c r="P7" i="8"/>
  <c r="S7" i="8"/>
  <c r="W7" i="8"/>
  <c r="B8" i="8"/>
  <c r="M8" i="8"/>
  <c r="Y8" i="8" s="1"/>
  <c r="P8" i="8"/>
  <c r="S8" i="8"/>
  <c r="W8" i="8"/>
  <c r="B9" i="8"/>
  <c r="B10" i="8"/>
  <c r="M10" i="8"/>
  <c r="P10" i="8"/>
  <c r="S10" i="8"/>
  <c r="W10" i="8"/>
  <c r="B11" i="8"/>
  <c r="M11" i="8"/>
  <c r="Y11" i="8" s="1"/>
  <c r="P11" i="8"/>
  <c r="S11" i="8"/>
  <c r="W11" i="8"/>
  <c r="M9" i="8"/>
  <c r="Y9" i="8" s="1"/>
  <c r="P9" i="8"/>
  <c r="S9" i="8"/>
  <c r="W9" i="8"/>
  <c r="AR12" i="8"/>
  <c r="P27" i="8"/>
  <c r="P26" i="8"/>
  <c r="M26" i="8"/>
  <c r="Y26" i="8" s="1"/>
  <c r="P24" i="8"/>
  <c r="P22" i="8"/>
  <c r="P16" i="8"/>
  <c r="P19" i="8"/>
  <c r="M19" i="8"/>
  <c r="P18" i="8"/>
  <c r="M18" i="8"/>
  <c r="P17" i="8"/>
  <c r="M17" i="8"/>
  <c r="Y17" i="8" s="1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AE13" i="8"/>
  <c r="AD13" i="8"/>
  <c r="AC13" i="8"/>
  <c r="AB13" i="8"/>
  <c r="AA13" i="8"/>
  <c r="Z13" i="8"/>
  <c r="Y13" i="8"/>
  <c r="M23" i="8"/>
  <c r="Y23" i="8" s="1"/>
  <c r="W12" i="8"/>
  <c r="W13" i="8"/>
  <c r="W14" i="8"/>
  <c r="W20" i="8"/>
  <c r="W21" i="8"/>
  <c r="W23" i="8"/>
  <c r="W26" i="8"/>
  <c r="W27" i="8"/>
  <c r="W28" i="8"/>
  <c r="P12" i="8"/>
  <c r="P13" i="8"/>
  <c r="X13" i="8" s="1"/>
  <c r="P14" i="8"/>
  <c r="P15" i="8"/>
  <c r="P20" i="8"/>
  <c r="P21" i="8"/>
  <c r="P23" i="8"/>
  <c r="P25" i="8"/>
  <c r="P28" i="8"/>
  <c r="M20" i="8"/>
  <c r="AB20" i="8" s="1"/>
  <c r="M12" i="8"/>
  <c r="AD12" i="8" s="1"/>
  <c r="M14" i="8"/>
  <c r="AC14" i="8" s="1"/>
  <c r="M15" i="8"/>
  <c r="AB15" i="8" s="1"/>
  <c r="M16" i="8"/>
  <c r="AA16" i="8" s="1"/>
  <c r="M21" i="8"/>
  <c r="Y21" i="8" s="1"/>
  <c r="M22" i="8"/>
  <c r="M24" i="8"/>
  <c r="Y24" i="8" s="1"/>
  <c r="M25" i="8"/>
  <c r="AB25" i="8" s="1"/>
  <c r="M27" i="8"/>
  <c r="Y27" i="8" s="1"/>
  <c r="M28" i="8"/>
  <c r="AD28" i="8" s="1"/>
  <c r="AQ36" i="8"/>
  <c r="AQ35" i="8"/>
  <c r="AQ34" i="8"/>
  <c r="AQ33" i="8"/>
  <c r="AR21" i="8"/>
  <c r="AR13" i="8"/>
  <c r="AR14" i="8"/>
  <c r="AR15" i="8"/>
  <c r="AR16" i="8"/>
  <c r="AR17" i="8"/>
  <c r="AR18" i="8"/>
  <c r="AR20" i="8"/>
  <c r="AR22" i="8"/>
  <c r="AR23" i="8"/>
  <c r="AQ13" i="8"/>
  <c r="AQ14" i="8"/>
  <c r="AQ15" i="8"/>
  <c r="AQ16" i="8"/>
  <c r="AQ17" i="8"/>
  <c r="AQ18" i="8"/>
  <c r="AQ20" i="8"/>
  <c r="AQ22" i="8"/>
  <c r="AQ23" i="8"/>
  <c r="AQ12" i="8"/>
  <c r="J5" i="2"/>
  <c r="J10" i="2"/>
  <c r="J16" i="2"/>
  <c r="J3" i="2"/>
  <c r="J6" i="2"/>
  <c r="J7" i="2"/>
  <c r="J8" i="2"/>
  <c r="J15" i="2"/>
  <c r="J11" i="2"/>
  <c r="J12" i="2"/>
  <c r="J13" i="2"/>
  <c r="J14" i="2"/>
  <c r="J4" i="2"/>
  <c r="J9" i="2"/>
  <c r="X4" i="8" l="1"/>
  <c r="Z5" i="8"/>
  <c r="X5" i="8"/>
  <c r="X6" i="8"/>
  <c r="Z6" i="8"/>
  <c r="Z7" i="8"/>
  <c r="AA7" i="8"/>
  <c r="AB7" i="8"/>
  <c r="AC7" i="8"/>
  <c r="AD7" i="8"/>
  <c r="AE7" i="8"/>
  <c r="X7" i="8"/>
  <c r="Z8" i="8"/>
  <c r="AA8" i="8"/>
  <c r="AB8" i="8"/>
  <c r="AC8" i="8"/>
  <c r="AD8" i="8"/>
  <c r="AE8" i="8"/>
  <c r="X8" i="8"/>
  <c r="X18" i="8"/>
  <c r="X19" i="8"/>
  <c r="Y10" i="8"/>
  <c r="AE10" i="8"/>
  <c r="AD10" i="8"/>
  <c r="AC10" i="8"/>
  <c r="AB10" i="8"/>
  <c r="AA10" i="8"/>
  <c r="Z10" i="8"/>
  <c r="X10" i="8"/>
  <c r="X27" i="8"/>
  <c r="AC25" i="8"/>
  <c r="AE25" i="8"/>
  <c r="AE27" i="8"/>
  <c r="AD25" i="8"/>
  <c r="AB11" i="8"/>
  <c r="Z11" i="8"/>
  <c r="AE11" i="8"/>
  <c r="AD11" i="8"/>
  <c r="AC11" i="8"/>
  <c r="AA11" i="8"/>
  <c r="X11" i="8"/>
  <c r="X17" i="8"/>
  <c r="X22" i="8"/>
  <c r="AA25" i="8"/>
  <c r="AA27" i="8"/>
  <c r="Z23" i="8"/>
  <c r="Z25" i="8"/>
  <c r="AB24" i="8"/>
  <c r="AE12" i="8"/>
  <c r="AC12" i="8"/>
  <c r="X14" i="8"/>
  <c r="AD23" i="8"/>
  <c r="X25" i="8"/>
  <c r="X9" i="8"/>
  <c r="Z22" i="8"/>
  <c r="AA20" i="8"/>
  <c r="X21" i="8"/>
  <c r="Y25" i="8"/>
  <c r="AA9" i="8"/>
  <c r="AB9" i="8"/>
  <c r="Y18" i="8"/>
  <c r="AC9" i="8"/>
  <c r="AB27" i="8"/>
  <c r="AD9" i="8"/>
  <c r="AE9" i="8"/>
  <c r="Z9" i="8"/>
  <c r="AD27" i="8"/>
  <c r="X26" i="8"/>
  <c r="Y22" i="8"/>
  <c r="AC20" i="8"/>
  <c r="AB12" i="8"/>
  <c r="Y19" i="8"/>
  <c r="AQ24" i="8"/>
  <c r="AC24" i="8"/>
  <c r="AR24" i="8"/>
  <c r="AC22" i="8"/>
  <c r="AD24" i="8"/>
  <c r="AA12" i="8"/>
  <c r="AC23" i="8"/>
  <c r="AE14" i="8"/>
  <c r="AA14" i="8"/>
  <c r="AA23" i="8"/>
  <c r="AD14" i="8"/>
  <c r="Z12" i="8"/>
  <c r="AB23" i="8"/>
  <c r="AD22" i="8"/>
  <c r="Y12" i="8"/>
  <c r="AB14" i="8"/>
  <c r="X24" i="8"/>
  <c r="X20" i="8"/>
  <c r="Z20" i="8"/>
  <c r="AB22" i="8"/>
  <c r="X12" i="8"/>
  <c r="X23" i="8"/>
  <c r="Y14" i="8"/>
  <c r="X28" i="8"/>
  <c r="Z15" i="8"/>
  <c r="AB28" i="8"/>
  <c r="AE22" i="8"/>
  <c r="X16" i="8"/>
  <c r="Y28" i="8"/>
  <c r="AA22" i="8"/>
  <c r="AC16" i="8"/>
  <c r="AC27" i="8"/>
  <c r="AE23" i="8"/>
  <c r="X15" i="8"/>
  <c r="AC28" i="8"/>
  <c r="AE24" i="8"/>
  <c r="Y16" i="8"/>
  <c r="AD15" i="8"/>
  <c r="AA28" i="8"/>
  <c r="Y15" i="8"/>
  <c r="Z14" i="8"/>
  <c r="AE28" i="8"/>
  <c r="AE15" i="8"/>
  <c r="AC15" i="8"/>
  <c r="Z27" i="8"/>
  <c r="AE16" i="8"/>
  <c r="AA15" i="8"/>
  <c r="AB16" i="8"/>
  <c r="Z28" i="8"/>
  <c r="AE20" i="8"/>
  <c r="Y20" i="8"/>
  <c r="Z16" i="8"/>
  <c r="AD16" i="8"/>
  <c r="AD20" i="8"/>
  <c r="AB29" i="8" l="1"/>
  <c r="AB43" i="8" s="1"/>
  <c r="AA50" i="8" s="1"/>
  <c r="AD29" i="8"/>
  <c r="AD43" i="8" s="1"/>
  <c r="AA51" i="8" s="1"/>
  <c r="AC29" i="8"/>
  <c r="AC43" i="8" s="1"/>
  <c r="AB50" i="8" s="1"/>
  <c r="AE29" i="8"/>
  <c r="AE43" i="8" s="1"/>
  <c r="AB51" i="8" s="1"/>
  <c r="Z29" i="8"/>
  <c r="Z43" i="8" s="1"/>
  <c r="AA49" i="8" s="1"/>
  <c r="AA29" i="8"/>
  <c r="AA43" i="8" s="1"/>
  <c r="AB4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tc={8B6A8D38-6871-42D8-90E3-77C5F0CB1A8E}</author>
  </authors>
  <commentList>
    <comment ref="K2" authorId="0" shapeId="0" xr:uid="{8B6A8D38-6871-42D8-90E3-77C5F0CB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Solo proyectos C3 permiten reconversión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José Stuven Faúndez</author>
    <author>tc={27D61B44-8EEB-4B56-AAB5-B4C25AA25A05}</author>
    <author>tc={9BFC3BDF-1C82-41AC-A2F0-EAF9FEEB7E0B}</author>
    <author>tc={AF645770-7A19-4D78-B753-63FEFEED4A60}</author>
  </authors>
  <commentList>
    <comment ref="M13" authorId="0" shapeId="0" xr:uid="{49066F9D-180A-4BE4-9562-82F89D73D6AF}">
      <text>
        <r>
          <rPr>
            <b/>
            <sz val="9"/>
            <color indexed="81"/>
            <rFont val="Tahoma"/>
            <family val="2"/>
          </rPr>
          <t>Juan José Stuven Faúndez:</t>
        </r>
        <r>
          <rPr>
            <sz val="9"/>
            <color indexed="81"/>
            <rFont val="Tahoma"/>
            <family val="2"/>
          </rPr>
          <t xml:space="preserve">
5 de 625 kw = 3125kw
11 de 2800 kw = 30800 kw 
</t>
        </r>
      </text>
    </comment>
    <comment ref="N17" authorId="1" shapeId="0" xr:uid="{27D61B44-8EEB-4B56-AAB5-B4C25AA25A05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considera la suma:
2x750 kW
1x300 kW</t>
      </text>
    </comment>
    <comment ref="N18" authorId="2" shapeId="0" xr:uid="{9BFC3BDF-1C82-41AC-A2F0-EAF9FEEB7E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considera la suma:
1x750 kW
1x300 kW
</t>
      </text>
    </comment>
    <comment ref="N19" authorId="3" shapeId="0" xr:uid="{AF645770-7A19-4D78-B753-63FEFEED4A6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considera la suma:
2x750 kW
1x300 kW</t>
      </text>
    </comment>
  </commentList>
</comments>
</file>

<file path=xl/sharedStrings.xml><?xml version="1.0" encoding="utf-8"?>
<sst xmlns="http://schemas.openxmlformats.org/spreadsheetml/2006/main" count="42135" uniqueCount="8065">
  <si>
    <t>Id</t>
  </si>
  <si>
    <t>Proyecto</t>
  </si>
  <si>
    <t>Punto de conexión y Nivel de tensión (kV)</t>
  </si>
  <si>
    <t>Tipo (SAC/SUCTD)</t>
  </si>
  <si>
    <t>Estado</t>
  </si>
  <si>
    <t>Zona</t>
  </si>
  <si>
    <t>Clasificación (C1, C2, C3)</t>
  </si>
  <si>
    <t>Observación</t>
  </si>
  <si>
    <t>NUP</t>
  </si>
  <si>
    <t>Empresa Solicitante</t>
  </si>
  <si>
    <t>Tipo</t>
  </si>
  <si>
    <t>Estado Solicitud</t>
  </si>
  <si>
    <t>Fecha Recepción</t>
  </si>
  <si>
    <t>Capacidad [MW]</t>
  </si>
  <si>
    <t>Tipo Proyecto</t>
  </si>
  <si>
    <t>Fecha Estimada Conexión</t>
  </si>
  <si>
    <t>Punto de Conexión</t>
  </si>
  <si>
    <t>Nivel de tension</t>
  </si>
  <si>
    <t>Barra</t>
  </si>
  <si>
    <t>Paño</t>
  </si>
  <si>
    <t>Región</t>
  </si>
  <si>
    <t>Comuna</t>
  </si>
  <si>
    <t>Segmento de Transmisión</t>
  </si>
  <si>
    <t>Fecha emisión informe definitivo</t>
  </si>
  <si>
    <t>Plazo obtención declaración en const</t>
  </si>
  <si>
    <t>Prórroga plazo obtención declaración en const.</t>
  </si>
  <si>
    <t>BESS Monte Águila</t>
  </si>
  <si>
    <t>Grenergy Renovables Pacific Limitada</t>
  </si>
  <si>
    <t>SUCTD</t>
  </si>
  <si>
    <t>Solicitud ingresada</t>
  </si>
  <si>
    <t>22 de julio de 2025 11:23:32</t>
  </si>
  <si>
    <t>240</t>
  </si>
  <si>
    <t>Híbrido</t>
  </si>
  <si>
    <t>22 de enero de 2027 00:00:00</t>
  </si>
  <si>
    <t>S/E Elevadora Monte Águila 33/220 kV</t>
  </si>
  <si>
    <t>Barra media tensión</t>
  </si>
  <si>
    <t>por definir</t>
  </si>
  <si>
    <t>Biobío</t>
  </si>
  <si>
    <t>Cabrero</t>
  </si>
  <si>
    <t>Dedicada</t>
  </si>
  <si>
    <t/>
  </si>
  <si>
    <t>Retiros de Red CRCA Víctor Jara</t>
  </si>
  <si>
    <t>FEHACIENTES</t>
  </si>
  <si>
    <t>Desistida</t>
  </si>
  <si>
    <t>10 de julio de 2025 10:51:20</t>
  </si>
  <si>
    <t>200</t>
  </si>
  <si>
    <t>30 de septiembre de 2025 00:00:00</t>
  </si>
  <si>
    <t>S/E Elevadora PFV Victor Jara</t>
  </si>
  <si>
    <t>BP</t>
  </si>
  <si>
    <t>TBD</t>
  </si>
  <si>
    <t>Tarapacá</t>
  </si>
  <si>
    <t>Pozo Almonte</t>
  </si>
  <si>
    <t>PFV Pinina</t>
  </si>
  <si>
    <t>SAC</t>
  </si>
  <si>
    <t>Detenida a la espera de definición de ingeniería de la obra</t>
  </si>
  <si>
    <t>6 de febrero de 2025 18:01:12</t>
  </si>
  <si>
    <t>90</t>
  </si>
  <si>
    <t>30 de julio de 2030 00:00:00</t>
  </si>
  <si>
    <t>NUEVA S/E VALENTÍN LETELIER 154</t>
  </si>
  <si>
    <t>Barra principal</t>
  </si>
  <si>
    <t>Maule</t>
  </si>
  <si>
    <t>Linares</t>
  </si>
  <si>
    <t>Nacional</t>
  </si>
  <si>
    <t>PFV SAMARA</t>
  </si>
  <si>
    <t>Rechazada</t>
  </si>
  <si>
    <t>6 de febrero de 2025 17:58:03</t>
  </si>
  <si>
    <t>NUEVA S/E MANUEL RODRIGUEZ</t>
  </si>
  <si>
    <t>Barra Principal</t>
  </si>
  <si>
    <t>Metropolitana de Santiago</t>
  </si>
  <si>
    <t>Tiltil</t>
  </si>
  <si>
    <t>PFV TAEL</t>
  </si>
  <si>
    <t>6 de febrero de 2025 17:56:45</t>
  </si>
  <si>
    <t>31 de julio de 2030 00:00:00</t>
  </si>
  <si>
    <t>MANUEL RODRIGUEZ 220 [kV]</t>
  </si>
  <si>
    <t>PFV JAOS</t>
  </si>
  <si>
    <t>6 de febrero de 2025 17:54:47</t>
  </si>
  <si>
    <t>NUEVA S/E LLOLLEO 110</t>
  </si>
  <si>
    <t>Por definir</t>
  </si>
  <si>
    <t>Valparaiso</t>
  </si>
  <si>
    <t>San Antonio</t>
  </si>
  <si>
    <t>PFV DENEB</t>
  </si>
  <si>
    <t>6 de febrero de 2025 17:51:34</t>
  </si>
  <si>
    <t>NUEVA S/E RELONCAVÍ 110</t>
  </si>
  <si>
    <t>Los Lagos</t>
  </si>
  <si>
    <t>Puerto Montt</t>
  </si>
  <si>
    <t>PFV Encina</t>
  </si>
  <si>
    <t>6 de febrero de 2025 17:48:30</t>
  </si>
  <si>
    <t>NUEVA S/E VALENTÍN LETELIER 66 kV</t>
  </si>
  <si>
    <t>PFV AMAYA</t>
  </si>
  <si>
    <t>6 de febrero de 2025 17:44:29</t>
  </si>
  <si>
    <t>S/E NOS 110 [kV]</t>
  </si>
  <si>
    <t>San Bernardo</t>
  </si>
  <si>
    <t>PFV El Vencedor II</t>
  </si>
  <si>
    <t>22 de noviembre de 2024 16:14:23</t>
  </si>
  <si>
    <t>800</t>
  </si>
  <si>
    <t>PFV Vencedor II</t>
  </si>
  <si>
    <t>Nueva Diagonal</t>
  </si>
  <si>
    <t>Por Definir</t>
  </si>
  <si>
    <t>Antofagasta</t>
  </si>
  <si>
    <t>Taltal</t>
  </si>
  <si>
    <t>PFV El Vencedor 1</t>
  </si>
  <si>
    <t>22 de noviembre de 2024 16:14:21</t>
  </si>
  <si>
    <t>400</t>
  </si>
  <si>
    <t>S/E Parinas 220 kV</t>
  </si>
  <si>
    <t>Nueva Media Diagonal</t>
  </si>
  <si>
    <t>PFV Vanz</t>
  </si>
  <si>
    <t>22 de noviembre de 2024 16:14:18</t>
  </si>
  <si>
    <t>S/E Monte Mina 220 kV</t>
  </si>
  <si>
    <t>PFV TITÁN</t>
  </si>
  <si>
    <t>S/E Entre Ríos 220 kV</t>
  </si>
  <si>
    <t>PFV ATOM</t>
  </si>
  <si>
    <t>22 de noviembre de 2024 16:14:17</t>
  </si>
  <si>
    <t>30 de junio de 2030 00:00:00</t>
  </si>
  <si>
    <t>PFV TARVOS</t>
  </si>
  <si>
    <t>22 de noviembre de 2024 16:14:16</t>
  </si>
  <si>
    <t>S/E Kimal 220 kV</t>
  </si>
  <si>
    <t>Maria Elena</t>
  </si>
  <si>
    <t>PFV FOBOS</t>
  </si>
  <si>
    <t>22 de noviembre de 2024 16:14:15</t>
  </si>
  <si>
    <t>700</t>
  </si>
  <si>
    <t>BESS Víctor Jara 200 MW 6.5 horas</t>
  </si>
  <si>
    <t>Proyecto declarado en construccion</t>
  </si>
  <si>
    <t>19 de julio de 2024 09:33:07</t>
  </si>
  <si>
    <t>31 de enero de 2026 00:00:00</t>
  </si>
  <si>
    <t>S/E Victor Jara 33 kV</t>
  </si>
  <si>
    <t>02/2025</t>
  </si>
  <si>
    <t>BESS ORTOSIA</t>
  </si>
  <si>
    <t>Observaciones a Informe de Autorización de Conexión Preliminar</t>
  </si>
  <si>
    <t>27 de marzo de 2024 13:06:12</t>
  </si>
  <si>
    <t>31 de marzo de 2028 00:00:00</t>
  </si>
  <si>
    <t>S/E Torquemada 110 KV</t>
  </si>
  <si>
    <t>Concón</t>
  </si>
  <si>
    <t>Zonal</t>
  </si>
  <si>
    <t>PFV + BESS Triqueta</t>
  </si>
  <si>
    <t>19 de marzo de 2024 17:30:57</t>
  </si>
  <si>
    <t>130</t>
  </si>
  <si>
    <t>31 de agosto de 2026 00:00:00</t>
  </si>
  <si>
    <t>S/E Triqueta entre las estructuras 112 y 113 de la línea Quillota - Piuquenes en 220 kV</t>
  </si>
  <si>
    <t>JT1</t>
  </si>
  <si>
    <t>Catemu</t>
  </si>
  <si>
    <t>BESS Metis</t>
  </si>
  <si>
    <t>Proyecto autorizado para declararse en construcción</t>
  </si>
  <si>
    <t>18 de marzo de 2024 11:55:07</t>
  </si>
  <si>
    <t>S/E Quillota 110 [kV]</t>
  </si>
  <si>
    <t>Quillota</t>
  </si>
  <si>
    <t>26/12/2024 12:16:05</t>
  </si>
  <si>
    <t>12/2026</t>
  </si>
  <si>
    <t>BESS Telesto II</t>
  </si>
  <si>
    <t>14 de marzo de 2024 14:49:31</t>
  </si>
  <si>
    <t>20</t>
  </si>
  <si>
    <t>S/E Salamanca 23 [kV]</t>
  </si>
  <si>
    <t>Barra Principal N°2</t>
  </si>
  <si>
    <t>Nuevo Paño E8</t>
  </si>
  <si>
    <t>Coquimbo</t>
  </si>
  <si>
    <t>Salamanca</t>
  </si>
  <si>
    <t>16/12/2024 08:40:55</t>
  </si>
  <si>
    <t>Bess Kore</t>
  </si>
  <si>
    <t>13 de febrero de 2024 11:20:35</t>
  </si>
  <si>
    <t>S/E Alto Jahuel 110 [kV]</t>
  </si>
  <si>
    <t>Buin</t>
  </si>
  <si>
    <t>Bess Carpo</t>
  </si>
  <si>
    <t>13 de febrero de 2024 11:12:44</t>
  </si>
  <si>
    <t>150</t>
  </si>
  <si>
    <t>S/E Alto Jahuel 154 [kV]</t>
  </si>
  <si>
    <t>21/01/2025 18:32:23</t>
  </si>
  <si>
    <t>01/2027</t>
  </si>
  <si>
    <t>BESS Tebe</t>
  </si>
  <si>
    <t>13 de febrero de 2024 10:58:31</t>
  </si>
  <si>
    <t>S/E Alto Jahuel 220 kV</t>
  </si>
  <si>
    <t>BESS Elara</t>
  </si>
  <si>
    <t>9 de febrero de 2024 10:24:30</t>
  </si>
  <si>
    <t>S/E Totihue 66 kV</t>
  </si>
  <si>
    <t>Libertador General Bernardo OHiggins</t>
  </si>
  <si>
    <t>Rengo</t>
  </si>
  <si>
    <t>BESS Cálice</t>
  </si>
  <si>
    <t>Elaboración Informe de Autorización de Conexión Preliminar</t>
  </si>
  <si>
    <t>2 de febrero de 2024 10:02:12</t>
  </si>
  <si>
    <t>S/E Caldera 110 kV</t>
  </si>
  <si>
    <t>H4</t>
  </si>
  <si>
    <t>Atacama</t>
  </si>
  <si>
    <t>Caldera</t>
  </si>
  <si>
    <t>BESS Calé</t>
  </si>
  <si>
    <t>12 de enero de 2024 01:04:04</t>
  </si>
  <si>
    <t>S/E Bajos de Mena 110 kV</t>
  </si>
  <si>
    <t>Puente Alto</t>
  </si>
  <si>
    <t>10/10/2024 11:18:10</t>
  </si>
  <si>
    <t>10/2026</t>
  </si>
  <si>
    <t>BESS Hiperion</t>
  </si>
  <si>
    <t>Desarrollo de estudios y/o antecedentes</t>
  </si>
  <si>
    <t>11 de enero de 2024 23:31:36</t>
  </si>
  <si>
    <t>S/E Las Canteras (Ex S/E Seccionadora Colina) 110 kV</t>
  </si>
  <si>
    <t>Quilicura</t>
  </si>
  <si>
    <t>Ampliación PMG Yellowstone</t>
  </si>
  <si>
    <t>18 de diciembre de 2023 12:56:49</t>
  </si>
  <si>
    <t>9</t>
  </si>
  <si>
    <t>30 de abril de 2025 00:00:00</t>
  </si>
  <si>
    <t>S/E Yellowstone 13,2 kV</t>
  </si>
  <si>
    <t>Marchigüe</t>
  </si>
  <si>
    <t>12/2024</t>
  </si>
  <si>
    <t>Ampliación BESS Gabriela 220 MW</t>
  </si>
  <si>
    <t>14 de diciembre de 2023 15:38:28</t>
  </si>
  <si>
    <t>220</t>
  </si>
  <si>
    <t>30 de junio de 2025 00:00:00</t>
  </si>
  <si>
    <t>S/E Elevadora PFV Gabriela 33 kV</t>
  </si>
  <si>
    <t>Sierra Gorda</t>
  </si>
  <si>
    <t>07/2024</t>
  </si>
  <si>
    <t>BESS Víctor Jara 200 MW</t>
  </si>
  <si>
    <t>14 de diciembre de 2023 15:31:58</t>
  </si>
  <si>
    <t>31 de enero de 2027 00:00:00</t>
  </si>
  <si>
    <t>S/E Elevadora PFV Víctor Jara 33 kV</t>
  </si>
  <si>
    <t>01/2026</t>
  </si>
  <si>
    <t>PFV Triqueta</t>
  </si>
  <si>
    <t>24 de noviembre de 2023 13:52:38</t>
  </si>
  <si>
    <t>Linea Quillota - Piuquenes</t>
  </si>
  <si>
    <t>19/03/2024 17:36:18</t>
  </si>
  <si>
    <t>03/2024</t>
  </si>
  <si>
    <t>BESS Sao</t>
  </si>
  <si>
    <t>3 de noviembre de 2023 20:22:04</t>
  </si>
  <si>
    <t>30 de junio de 2027 00:00:00</t>
  </si>
  <si>
    <t>S/E Tinguiririca 220 kV</t>
  </si>
  <si>
    <t>Media diagonal</t>
  </si>
  <si>
    <t>Placilla</t>
  </si>
  <si>
    <t>BESS Nereida</t>
  </si>
  <si>
    <t>3 de noviembre de 2023 20:02:38</t>
  </si>
  <si>
    <t>S/E Seccionadora El Guindal 110 kV</t>
  </si>
  <si>
    <t>Bess Proteo</t>
  </si>
  <si>
    <t>3 de noviembre de 2023 20:00:57</t>
  </si>
  <si>
    <t>Tinguiririca 220 kV</t>
  </si>
  <si>
    <t>Media Diagonal</t>
  </si>
  <si>
    <t>BESS Proteo</t>
  </si>
  <si>
    <t>3 de noviembre de 2023 19:55:51</t>
  </si>
  <si>
    <t>50</t>
  </si>
  <si>
    <t>S/E Santa Cruz 66 kV</t>
  </si>
  <si>
    <t>Santa Cruz</t>
  </si>
  <si>
    <t>BESS Despina</t>
  </si>
  <si>
    <t>3 de noviembre de 2023 19:54:53</t>
  </si>
  <si>
    <t>S/E Pachacama 110 kV</t>
  </si>
  <si>
    <t xml:space="preserve">por definir </t>
  </si>
  <si>
    <t>La Calera</t>
  </si>
  <si>
    <t>3 de noviembre de 2023 19:51:22</t>
  </si>
  <si>
    <t>media diagonal</t>
  </si>
  <si>
    <t>BESS Talasa</t>
  </si>
  <si>
    <t>3 de noviembre de 2023 19:49:45</t>
  </si>
  <si>
    <t>S/E El Pimiento 110kV</t>
  </si>
  <si>
    <t>Melipilla</t>
  </si>
  <si>
    <t>BESS Neso</t>
  </si>
  <si>
    <t>3 de noviembre de 2023 19:36:38</t>
  </si>
  <si>
    <t>S/E Linderos 154 kV</t>
  </si>
  <si>
    <t>Linderos</t>
  </si>
  <si>
    <t>PV+BESS Hipocampo</t>
  </si>
  <si>
    <t>3 de noviembre de 2023 19:30:14</t>
  </si>
  <si>
    <t>S/E Nueva Litueche 110 kV</t>
  </si>
  <si>
    <t>SE Litueche</t>
  </si>
  <si>
    <t>Litueche</t>
  </si>
  <si>
    <t xml:space="preserve">BESS Tritón </t>
  </si>
  <si>
    <t>3 de noviembre de 2023 19:05:25</t>
  </si>
  <si>
    <t>S/E Seccionadora El Pimiento 220 kV</t>
  </si>
  <si>
    <t xml:space="preserve">Media Diagonal </t>
  </si>
  <si>
    <t>BESS Bio Bio</t>
  </si>
  <si>
    <t>4 de septiembre de 2023 17:10:48</t>
  </si>
  <si>
    <t>31 de diciembre de 2027 00:00:00</t>
  </si>
  <si>
    <t>S/E Lagunillas 220 kV</t>
  </si>
  <si>
    <t>Media Diagonal J14-J15</t>
  </si>
  <si>
    <t>J14-J15</t>
  </si>
  <si>
    <t>Coronel</t>
  </si>
  <si>
    <t>15/07/2024 17:49:55</t>
  </si>
  <si>
    <t>07/2026</t>
  </si>
  <si>
    <t>Bess Santa Rosa</t>
  </si>
  <si>
    <t>4 de septiembre de 2023 16:00:04</t>
  </si>
  <si>
    <t>S/E Hualqui 220 kV</t>
  </si>
  <si>
    <t>Paño J12 S/E Hualqui</t>
  </si>
  <si>
    <t>J12</t>
  </si>
  <si>
    <t>Hualqui</t>
  </si>
  <si>
    <t>BESS Varón</t>
  </si>
  <si>
    <t>4 de septiembre de 2023 15:55:58</t>
  </si>
  <si>
    <t>S/E La Pólvora 220 kV</t>
  </si>
  <si>
    <t>Media diagonal J14-J15</t>
  </si>
  <si>
    <t>J14-15</t>
  </si>
  <si>
    <t>Valparaíso</t>
  </si>
  <si>
    <t>PFV + BESS Carrizalillo</t>
  </si>
  <si>
    <t>4 de septiembre de 2023 15:49:03</t>
  </si>
  <si>
    <t>S/E Don Héctor 220 kV</t>
  </si>
  <si>
    <t>Media Diagonal J20-J21</t>
  </si>
  <si>
    <t>J20-J21</t>
  </si>
  <si>
    <t>Vallenar</t>
  </si>
  <si>
    <t>PMG Taruca</t>
  </si>
  <si>
    <t>Audiencia y antecedentes adicionales</t>
  </si>
  <si>
    <t>4 de mayo de 2023 10:41:20</t>
  </si>
  <si>
    <t>30 de junio de 2026 00:00:00</t>
  </si>
  <si>
    <t>S/E Tap Off La Cruz 23 kV</t>
  </si>
  <si>
    <t>Barra 23 kV</t>
  </si>
  <si>
    <t>E2</t>
  </si>
  <si>
    <t>PMG Chungungo</t>
  </si>
  <si>
    <t>Evaluación Admisibilidad</t>
  </si>
  <si>
    <t>3 de mayo de 2023 17:52:44</t>
  </si>
  <si>
    <t>Solar</t>
  </si>
  <si>
    <t>31 de diciembre de 2026 00:00:00</t>
  </si>
  <si>
    <t>S/E Minera Franke 23 kV</t>
  </si>
  <si>
    <t>n/i</t>
  </si>
  <si>
    <t>E6</t>
  </si>
  <si>
    <t>PFV Monte Águila</t>
  </si>
  <si>
    <t>Proyecto Autorizado para Declararse en Construcción</t>
  </si>
  <si>
    <t>30 de diciembre de 2022 00:40:39</t>
  </si>
  <si>
    <t>Línea 2x220 kV Santa María - Charrúa</t>
  </si>
  <si>
    <t>07/06/2023 15:53:32</t>
  </si>
  <si>
    <t>04/2025</t>
  </si>
  <si>
    <t>PFV Gabriela</t>
  </si>
  <si>
    <t>Proyecto declarado en construcción</t>
  </si>
  <si>
    <t>9 de diciembre de 2022 13:40:15</t>
  </si>
  <si>
    <t>Línea El Cobre - Gaby 220 kV</t>
  </si>
  <si>
    <t>Derivación a 9 km de Gaby</t>
  </si>
  <si>
    <t>N/A</t>
  </si>
  <si>
    <t>16/08/2023 17:06:51</t>
  </si>
  <si>
    <t>08/2025</t>
  </si>
  <si>
    <t>PFV Bonasort</t>
  </si>
  <si>
    <t>16 de noviembre de 2022 12:39:33</t>
  </si>
  <si>
    <t>6.8</t>
  </si>
  <si>
    <t>31 de octubre de 2024 00:00:00</t>
  </si>
  <si>
    <t>S/E Aguas Blancas 13 kV</t>
  </si>
  <si>
    <t>Celda</t>
  </si>
  <si>
    <t>Celda a definir</t>
  </si>
  <si>
    <t>20/03/2023 15:07:36</t>
  </si>
  <si>
    <t>03/2023</t>
  </si>
  <si>
    <t>PFV La Ruca</t>
  </si>
  <si>
    <t>14 de septiembre de 2022 17:58:03</t>
  </si>
  <si>
    <t>100</t>
  </si>
  <si>
    <t>Fecha inválida</t>
  </si>
  <si>
    <t>S/E Seccionadora La Ruca 110 kV</t>
  </si>
  <si>
    <t>H8</t>
  </si>
  <si>
    <t>Ovalle</t>
  </si>
  <si>
    <t>PFV Buli</t>
  </si>
  <si>
    <t>14 de septiembre de 2022 17:46:21</t>
  </si>
  <si>
    <t xml:space="preserve">S/E Seccionadora Buli 154 kV </t>
  </si>
  <si>
    <t>H6</t>
  </si>
  <si>
    <t>Ñuble</t>
  </si>
  <si>
    <t>San Carlos</t>
  </si>
  <si>
    <t>PFV Chanqueahue</t>
  </si>
  <si>
    <t>14 de septiembre de 2022 17:45:39</t>
  </si>
  <si>
    <t>250</t>
  </si>
  <si>
    <t>S/E Seccionadora Totihue 220 kV</t>
  </si>
  <si>
    <t>Barra 2</t>
  </si>
  <si>
    <t>H1</t>
  </si>
  <si>
    <t>PFV Rumay</t>
  </si>
  <si>
    <t>14 de septiembre de 2022 17:44:31</t>
  </si>
  <si>
    <t>S/E Don Goyo 220 kV</t>
  </si>
  <si>
    <t>J10</t>
  </si>
  <si>
    <t>PFV Jicuri</t>
  </si>
  <si>
    <t>15 de junio de 2022 19:21:20</t>
  </si>
  <si>
    <t>31 de diciembre de 2024 00:00:00</t>
  </si>
  <si>
    <t>Línea Central Los Cipreses - Itahue</t>
  </si>
  <si>
    <t>Circuito C2</t>
  </si>
  <si>
    <t>1 paño por definir</t>
  </si>
  <si>
    <t>Río Claro</t>
  </si>
  <si>
    <t>21/03/2023 21:55:39</t>
  </si>
  <si>
    <t>PV Triqueta</t>
  </si>
  <si>
    <t>10 de junio de 2022 19:39:00</t>
  </si>
  <si>
    <t>Línea Quillota - Los Piuquenes</t>
  </si>
  <si>
    <t>doble barra</t>
  </si>
  <si>
    <t>PFV Lamida</t>
  </si>
  <si>
    <t>29 de abril de 2022 11:17:00</t>
  </si>
  <si>
    <t>Línea ralco - Charrúa 220 kV</t>
  </si>
  <si>
    <t>Circuito C1</t>
  </si>
  <si>
    <t>C1</t>
  </si>
  <si>
    <t>Quilleco</t>
  </si>
  <si>
    <t>PFV Manto Solar</t>
  </si>
  <si>
    <t>21 de septiembre de 2021 18:31:04</t>
  </si>
  <si>
    <t>58</t>
  </si>
  <si>
    <t>30 de diciembre de 2023 00:00:00</t>
  </si>
  <si>
    <t>Linea tap Barriles - Mantos de la Luna</t>
  </si>
  <si>
    <t>Derivacion</t>
  </si>
  <si>
    <t>Tocopilla</t>
  </si>
  <si>
    <t>PFV San Carlos</t>
  </si>
  <si>
    <t>8 de septiembre de 2021 09:50:53</t>
  </si>
  <si>
    <t>31 de diciembre de 2023 00:00:00</t>
  </si>
  <si>
    <t>S/E San Carlos 66 kV</t>
  </si>
  <si>
    <t>Ampliación de barra definido en el Decreto 418/2017</t>
  </si>
  <si>
    <t>Nuevo paño de conexión</t>
  </si>
  <si>
    <t>26/03/2024 00:00:00</t>
  </si>
  <si>
    <t>PE Lawal 100 MW fase 2</t>
  </si>
  <si>
    <t>12 de agosto de 2021 19:38:23</t>
  </si>
  <si>
    <t>Eólico</t>
  </si>
  <si>
    <t>SE Nueva Pichirropulli</t>
  </si>
  <si>
    <t>Los Ríos</t>
  </si>
  <si>
    <t>Paillaco</t>
  </si>
  <si>
    <t>PE Demeter 50 MW</t>
  </si>
  <si>
    <t>11 de agosto de 2021 12:17:10</t>
  </si>
  <si>
    <t>31 de diciembre de 2025 00:00:00</t>
  </si>
  <si>
    <t>SE Coiquen</t>
  </si>
  <si>
    <t>B2</t>
  </si>
  <si>
    <t>Quirihue</t>
  </si>
  <si>
    <t>PE Eleusis 300 MW</t>
  </si>
  <si>
    <t>11 de agosto de 2021 12:00:31</t>
  </si>
  <si>
    <t>300</t>
  </si>
  <si>
    <t>26 de febrero de 2027 00:00:00</t>
  </si>
  <si>
    <t>SE Don Goyo</t>
  </si>
  <si>
    <t>Barra 1</t>
  </si>
  <si>
    <t>J9</t>
  </si>
  <si>
    <t>PFV Amanita dos</t>
  </si>
  <si>
    <t>12 de febrero de 2021 16:33:06</t>
  </si>
  <si>
    <t>30</t>
  </si>
  <si>
    <t>30 de diciembre de 2022 00:00:00</t>
  </si>
  <si>
    <t>SE Lo Prado</t>
  </si>
  <si>
    <t>C4</t>
  </si>
  <si>
    <t>Pudahuel</t>
  </si>
  <si>
    <t>PFV El Indio 80 MW</t>
  </si>
  <si>
    <t>5 de octubre de 2020 13:57:33</t>
  </si>
  <si>
    <t>80</t>
  </si>
  <si>
    <t>30 de diciembre de 2021 00:00:00</t>
  </si>
  <si>
    <t>SE La Ruca</t>
  </si>
  <si>
    <t>PFV Tamango 40 MW</t>
  </si>
  <si>
    <t>5 de octubre de 2020 13:00:37</t>
  </si>
  <si>
    <t>40</t>
  </si>
  <si>
    <t>SE Paso Hondo</t>
  </si>
  <si>
    <t>Retiro</t>
  </si>
  <si>
    <t>24/03/2023 15:38:56</t>
  </si>
  <si>
    <t>09/2023</t>
  </si>
  <si>
    <t>19 de agosto de 2020 00:40:40</t>
  </si>
  <si>
    <t>29 de diciembre de 2021 00:00:00</t>
  </si>
  <si>
    <t>SE Tap Off Tamango 66 kV</t>
  </si>
  <si>
    <t>Cauquenes</t>
  </si>
  <si>
    <t>PFV Caspana 40 MW</t>
  </si>
  <si>
    <t>19 de agosto de 2020 00:35:39</t>
  </si>
  <si>
    <t>SE Tap Off Caspana 66 kV</t>
  </si>
  <si>
    <t>Bulnes</t>
  </si>
  <si>
    <t>PFV Socaire 35 MW</t>
  </si>
  <si>
    <t>19 de agosto de 2020 00:30:50</t>
  </si>
  <si>
    <t>35</t>
  </si>
  <si>
    <t>SE Tap Off Socaire 66 kV</t>
  </si>
  <si>
    <t>Longaví</t>
  </si>
  <si>
    <t>PFV Lascar 50 MW</t>
  </si>
  <si>
    <t>13 de agosto de 2020 18:06:00</t>
  </si>
  <si>
    <t>SE Tap Off Lascar 66 kV</t>
  </si>
  <si>
    <t>Peralillo</t>
  </si>
  <si>
    <t>PFV Llaima 40 MW</t>
  </si>
  <si>
    <t>13 de agosto de 2020 17:46:18</t>
  </si>
  <si>
    <t>SE Tap Off Llaima 66 kV</t>
  </si>
  <si>
    <t>San Javier</t>
  </si>
  <si>
    <t>PFV Trapiche 150 MW</t>
  </si>
  <si>
    <t>13 de agosto de 2020 16:44:16</t>
  </si>
  <si>
    <t>SE Seccionadora Trapiche 220 kV</t>
  </si>
  <si>
    <t>Petorca</t>
  </si>
  <si>
    <t>PE Llancahue 40  MW</t>
  </si>
  <si>
    <t>13 de agosto de 2020 16:29:26</t>
  </si>
  <si>
    <t>SE El Laurel (Nueva Valdivia) 66 kV</t>
  </si>
  <si>
    <t>Barra N 1</t>
  </si>
  <si>
    <t>B1</t>
  </si>
  <si>
    <t>Valdivia</t>
  </si>
  <si>
    <t>PFV Victor Jara 200 MW</t>
  </si>
  <si>
    <t>12 de agosto de 2020 14:24:19</t>
  </si>
  <si>
    <t>31 de enero de 2023 00:00:00</t>
  </si>
  <si>
    <t>SE Pozo Almonte 220 kV</t>
  </si>
  <si>
    <t>Barra sección N2</t>
  </si>
  <si>
    <t>J4</t>
  </si>
  <si>
    <t>29/12/2022 12:25:30</t>
  </si>
  <si>
    <t>01/2024</t>
  </si>
  <si>
    <t>01/2025</t>
  </si>
  <si>
    <t>PE Anti 75 MW</t>
  </si>
  <si>
    <t>10 de agosto de 2020 14:39:42</t>
  </si>
  <si>
    <t>75</t>
  </si>
  <si>
    <t>20 de marzo de 2025 00:00:00</t>
  </si>
  <si>
    <t>SE Antillanca 110 kV</t>
  </si>
  <si>
    <t>Puyehue</t>
  </si>
  <si>
    <t>PE Corcovado 60 MW</t>
  </si>
  <si>
    <t>4 de agosto de 2020 19:19:09</t>
  </si>
  <si>
    <t>60</t>
  </si>
  <si>
    <t>SE La mision 66 kV</t>
  </si>
  <si>
    <t>B6</t>
  </si>
  <si>
    <t>Osorno</t>
  </si>
  <si>
    <t>PMG Clementine 9 MW</t>
  </si>
  <si>
    <t>9 de julio de 2020 15:35:32</t>
  </si>
  <si>
    <t>1 de diciembre de 2021 00:00:00</t>
  </si>
  <si>
    <t>SE San Clemente 13,8 kV</t>
  </si>
  <si>
    <t>San Clemente</t>
  </si>
  <si>
    <t>PMG Yellowstone 7 MW</t>
  </si>
  <si>
    <t>9 de julio de 2020 15:26:33</t>
  </si>
  <si>
    <t>7</t>
  </si>
  <si>
    <t>S/E Marchigue 13,2 kV</t>
  </si>
  <si>
    <t>04/04/2022 09:52:36</t>
  </si>
  <si>
    <t>PFV Queulat</t>
  </si>
  <si>
    <t>6 de julio de 2020 02:00:00</t>
  </si>
  <si>
    <t>30 de marzo de 2025 00:00:00</t>
  </si>
  <si>
    <t>S/E Nueva Casablanca</t>
  </si>
  <si>
    <t>B3</t>
  </si>
  <si>
    <t>Casablanca</t>
  </si>
  <si>
    <t>PMG Parque Fotovoltaico Pampa Unión</t>
  </si>
  <si>
    <t>1 de julio de 2020 00:00:00</t>
  </si>
  <si>
    <t>11 de enero de 2021 00:00:00</t>
  </si>
  <si>
    <t>S/E Sierra Gorda 33 kV</t>
  </si>
  <si>
    <t>N/I</t>
  </si>
  <si>
    <t>PMG Parque Fotovoltaico Pudu</t>
  </si>
  <si>
    <t>S/E Lince 23 kV</t>
  </si>
  <si>
    <t>Mejillones</t>
  </si>
  <si>
    <t>PMG PFV Saya</t>
  </si>
  <si>
    <t>4 de mayo de 2020 00:00:00</t>
  </si>
  <si>
    <t>30 de noviembre de 2021 00:00:00</t>
  </si>
  <si>
    <t>S/E Tap Off Dolores 23 kV</t>
  </si>
  <si>
    <t>Huara</t>
  </si>
  <si>
    <t>PMG PFV Zapiga</t>
  </si>
  <si>
    <t>PMG Saya</t>
  </si>
  <si>
    <t>16 de abril de 2020 00:00:00</t>
  </si>
  <si>
    <t>PMG Zapiga</t>
  </si>
  <si>
    <t>PFV Lunar</t>
  </si>
  <si>
    <t>25 de febrero de 2020 00:00:00</t>
  </si>
  <si>
    <t>20 de diciembre de 2022 00:00:00</t>
  </si>
  <si>
    <t>S/E Mantos de la Luna 23 kV</t>
  </si>
  <si>
    <t>29/09/2022 16:09:01</t>
  </si>
  <si>
    <t>09/2022</t>
  </si>
  <si>
    <t>21 de febrero de 2020 00:00:00</t>
  </si>
  <si>
    <t>10/2022</t>
  </si>
  <si>
    <t>04/2023</t>
  </si>
  <si>
    <t>PE Lawal</t>
  </si>
  <si>
    <t>7 de febrero de 2020 00:00:00</t>
  </si>
  <si>
    <t>28 de febrero de 2022 00:00:00</t>
  </si>
  <si>
    <t>S/E Nueva Pichirropulli 220 kV</t>
  </si>
  <si>
    <t>Parque Fotovoltaico Adelma</t>
  </si>
  <si>
    <t>16 de enero de 2020 00:00:00</t>
  </si>
  <si>
    <t>11 de enero de 2020 00:00:00</t>
  </si>
  <si>
    <t>S/E Linares Norte 13,2 kV</t>
  </si>
  <si>
    <t>Parque Fotovoltaico Linar</t>
  </si>
  <si>
    <t>14 de enero de 2020 00:00:00</t>
  </si>
  <si>
    <t>Parque Fotovoltaico Mirador</t>
  </si>
  <si>
    <t>6</t>
  </si>
  <si>
    <t>20 de diciembre de 2023 00:00:00</t>
  </si>
  <si>
    <t>S/E Mirador 23 kV     - S/E Travesía</t>
  </si>
  <si>
    <t>Copiapó</t>
  </si>
  <si>
    <t>13/05/2022 13:08:10</t>
  </si>
  <si>
    <t>PMG Parque Fotovoltaico Bonasort</t>
  </si>
  <si>
    <t>S/E Aguas Blancas 13,2 kV</t>
  </si>
  <si>
    <t>Celda C8 proyectada</t>
  </si>
  <si>
    <t>29/09/2022 15:59:29</t>
  </si>
  <si>
    <t>PMG Parque Fotovoltaico Flamenco</t>
  </si>
  <si>
    <t>S/E Manto Verde</t>
  </si>
  <si>
    <t>Chañaral</t>
  </si>
  <si>
    <t>PMG Parque Fotovoltaico Puelma</t>
  </si>
  <si>
    <t>S/E Spence 23 kV</t>
  </si>
  <si>
    <t>Barra 1 23 kV</t>
  </si>
  <si>
    <t>PMG Parque Fotovoltaico Tambillo</t>
  </si>
  <si>
    <t>S/E Jorquera 23 kV</t>
  </si>
  <si>
    <t>Tierra Amarilla</t>
  </si>
  <si>
    <t>PMG Travesía</t>
  </si>
  <si>
    <t>27 de diciembre de 2019 00:00:00</t>
  </si>
  <si>
    <t>S/E Travesía 23 kV</t>
  </si>
  <si>
    <t>12/05/2022 19:41:09</t>
  </si>
  <si>
    <t>Parque Fotovoltaico Violeta</t>
  </si>
  <si>
    <t>26 de diciembre de 2019 00:00:00</t>
  </si>
  <si>
    <t>S/E Roncacho 220 kV</t>
  </si>
  <si>
    <t>Arica y Parinacota</t>
  </si>
  <si>
    <t>Camarones</t>
  </si>
  <si>
    <t>PMG Parque Fotovoltaico Tamarugal</t>
  </si>
  <si>
    <t>19 de noviembre de 2019 00:00:00</t>
  </si>
  <si>
    <t>8 de enero de 2021 00:00:00</t>
  </si>
  <si>
    <t>S/E Tamarugal 23 kV</t>
  </si>
  <si>
    <t>PMG Parque Fotovoltaico Tamarugal II</t>
  </si>
  <si>
    <t>E7</t>
  </si>
  <si>
    <t>PMG Parque Fotovoltaico Chañar (Grenergy)</t>
  </si>
  <si>
    <t>12 de octubre de 2019 00:00:00</t>
  </si>
  <si>
    <t>S/E Los Colorados 13,2 kV</t>
  </si>
  <si>
    <t>Huasco</t>
  </si>
  <si>
    <t>PMG Parque Fotovoltaico Chungungo</t>
  </si>
  <si>
    <t>Parque Fotovoltaico Gabriela</t>
  </si>
  <si>
    <t>4 de octubre de 2019 00:00:00</t>
  </si>
  <si>
    <t>S/E Gaby 220 kV</t>
  </si>
  <si>
    <t>PMG Cóndor</t>
  </si>
  <si>
    <t>8 de septiembre de 2019 00:00:00</t>
  </si>
  <si>
    <t>S/E Alcones 23 kV</t>
  </si>
  <si>
    <t>E3</t>
  </si>
  <si>
    <t>PMG Pangui</t>
  </si>
  <si>
    <t>29 de abril de 2021 00:00:00</t>
  </si>
  <si>
    <t>S/E Calama 23 kV</t>
  </si>
  <si>
    <t>Calama</t>
  </si>
  <si>
    <t>PMG Wallkon</t>
  </si>
  <si>
    <t>Parque Fotovoltaico Algarrobal</t>
  </si>
  <si>
    <t>20 de agosto de 2019 00:00:00</t>
  </si>
  <si>
    <t>4 de enero de 2022 00:00:00</t>
  </si>
  <si>
    <t>S/E Algarrobal 220 kV</t>
  </si>
  <si>
    <t>Barra 2 1</t>
  </si>
  <si>
    <t>03/04/2025 00:00:00</t>
  </si>
  <si>
    <t>Parque Fotovoltaico Yaru</t>
  </si>
  <si>
    <t>S/E Nueva Cardones 220 kV</t>
  </si>
  <si>
    <t>Barra 220 kV</t>
  </si>
  <si>
    <t>PMG Tupa Solar</t>
  </si>
  <si>
    <t>10 de agosto de 2019 00:00:00</t>
  </si>
  <si>
    <t>S/E La Cascada 66 kV</t>
  </si>
  <si>
    <t>PMG Parque Fotovoltaico Ckontor</t>
  </si>
  <si>
    <t>25 de julio de 2019 00:00:00</t>
  </si>
  <si>
    <t>5 de enero de 2021 00:00:00</t>
  </si>
  <si>
    <t>S/E Mantos Blancos 23 kV</t>
  </si>
  <si>
    <t>Parque Eólico Caos</t>
  </si>
  <si>
    <t>17 de junio de 2019 00:00:00</t>
  </si>
  <si>
    <t>PMG Parque Fotovoltaico Pedernales</t>
  </si>
  <si>
    <t>12 de junio de 2019 00:00:00</t>
  </si>
  <si>
    <t>S/E Salvador 12,5 kV</t>
  </si>
  <si>
    <t>Diego de Almagro</t>
  </si>
  <si>
    <t>Parque Fotovoltaico Milti</t>
  </si>
  <si>
    <t>31 de mayo de 2019 00:00:00</t>
  </si>
  <si>
    <t>S/E El Abra 220 kV</t>
  </si>
  <si>
    <t>Parque Fotovoltaico Sutar</t>
  </si>
  <si>
    <t>11 de enero de 2022 00:00:00</t>
  </si>
  <si>
    <t>S/E Radomiro Tomic 220 kV</t>
  </si>
  <si>
    <t>Parque Fotovoltaico Cosmos</t>
  </si>
  <si>
    <t>17 de mayo de 2019 00:00:00</t>
  </si>
  <si>
    <t>600</t>
  </si>
  <si>
    <t>1 de marzo de 2026 00:00:00</t>
  </si>
  <si>
    <t>25/11/2022 22:40:34</t>
  </si>
  <si>
    <t>11/2024</t>
  </si>
  <si>
    <t>Parque Fotovoltaico Teno</t>
  </si>
  <si>
    <t>20 de marzo de 2019 00:00:00</t>
  </si>
  <si>
    <t>S/E Teno 154 kV</t>
  </si>
  <si>
    <t>Teno</t>
  </si>
  <si>
    <t>PMG Parque Fotovoltaico Alto Norte</t>
  </si>
  <si>
    <t>12 de enero de 2019 00:00:00</t>
  </si>
  <si>
    <t>S/E Alto Norte 13,2 kV</t>
  </si>
  <si>
    <t>PMG Parque Fotovoltaico Bellavista</t>
  </si>
  <si>
    <t>22 de mayo de 2018 00:00:00</t>
  </si>
  <si>
    <t>9 de enero de 2020 00:00:00</t>
  </si>
  <si>
    <t>S/E Lagunas 23 kV</t>
  </si>
  <si>
    <t>Parque Fotovoltaico Victor Jara</t>
  </si>
  <si>
    <t>15 de diciembre de 2017 00:00:00</t>
  </si>
  <si>
    <t>S/E Nueva Pozo Almonte 220 kV</t>
  </si>
  <si>
    <t>2</t>
  </si>
  <si>
    <t>J2</t>
  </si>
  <si>
    <t>Region</t>
  </si>
  <si>
    <t>Macrozona</t>
  </si>
  <si>
    <t>2. Tarapacá</t>
  </si>
  <si>
    <t>Norte</t>
  </si>
  <si>
    <t>3. Antofagasta</t>
  </si>
  <si>
    <t>4. Atacama</t>
  </si>
  <si>
    <t>5. Coquimbo</t>
  </si>
  <si>
    <t>6. Valparaiso</t>
  </si>
  <si>
    <t>Centro</t>
  </si>
  <si>
    <t>7. Metropolitana</t>
  </si>
  <si>
    <t>8. O´Higgins</t>
  </si>
  <si>
    <t>9. Maule</t>
  </si>
  <si>
    <t>11. BioBio</t>
  </si>
  <si>
    <t>Sur</t>
  </si>
  <si>
    <t>12. La Araucania</t>
  </si>
  <si>
    <t>13. Los Rios</t>
  </si>
  <si>
    <t>14. Los Lagos</t>
  </si>
  <si>
    <t>Capacidad [MW] Solicitada</t>
  </si>
  <si>
    <t>Tecnología</t>
  </si>
  <si>
    <t>Tipo 
(SAC/SUCTD)</t>
  </si>
  <si>
    <t>Estado Tramitación</t>
  </si>
  <si>
    <t>Macro Zona</t>
  </si>
  <si>
    <t>Clasificación 
(C1, C2, C3)</t>
  </si>
  <si>
    <t xml:space="preserve">Observacion </t>
  </si>
  <si>
    <t>¿Permite reconversión?</t>
  </si>
  <si>
    <t xml:space="preserve">Comentario adicional </t>
  </si>
  <si>
    <t>BESS Ortosia</t>
  </si>
  <si>
    <t>BESS</t>
  </si>
  <si>
    <t>Observaciones a Informe de Autorización de Conexión Preliminar.</t>
  </si>
  <si>
    <t>C2</t>
  </si>
  <si>
    <t>Proyecto en tramitación ante el CEN. A la espera de emisión de informes.</t>
  </si>
  <si>
    <t>No</t>
  </si>
  <si>
    <t xml:space="preserve">Terreno prospectado </t>
  </si>
  <si>
    <t>En espera de definición de ingeniería CEN</t>
  </si>
  <si>
    <t>Proyecto en etapa temprana. En espera que adjudicatario de las obras de ampliación avance con ingeniería.</t>
  </si>
  <si>
    <t>Si</t>
  </si>
  <si>
    <t>Proyecto BESS SA en estado avanzado, se insiste al CEN para emisión del Informe Definitivo.</t>
  </si>
  <si>
    <t>Proyecto BESS SA en estado avanzado, en espera para Declararse en Construcción.</t>
  </si>
  <si>
    <t>Terreno proespectado, limitacion de plazo de conexión (propietario)</t>
  </si>
  <si>
    <t>Proyecto en tramitación ante el CEN.</t>
  </si>
  <si>
    <t>Terreno costoso y datacenters en al zona</t>
  </si>
  <si>
    <t>PFV + BESS</t>
  </si>
  <si>
    <t>C3</t>
  </si>
  <si>
    <t>Notas:</t>
  </si>
  <si>
    <r>
      <t>- Los proyectos Clasificación "C2" podrían realizar una</t>
    </r>
    <r>
      <rPr>
        <b/>
        <sz val="11"/>
        <color theme="1"/>
        <rFont val="Aptos Narrow"/>
        <family val="2"/>
        <scheme val="minor"/>
      </rPr>
      <t xml:space="preserve"> hibridación con Data Center</t>
    </r>
    <r>
      <rPr>
        <sz val="11"/>
        <color theme="1"/>
        <rFont val="Aptos Narrow"/>
        <family val="2"/>
        <scheme val="minor"/>
      </rPr>
      <t xml:space="preserve"> una vez se Declaración en Construcción, resultando finalmente un proyecto del tipo </t>
    </r>
    <r>
      <rPr>
        <b/>
        <sz val="11"/>
        <color theme="1"/>
        <rFont val="Aptos Narrow"/>
        <family val="2"/>
        <scheme val="minor"/>
      </rPr>
      <t>Data Center + BESS</t>
    </r>
    <r>
      <rPr>
        <sz val="11"/>
        <color theme="1"/>
        <rFont val="Aptos Narrow"/>
        <family val="2"/>
        <scheme val="minor"/>
      </rPr>
      <t>.</t>
    </r>
  </si>
  <si>
    <r>
      <t xml:space="preserve">- Los proyectos clasificación "C3" podrían realizar una reconversión de teccnología sin necesidad de tener una Declaración en Construcción pudiendo resultar en un proyecto </t>
    </r>
    <r>
      <rPr>
        <b/>
        <sz val="11"/>
        <color theme="1"/>
        <rFont val="Aptos Narrow"/>
        <family val="2"/>
        <scheme val="minor"/>
      </rPr>
      <t>Data Center, Data Center + BESS u otro</t>
    </r>
    <r>
      <rPr>
        <sz val="11"/>
        <color theme="1"/>
        <rFont val="Aptos Narrow"/>
        <family val="2"/>
        <scheme val="minor"/>
      </rPr>
      <t>.</t>
    </r>
  </si>
  <si>
    <t xml:space="preserve">Garantias: Para proyectos C2, la garantia esta comprometida a la conexión del proyecto. Proyectos en C3 es posible </t>
  </si>
  <si>
    <t xml:space="preserve">ACCESO ABIERTO </t>
  </si>
  <si>
    <t>PROYECTO ODATA DATACENTER ST01</t>
  </si>
  <si>
    <t>ODATA CHILE S.A.</t>
  </si>
  <si>
    <t>20 de julio de 2020 12:59:33</t>
  </si>
  <si>
    <t>Consumo</t>
  </si>
  <si>
    <t>30 de junio de 2022 00:00:00</t>
  </si>
  <si>
    <t>S/E Nueva Lampa 220 kV</t>
  </si>
  <si>
    <t>Ambas Barras</t>
  </si>
  <si>
    <t>J7/J8 (Diagonal Nº3)</t>
  </si>
  <si>
    <t>Lampa</t>
  </si>
  <si>
    <t>05/07/2023 15:44:07</t>
  </si>
  <si>
    <t>ODATA DC ST02</t>
  </si>
  <si>
    <t>22 de marzo de 2021 21:05:24</t>
  </si>
  <si>
    <t>30 de noviembre de 2023 00:00:00</t>
  </si>
  <si>
    <t>S/E LO ESPEJO 110 kV</t>
  </si>
  <si>
    <t>BARRAS 1 Y 2</t>
  </si>
  <si>
    <t>2 NUEVOS PAÑOS A CONSTRUIR</t>
  </si>
  <si>
    <t>Datacenter Condor</t>
  </si>
  <si>
    <t xml:space="preserve">Microsoft Datacenter Chile SA </t>
  </si>
  <si>
    <t>13 de abril de 2021 14:34:17</t>
  </si>
  <si>
    <t>1 de mayo de 2023 00:00:00</t>
  </si>
  <si>
    <t>S/E Chacabuco 110kv</t>
  </si>
  <si>
    <t>Doble Barra</t>
  </si>
  <si>
    <t>H3, H4</t>
  </si>
  <si>
    <t>29/06/2022 10:32:23</t>
  </si>
  <si>
    <t>12/2022</t>
  </si>
  <si>
    <t>Datacenter Pisco</t>
  </si>
  <si>
    <t>27 de julio de 2021 15:10:55</t>
  </si>
  <si>
    <t>S/E Chicureo 220 kV</t>
  </si>
  <si>
    <t>Barra 1 y 2</t>
  </si>
  <si>
    <t>J3, J4</t>
  </si>
  <si>
    <t>Colina</t>
  </si>
  <si>
    <t>Datacenter Milagros</t>
  </si>
  <si>
    <t>8 de octubre de 2021 13:24:40</t>
  </si>
  <si>
    <t>4 de julio de 2023 00:00:00</t>
  </si>
  <si>
    <t>S/E Lampa</t>
  </si>
  <si>
    <t>Barra Principal, seccion 1 y seccion 2</t>
  </si>
  <si>
    <t>02/06/2023 12:20:44</t>
  </si>
  <si>
    <t>09/2024</t>
  </si>
  <si>
    <t xml:space="preserve">EDCSCL02_COLINA </t>
  </si>
  <si>
    <t>Edgeconnex Chile V SpA</t>
  </si>
  <si>
    <t>15 de octubre de 2021 16:08:01</t>
  </si>
  <si>
    <t>15 de julio de 2023 00:00:00</t>
  </si>
  <si>
    <t>S/E COLINA 110KV</t>
  </si>
  <si>
    <t>DOBLE BARRA</t>
  </si>
  <si>
    <t xml:space="preserve">Por Definir </t>
  </si>
  <si>
    <t>SCALA - Fase Inicial Sta Teresa DC</t>
  </si>
  <si>
    <t>Electrica Santa Teresa SpA</t>
  </si>
  <si>
    <t>30 de diciembre de 2021 07:06:54</t>
  </si>
  <si>
    <t>27 de septiembre de 2022 00:00:00</t>
  </si>
  <si>
    <t>SE Lampa</t>
  </si>
  <si>
    <t>Barra 1 y Barra 2</t>
  </si>
  <si>
    <t>E1 y E2</t>
  </si>
  <si>
    <t>DC Huechuraba - Fase 1</t>
  </si>
  <si>
    <t>Electrica Huechuraba SpA</t>
  </si>
  <si>
    <t>1 de abril de 2022 15:19:18</t>
  </si>
  <si>
    <t>6 de enero de 2023 00:00:00</t>
  </si>
  <si>
    <t>S/E Recoleta 12 kV</t>
  </si>
  <si>
    <t>Barra Principal N°3 y Barra Principal N°4</t>
  </si>
  <si>
    <t>E21 (5-T3) y E30 (6-T4)</t>
  </si>
  <si>
    <t>Huechuraba</t>
  </si>
  <si>
    <t>DC Huechuraba - Fase 2</t>
  </si>
  <si>
    <t>6 de abril de 2022 14:38:47</t>
  </si>
  <si>
    <t>3 de noviembre de 2024 00:00:00</t>
  </si>
  <si>
    <t>S/E El Salto 110 kV</t>
  </si>
  <si>
    <t>Barras 1 y 2 Sección N°1</t>
  </si>
  <si>
    <t>H3 y H4</t>
  </si>
  <si>
    <t>16/01/2023 17:52:20</t>
  </si>
  <si>
    <t>DC Padre Hurtado - Fase 2</t>
  </si>
  <si>
    <t>Electrica Padre Hurtado SpA</t>
  </si>
  <si>
    <t>21 de abril de 2022 11:37:33</t>
  </si>
  <si>
    <t>30 de marzo de 2024 00:00:00</t>
  </si>
  <si>
    <t>S/E Padre Hurtado 110 kV</t>
  </si>
  <si>
    <t>H2</t>
  </si>
  <si>
    <t>Padre Hurtado</t>
  </si>
  <si>
    <t>DC Padre Hurtado - Fase 3</t>
  </si>
  <si>
    <t>9 de junio de 2022 17:51:57</t>
  </si>
  <si>
    <t>30 de junio de 2024 00:00:00</t>
  </si>
  <si>
    <t>S/E Santa Marta 110 kV</t>
  </si>
  <si>
    <t>H3</t>
  </si>
  <si>
    <t>DC Huechuraba - Fase 1 v01</t>
  </si>
  <si>
    <t>22 de septiembre de 2022 16:32:34</t>
  </si>
  <si>
    <t>Barra Principal N°3 12,5 kV</t>
  </si>
  <si>
    <t>E21 y E22</t>
  </si>
  <si>
    <t>22/06/2023 14:24:37</t>
  </si>
  <si>
    <t>09/2025</t>
  </si>
  <si>
    <t>8 de junio de 2023 10:24:41</t>
  </si>
  <si>
    <t>5 de julio de 2025 00:00:00</t>
  </si>
  <si>
    <t>Barra principal 1</t>
  </si>
  <si>
    <t>J3</t>
  </si>
  <si>
    <t>DC Curauma Fase 2</t>
  </si>
  <si>
    <t>Scala Chile Data Centers SpA</t>
  </si>
  <si>
    <t>Periodo de presentación de discrepancias</t>
  </si>
  <si>
    <t>23 de mayo de 2024 15:20:42</t>
  </si>
  <si>
    <t>15 de febrero de 2027 00:00:00</t>
  </si>
  <si>
    <t>S/E Curauma 110 kV</t>
  </si>
  <si>
    <t>Barra Principal, Paños H3 y H6</t>
  </si>
  <si>
    <t>H3 y H6</t>
  </si>
  <si>
    <t>Datacenter Pisco 2</t>
  </si>
  <si>
    <t>28 de junio de 2024 10:22:51</t>
  </si>
  <si>
    <t>31 de julio de 2026 00:00:00</t>
  </si>
  <si>
    <t>14/04/2025 11:28:47</t>
  </si>
  <si>
    <t>10/2025</t>
  </si>
  <si>
    <t>Solution 2</t>
  </si>
  <si>
    <t>ENSOLUTION SPA</t>
  </si>
  <si>
    <t>15 de octubre de 2024 09:49:25</t>
  </si>
  <si>
    <t>29 de diciembre de 2028 00:00:00</t>
  </si>
  <si>
    <t>S/E Alto Jahuel 500 kV</t>
  </si>
  <si>
    <t>Doble Barra + Barra Transferencia</t>
  </si>
  <si>
    <t>K7</t>
  </si>
  <si>
    <t>04/07/2025 12:14:14</t>
  </si>
  <si>
    <t>06/2027</t>
  </si>
  <si>
    <t>Datacenter Condor 2</t>
  </si>
  <si>
    <t>19 de diciembre de 2024 17:00:01</t>
  </si>
  <si>
    <t>17 de enero de 2027 00:00:00</t>
  </si>
  <si>
    <t>SE Chacabuco 110kV</t>
  </si>
  <si>
    <t>Doble barra</t>
  </si>
  <si>
    <t>DC Valparaiso 1</t>
  </si>
  <si>
    <t>FR DATA SpA</t>
  </si>
  <si>
    <t>29 de enero de 2025 16:12:07</t>
  </si>
  <si>
    <t>1 de abril de 2028 00:00:00</t>
  </si>
  <si>
    <t>SE La Polvora</t>
  </si>
  <si>
    <t>Barra principal N°2</t>
  </si>
  <si>
    <t>J15</t>
  </si>
  <si>
    <t>DC Valparaiso 2</t>
  </si>
  <si>
    <t>29 de enero de 2025 16:19:36</t>
  </si>
  <si>
    <t>J18</t>
  </si>
  <si>
    <t>DC Alto Jahuel</t>
  </si>
  <si>
    <t>Evaluación de antecedentes y/o requerimientos</t>
  </si>
  <si>
    <t>10 de febrero de 2025 10:25:47</t>
  </si>
  <si>
    <t>S/E Maipo 220kV</t>
  </si>
  <si>
    <t>Barra GIS 1 y 2</t>
  </si>
  <si>
    <t>Campo de Datos Lampa</t>
  </si>
  <si>
    <t>CI GMF II Patache ProjectCo SpA</t>
  </si>
  <si>
    <t>7 de mayo de 2025 17:29:33</t>
  </si>
  <si>
    <t>31 de diciembre de 2029 00:00:00</t>
  </si>
  <si>
    <t>Nueva Lampa 220kV</t>
  </si>
  <si>
    <t>Interruptor y medio</t>
  </si>
  <si>
    <t>J18 y J21</t>
  </si>
  <si>
    <t>MANO DE OBRA</t>
  </si>
  <si>
    <t>Grupo electrógeno</t>
  </si>
  <si>
    <t>total principal</t>
  </si>
  <si>
    <t>total respaldo</t>
  </si>
  <si>
    <t>total chiller</t>
  </si>
  <si>
    <t>total general GE PyR KW</t>
  </si>
  <si>
    <t>Nombre del Proyecto</t>
  </si>
  <si>
    <t>WEB</t>
  </si>
  <si>
    <t>Titular</t>
  </si>
  <si>
    <t>Inversión (MMU$)</t>
  </si>
  <si>
    <t>Estado del Proyecto</t>
  </si>
  <si>
    <t>Días DIA</t>
  </si>
  <si>
    <t>Fecha Calificación</t>
  </si>
  <si>
    <t>Empresa Consultora</t>
  </si>
  <si>
    <t>GE Salas (Principal)</t>
  </si>
  <si>
    <t>P Generada (KW)</t>
  </si>
  <si>
    <t>Total Generado KW</t>
  </si>
  <si>
    <t>GE Oficinas (Respaldo)</t>
  </si>
  <si>
    <t>P Generada (KW)2</t>
  </si>
  <si>
    <t>Total Generado KW2</t>
  </si>
  <si>
    <t>Cantidad Diesel /L</t>
  </si>
  <si>
    <t>Cantidad Diesel /kg</t>
  </si>
  <si>
    <t>Ratio L/kg</t>
  </si>
  <si>
    <t>Vida util Años DC</t>
  </si>
  <si>
    <t>Cantidad Chillers</t>
  </si>
  <si>
    <t>Consumo (KW)3</t>
  </si>
  <si>
    <t>Total consumo Chillers KW</t>
  </si>
  <si>
    <t>Total general GE PyR KW</t>
  </si>
  <si>
    <t>Principal IT /1.5</t>
  </si>
  <si>
    <t>Promedio construcción</t>
  </si>
  <si>
    <t>Máximo P construcción</t>
  </si>
  <si>
    <t>Promedio Operación</t>
  </si>
  <si>
    <t>Máximo P Operación</t>
  </si>
  <si>
    <t>Promedio Cierre</t>
  </si>
  <si>
    <t>Máximo P Cierre</t>
  </si>
  <si>
    <t>MO Contrucción Promedio</t>
  </si>
  <si>
    <t>MO Contrucción Máximo</t>
  </si>
  <si>
    <t>MO Operación Promedio</t>
  </si>
  <si>
    <t>MO Operación Máximo</t>
  </si>
  <si>
    <t>MO Cierre Promedio</t>
  </si>
  <si>
    <t>MO Cierre Máximo</t>
  </si>
  <si>
    <t xml:space="preserve">Latitud </t>
  </si>
  <si>
    <t>Longitud</t>
  </si>
  <si>
    <t>Superficie útil m2</t>
  </si>
  <si>
    <t>Superficie Bruta m2</t>
  </si>
  <si>
    <t>Empresa</t>
  </si>
  <si>
    <t>Proyectos</t>
  </si>
  <si>
    <t>CAPEX (MMUSD)</t>
  </si>
  <si>
    <t>Centro de Almacenamiento de Datos Puente Alto</t>
  </si>
  <si>
    <t>Ver</t>
  </si>
  <si>
    <t>Metropolitana</t>
  </si>
  <si>
    <t>Inmobiliaria STPA SPA</t>
  </si>
  <si>
    <t>Pendiente</t>
  </si>
  <si>
    <t>Centro de Almacenamiento de Datos San Antonio</t>
  </si>
  <si>
    <t>Nodo Pacífico SpA</t>
  </si>
  <si>
    <t>Sustentable</t>
  </si>
  <si>
    <t>Data Center Polpaico Campus Norte</t>
  </si>
  <si>
    <t>Til-til</t>
  </si>
  <si>
    <t>GR Culle SpA</t>
  </si>
  <si>
    <t>Grenergy</t>
  </si>
  <si>
    <t>&lt;1000</t>
  </si>
  <si>
    <t>Data Center Lo Aguirre</t>
  </si>
  <si>
    <t>Lader Energy Chile SpA</t>
  </si>
  <si>
    <t>Data Center La Polvora</t>
  </si>
  <si>
    <t>DCI LA POLVORA SpA</t>
  </si>
  <si>
    <t>DCI Partners</t>
  </si>
  <si>
    <t>Datacenter Terranova Alto Jahuel</t>
  </si>
  <si>
    <t>DC Terranova</t>
  </si>
  <si>
    <t>Indefinida</t>
  </si>
  <si>
    <t>CI GMF II Chile DevCo I SpA</t>
  </si>
  <si>
    <t>GIZA Ingeniería</t>
  </si>
  <si>
    <t>Data Center Alto Jahuel Campus Sur</t>
  </si>
  <si>
    <t>GR Huiña SpA</t>
  </si>
  <si>
    <t>Datacenter ST5</t>
  </si>
  <si>
    <t>Equinix</t>
  </si>
  <si>
    <t>Aprobado</t>
  </si>
  <si>
    <t>33,5</t>
  </si>
  <si>
    <t>Ampliación Data Center Campus Scala Huechuraba</t>
  </si>
  <si>
    <t>SCALA</t>
  </si>
  <si>
    <t>IT Ambiental</t>
  </si>
  <si>
    <t>EdgeConnex</t>
  </si>
  <si>
    <t>Data Center SCL04</t>
  </si>
  <si>
    <t>No se especifica</t>
  </si>
  <si>
    <t>Cirion</t>
  </si>
  <si>
    <t>Data Center Cirion</t>
  </si>
  <si>
    <t>Amazon</t>
  </si>
  <si>
    <t>Centro de Almacenamiento de Datos Huechuraba</t>
  </si>
  <si>
    <t>ORBE Consultores</t>
  </si>
  <si>
    <t>Ascenty</t>
  </si>
  <si>
    <t>Centro de Almacenamiento de Datos Padre Hurtado</t>
  </si>
  <si>
    <t>ODATA</t>
  </si>
  <si>
    <t>Desistido</t>
  </si>
  <si>
    <t>Scala Data Center Curauma</t>
  </si>
  <si>
    <t>Sonda S.A.</t>
  </si>
  <si>
    <t>PEND</t>
  </si>
  <si>
    <t>4 etapas</t>
  </si>
  <si>
    <t>Dataluna</t>
  </si>
  <si>
    <t>Data Center SCL02-SCL03</t>
  </si>
  <si>
    <t>CLARO CHILE S.A.</t>
  </si>
  <si>
    <t>SCALA DATA CENTER CAMPUS</t>
  </si>
  <si>
    <t>Digital holdings chile spa</t>
  </si>
  <si>
    <t>Data Center EDCSCL01</t>
  </si>
  <si>
    <t>TOTAL</t>
  </si>
  <si>
    <t>Data Center EDCSCL11</t>
  </si>
  <si>
    <t>Data Center Chile 2</t>
  </si>
  <si>
    <t>Data Center Ascenty</t>
  </si>
  <si>
    <t>MHO Consultores</t>
  </si>
  <si>
    <t>PROYECTO ODATA DATACENTER</t>
  </si>
  <si>
    <t>SGA Gestión Ambiental</t>
  </si>
  <si>
    <t>Regiones</t>
  </si>
  <si>
    <t>DATACENTER SANTA TERESA</t>
  </si>
  <si>
    <t>Cerrillos Data Center</t>
  </si>
  <si>
    <t>Cerrillos</t>
  </si>
  <si>
    <t>Renuncia RCA</t>
  </si>
  <si>
    <t>JACOBS Chile SA. / Inversiones y Servicios Dataluna Ltda.</t>
  </si>
  <si>
    <t>Proyecto "Ampliación Edificio de Data Center y Oficinas SONDA, Parque Empresarial Aconcagua"</t>
  </si>
  <si>
    <t>TECCAP Ingeniería</t>
  </si>
  <si>
    <t>Ampliación Data Center PARAM</t>
  </si>
  <si>
    <t>GrupoGestiona Consultores</t>
  </si>
  <si>
    <t>Días de aprobación DIA</t>
  </si>
  <si>
    <t>Días</t>
  </si>
  <si>
    <t>Ampliación del Almacenamiento de Combustible Data Center Param</t>
  </si>
  <si>
    <t>Máximo</t>
  </si>
  <si>
    <t>Data Center III Entel -Pudahuel</t>
  </si>
  <si>
    <t>Andalué Ambiental</t>
  </si>
  <si>
    <t>Mínimo</t>
  </si>
  <si>
    <t>Claro-Chile, Data Center Colina</t>
  </si>
  <si>
    <t>Mediana</t>
  </si>
  <si>
    <t>DATA CENTER SONDA</t>
  </si>
  <si>
    <t>Promedio</t>
  </si>
  <si>
    <t>Regularización Data Center Hewlett Packard Chile Comercial Ltda.</t>
  </si>
  <si>
    <t>Paine</t>
  </si>
  <si>
    <t>Regularización Data Center Hewlett Packard Chile Ltda.</t>
  </si>
  <si>
    <t>Hewlett Packard Chile Comercial Ltda.</t>
  </si>
  <si>
    <t>Data center HP Chile</t>
  </si>
  <si>
    <t>No Admitido a Tramitación</t>
  </si>
  <si>
    <t>mano d</t>
  </si>
  <si>
    <t>MMOO Promedio</t>
  </si>
  <si>
    <t>GIZA</t>
  </si>
  <si>
    <t>ORBE</t>
  </si>
  <si>
    <t>MHO</t>
  </si>
  <si>
    <t>IT AMBIENTAL</t>
  </si>
  <si>
    <t>SGA GE AMBIENTAL</t>
  </si>
  <si>
    <t>pag 27 par3</t>
  </si>
  <si>
    <t>Fase</t>
  </si>
  <si>
    <t>Mano de Obra Promedio</t>
  </si>
  <si>
    <t>Mano de Obra Máxima</t>
  </si>
  <si>
    <t>Construcción</t>
  </si>
  <si>
    <t>Operación</t>
  </si>
  <si>
    <t>Cierre o abandono</t>
  </si>
  <si>
    <t>SI</t>
  </si>
  <si>
    <t xml:space="preserve">PE MAGUILLIN </t>
  </si>
  <si>
    <t>MAGUILLIN EOLICA SPA</t>
  </si>
  <si>
    <t>70</t>
  </si>
  <si>
    <t>línea 1x66kV Constitución - Planta Viñales</t>
  </si>
  <si>
    <t>Derivación</t>
  </si>
  <si>
    <t>Constitución</t>
  </si>
  <si>
    <t>SP LA ODISEA</t>
  </si>
  <si>
    <t>Icafal Lancuyen SpA</t>
  </si>
  <si>
    <t>120</t>
  </si>
  <si>
    <t>LT CAMPO LINDO - SANTA CLARA 220 kV</t>
  </si>
  <si>
    <t>Estructura N°4</t>
  </si>
  <si>
    <t>Los Ángeles</t>
  </si>
  <si>
    <t>BESS Arwen</t>
  </si>
  <si>
    <t>Transmisión del Melado SpA</t>
  </si>
  <si>
    <t>Solicitud Ingresada</t>
  </si>
  <si>
    <t>350</t>
  </si>
  <si>
    <t>S/E Frontera 220kV</t>
  </si>
  <si>
    <t>Tovaku Costa</t>
  </si>
  <si>
    <t>Sociedad Punta Del Cobre S.A.</t>
  </si>
  <si>
    <t>12</t>
  </si>
  <si>
    <t>S/E Central Tocopilla 110 kV</t>
  </si>
  <si>
    <t>Barra Principal Sección 1</t>
  </si>
  <si>
    <t>Guanaco Solar</t>
  </si>
  <si>
    <t>Fotovoltaica Norte Grande 4 SpA</t>
  </si>
  <si>
    <t>76</t>
  </si>
  <si>
    <t>S/E Diego de Almagro</t>
  </si>
  <si>
    <t>Barra principal 1 más transferencia</t>
  </si>
  <si>
    <t>H10</t>
  </si>
  <si>
    <t>SAE Volcán Guallatiri II</t>
  </si>
  <si>
    <t>PELICANO SpA</t>
  </si>
  <si>
    <t>S/E Elevadora SE Volcán Guallatiri</t>
  </si>
  <si>
    <t>E4</t>
  </si>
  <si>
    <t>Parral</t>
  </si>
  <si>
    <t>Solar Millán Etapa II Almacenamiento</t>
  </si>
  <si>
    <t>BIWO Renovables S.A.</t>
  </si>
  <si>
    <t>Proyecto ingresado</t>
  </si>
  <si>
    <t>95</t>
  </si>
  <si>
    <t>S/E Solar Millán 23kV</t>
  </si>
  <si>
    <t>Barra Principal 23kV</t>
  </si>
  <si>
    <t>Alimentador San Francisco</t>
  </si>
  <si>
    <t>CGE Transmisión S.A.</t>
  </si>
  <si>
    <t>5</t>
  </si>
  <si>
    <t>S/E Cauquenes 66/13,2kV</t>
  </si>
  <si>
    <t>Barra Principal asociada al transformador N°3</t>
  </si>
  <si>
    <t>52C1</t>
  </si>
  <si>
    <t>SE Planta Cerrillos 110/23 kV 50 MVA</t>
  </si>
  <si>
    <t>Sociedad Contractual Minera Carola</t>
  </si>
  <si>
    <t>Línea 110 kV Cardones - Refugio</t>
  </si>
  <si>
    <t>Barra simple mas barra de transferencia</t>
  </si>
  <si>
    <t>Nuevo Alimentador Av Victoria</t>
  </si>
  <si>
    <t>SE Alameda 15kV</t>
  </si>
  <si>
    <t>Barra N°3</t>
  </si>
  <si>
    <t>C13</t>
  </si>
  <si>
    <t>Rancagua</t>
  </si>
  <si>
    <t>Tovaku</t>
  </si>
  <si>
    <t>S/E Ana María 220 kV</t>
  </si>
  <si>
    <t>Interruptor y Medio</t>
  </si>
  <si>
    <t>J11-J12, por definir según disponibilidad</t>
  </si>
  <si>
    <t>Coihueco III</t>
  </si>
  <si>
    <t>3 MW Desarrollo SpA</t>
  </si>
  <si>
    <t>170</t>
  </si>
  <si>
    <t>S/E San Fabián 220 kV</t>
  </si>
  <si>
    <t>Barra Simple</t>
  </si>
  <si>
    <t>Coihueco</t>
  </si>
  <si>
    <t>Habilitación Retiros BESS Estepa</t>
  </si>
  <si>
    <t>Estepa Solar SpA</t>
  </si>
  <si>
    <t>230</t>
  </si>
  <si>
    <t>Subestación Estepa 220/33 kV</t>
  </si>
  <si>
    <t>barra principal</t>
  </si>
  <si>
    <t>PFV Semillero</t>
  </si>
  <si>
    <t>oEnergy Development SpA</t>
  </si>
  <si>
    <t>Pozo Almonte - Cerro Colorado 110 kV</t>
  </si>
  <si>
    <t>Conexión en Derivación</t>
  </si>
  <si>
    <t>Estructura sin numero</t>
  </si>
  <si>
    <t>BESS Halcón 2</t>
  </si>
  <si>
    <t>57</t>
  </si>
  <si>
    <t>DDA BESS Expansión I</t>
  </si>
  <si>
    <t>Copiapó Solar S.A.</t>
  </si>
  <si>
    <t>Revisión de antecedentes</t>
  </si>
  <si>
    <t>82.5</t>
  </si>
  <si>
    <t>S/E Desierto de Atacama 33 KV</t>
  </si>
  <si>
    <t>Media Tensión</t>
  </si>
  <si>
    <t>_x0003_Parque Eólico El Almendro</t>
  </si>
  <si>
    <t>Bioenergías Forestales SpA</t>
  </si>
  <si>
    <t>144</t>
  </si>
  <si>
    <t>SE Planta Rio Vergara 220kV</t>
  </si>
  <si>
    <t>barra1</t>
  </si>
  <si>
    <t>J5</t>
  </si>
  <si>
    <t>La Araucanía</t>
  </si>
  <si>
    <t>Renaico</t>
  </si>
  <si>
    <t>Puerto y Desaladora Minera Santo Domingo</t>
  </si>
  <si>
    <t>MInera Santo Domingo SCM</t>
  </si>
  <si>
    <t>21.6</t>
  </si>
  <si>
    <t>S/E Totoralillo 220kV</t>
  </si>
  <si>
    <t>Barra simple</t>
  </si>
  <si>
    <t xml:space="preserve">Sistema Almacenamiento Conejo BESS </t>
  </si>
  <si>
    <t>Conejo Solar SpA</t>
  </si>
  <si>
    <t>104</t>
  </si>
  <si>
    <t>S/E Conejo 33 kV</t>
  </si>
  <si>
    <t>Barra switchgear 33 kV</t>
  </si>
  <si>
    <t>CB1; CB2; CB3; CB4</t>
  </si>
  <si>
    <t>BESS PFV Los Boldos Etapa 2</t>
  </si>
  <si>
    <t>Longotoma Solar SpA.</t>
  </si>
  <si>
    <t>47</t>
  </si>
  <si>
    <t>Nueva S/E Elevadora PFV Los Boldos 220/33 kV</t>
  </si>
  <si>
    <t>Switchgear en MT S/E Los Boldos 33 kV</t>
  </si>
  <si>
    <t>Por definir en ingenieria de detalles</t>
  </si>
  <si>
    <t>La Ligua</t>
  </si>
  <si>
    <t>Nuevo Alimentador El Rosario</t>
  </si>
  <si>
    <t>Litoral Transmisión S.A.</t>
  </si>
  <si>
    <t>10</t>
  </si>
  <si>
    <t>Subestacion El Totoral 66/12 kV</t>
  </si>
  <si>
    <t>El Quisco</t>
  </si>
  <si>
    <t>Clasificado como Obra Menor</t>
  </si>
  <si>
    <t>03/03/2026 00:00:00</t>
  </si>
  <si>
    <t>BESS Lo Pinto</t>
  </si>
  <si>
    <t>Campos del Canto SpA</t>
  </si>
  <si>
    <t>Proyecto Ursa</t>
  </si>
  <si>
    <t>Sphera Development SpA</t>
  </si>
  <si>
    <t>S/E Las Dichas 220 kV</t>
  </si>
  <si>
    <t>Barra 2, diagonal 1</t>
  </si>
  <si>
    <t>Nuevo Alimentador Encón</t>
  </si>
  <si>
    <t>Chilquinta Transmisión S.A.</t>
  </si>
  <si>
    <t>Subestacion San Felipe 12 kV</t>
  </si>
  <si>
    <t xml:space="preserve">Barra 1 </t>
  </si>
  <si>
    <t>C9</t>
  </si>
  <si>
    <t>San Felipe</t>
  </si>
  <si>
    <t>BESS Los Castaños</t>
  </si>
  <si>
    <t>Enerblan SpA.</t>
  </si>
  <si>
    <t>6.0</t>
  </si>
  <si>
    <t>S/E PV Los Castaños EXPV Duqueco</t>
  </si>
  <si>
    <t>Tramo Línea S/E PV Los Castaños-PV Los Castaños</t>
  </si>
  <si>
    <t>Nuevo Alimentador 12 kV Calbuco en S/E La Reina</t>
  </si>
  <si>
    <t>Enel Distribución Chile S.A.</t>
  </si>
  <si>
    <t>8.3</t>
  </si>
  <si>
    <t>S/E La Reina 12 kV</t>
  </si>
  <si>
    <t>Barra 12 kV N°1 (celda)</t>
  </si>
  <si>
    <t>C5</t>
  </si>
  <si>
    <t>Peñalolén</t>
  </si>
  <si>
    <t>Nuevo Alimentador 12 kV Choapa en S/E Panamericana</t>
  </si>
  <si>
    <t>S/E Panamericana</t>
  </si>
  <si>
    <t>Barra 12 kV N°3 (Patio)</t>
  </si>
  <si>
    <t>C19</t>
  </si>
  <si>
    <t>Apolo</t>
  </si>
  <si>
    <t>Membrillo SpA</t>
  </si>
  <si>
    <t>Linea Puente Negro - La Higuera 2x220kV</t>
  </si>
  <si>
    <t>San Fernando</t>
  </si>
  <si>
    <t>BESS ANGOL</t>
  </si>
  <si>
    <t>Espinos S.A.</t>
  </si>
  <si>
    <t>4.5</t>
  </si>
  <si>
    <t>S/E Angol</t>
  </si>
  <si>
    <t>Línea 1x23 [kV] Angol-Tap Off Renaico (cerca de estructura 418)</t>
  </si>
  <si>
    <t>Angol</t>
  </si>
  <si>
    <t>PFV+BESS Kleos</t>
  </si>
  <si>
    <t>Mytilineos BESS Chile SpA.</t>
  </si>
  <si>
    <t>L1 2x220 Guacolda-Maitencillo</t>
  </si>
  <si>
    <t>Seccionamiento de línea</t>
  </si>
  <si>
    <t>C2, entre estructuras 80 y 81</t>
  </si>
  <si>
    <t>Freirina</t>
  </si>
  <si>
    <t>Explotación de Sulfuros Radomiro Tomic Fase II</t>
  </si>
  <si>
    <t>Codelco (Corporación Nacional del Cobre)</t>
  </si>
  <si>
    <t>S/E CRUCERO</t>
  </si>
  <si>
    <t>BESS Espiga De Oro</t>
  </si>
  <si>
    <t>2.5</t>
  </si>
  <si>
    <t>S/E PFV Espiga De Oro</t>
  </si>
  <si>
    <t>Tramo Línea</t>
  </si>
  <si>
    <t>52E1</t>
  </si>
  <si>
    <t>Negrete</t>
  </si>
  <si>
    <t>BESS Kleos</t>
  </si>
  <si>
    <t>LAT L1 2x220 kV Guacolda-Maitencillo</t>
  </si>
  <si>
    <t>C2,entre estructura 80 y 81</t>
  </si>
  <si>
    <t>Actualización de Subestaciones Las Luces y Planta Óxido - Suministro Agua, Taltal, Región de Antofagasta</t>
  </si>
  <si>
    <t>Minera Las Cenizas S.A.</t>
  </si>
  <si>
    <t>18</t>
  </si>
  <si>
    <t>s/e Las Luces y s/e Planta Óxido</t>
  </si>
  <si>
    <t>barra simple</t>
  </si>
  <si>
    <t>existente</t>
  </si>
  <si>
    <t>Los Mesías Solar</t>
  </si>
  <si>
    <t>Inversiones y Desarrollos Energéticos Free Power SpA.</t>
  </si>
  <si>
    <t>89</t>
  </si>
  <si>
    <t>Quinquimo</t>
  </si>
  <si>
    <t>Papudo</t>
  </si>
  <si>
    <t>Minera Comahue</t>
  </si>
  <si>
    <t>Next Minerals S.A.</t>
  </si>
  <si>
    <t>3</t>
  </si>
  <si>
    <t>Linea 13,8kV Zaturno Capricornio</t>
  </si>
  <si>
    <t>derivación</t>
  </si>
  <si>
    <t>Diagonal 1</t>
  </si>
  <si>
    <t>Parque Eólico El Almendro</t>
  </si>
  <si>
    <t>S/E PLANTA RIO VERGARA 220 KV</t>
  </si>
  <si>
    <t>JL5</t>
  </si>
  <si>
    <t>Sol de Linares</t>
  </si>
  <si>
    <t>S/E Valentín Letelier</t>
  </si>
  <si>
    <t>B4</t>
  </si>
  <si>
    <t>Don Ambrosio Solar</t>
  </si>
  <si>
    <t>Lo Aguirre</t>
  </si>
  <si>
    <t>BP + T</t>
  </si>
  <si>
    <t>E26 y E27</t>
  </si>
  <si>
    <t>Curacaví</t>
  </si>
  <si>
    <t>Parque Fotovoltaico Estrella Fugaz</t>
  </si>
  <si>
    <t>Comercial Técnica Limitada</t>
  </si>
  <si>
    <t>Subestación Loica 220 kV</t>
  </si>
  <si>
    <t>BESS Don Lucas</t>
  </si>
  <si>
    <t>Los Maitenes Solar SpA</t>
  </si>
  <si>
    <t>Detenida a la espera de información técnica del propietario de la instalación</t>
  </si>
  <si>
    <t>Nueva S/E Don Melchor</t>
  </si>
  <si>
    <t>BPS2 + T</t>
  </si>
  <si>
    <t>Pirque</t>
  </si>
  <si>
    <t>Meseta de los Andes BESS</t>
  </si>
  <si>
    <t>Tercera Region Solar SpA</t>
  </si>
  <si>
    <t>160</t>
  </si>
  <si>
    <t>Meseta de Los Andes 220/33kV</t>
  </si>
  <si>
    <t xml:space="preserve">nivel E </t>
  </si>
  <si>
    <t>Calle Larga</t>
  </si>
  <si>
    <t>02/2028</t>
  </si>
  <si>
    <t>BESS PE Atacama</t>
  </si>
  <si>
    <t>Parque Eólico Atacama SpA</t>
  </si>
  <si>
    <t>Proyecto Fehaciente debe presentar SUCTD</t>
  </si>
  <si>
    <t>165.3</t>
  </si>
  <si>
    <t>S/E IberAtacama 33 kV</t>
  </si>
  <si>
    <t>Barras de Instalaciones de Generación en 33 kV</t>
  </si>
  <si>
    <t>PA S/E IberAtacama 33 kV</t>
  </si>
  <si>
    <t>S/E IberAtacama</t>
  </si>
  <si>
    <t>BESS Parque Fotovoltaico Pedro de Valdivia Etapa 2</t>
  </si>
  <si>
    <t>Solar PDV SpA</t>
  </si>
  <si>
    <t>72</t>
  </si>
  <si>
    <t>Nueva S/E Elevadora Pedro de Valdivia 33 kV</t>
  </si>
  <si>
    <t>E10, E11, E12</t>
  </si>
  <si>
    <t>Central Sol del Loa II</t>
  </si>
  <si>
    <t>GM Renewables Holdings SpA</t>
  </si>
  <si>
    <t>500</t>
  </si>
  <si>
    <t>J18/J17</t>
  </si>
  <si>
    <t>CONEXIÓN INSTALACIONES DE FAENAS (II.FF.) CENTRAL DE BOMBEO</t>
  </si>
  <si>
    <t>Colbún S.A.</t>
  </si>
  <si>
    <t>S/E Paranal 66 kV</t>
  </si>
  <si>
    <t xml:space="preserve">Barra Principal </t>
  </si>
  <si>
    <t>E1</t>
  </si>
  <si>
    <t>AR CHANGOS SOLAR II</t>
  </si>
  <si>
    <t>AR ENERGIA CHILE SPA</t>
  </si>
  <si>
    <t>Proyecto calificado como fehaciente</t>
  </si>
  <si>
    <t>S/E AR CHANGOS SOLAR 33/220</t>
  </si>
  <si>
    <t>switchgear 33kV</t>
  </si>
  <si>
    <t>Celdas de MT por definir</t>
  </si>
  <si>
    <t>Parque Eólico Calbuco</t>
  </si>
  <si>
    <t>Energy Intersol Calbuco</t>
  </si>
  <si>
    <t>49.6</t>
  </si>
  <si>
    <t>SE Ilque</t>
  </si>
  <si>
    <t>barra principal y transferencia</t>
  </si>
  <si>
    <t>Calbuco</t>
  </si>
  <si>
    <t xml:space="preserve">SISTEMA DE ALMACENAMIENTO DE ENERGÍA STANDALONE  EN BATERÍAS EN LA PLANTA DE ÁCIDO SULFÚRICO  MEJILLONES 10 MW </t>
  </si>
  <si>
    <t>Noracid S.A.</t>
  </si>
  <si>
    <t>S/E Mejillones 13,8 kV</t>
  </si>
  <si>
    <t>Barra de 13,8 kV de la Subestación Mejillones</t>
  </si>
  <si>
    <t>CB4</t>
  </si>
  <si>
    <t>PV Las Baronesas</t>
  </si>
  <si>
    <t>Sungrow Power Chile SpA</t>
  </si>
  <si>
    <t>Los Varones</t>
  </si>
  <si>
    <t>Diagonal J4-J5</t>
  </si>
  <si>
    <t>J4-J5</t>
  </si>
  <si>
    <t>BPS1</t>
  </si>
  <si>
    <t>NUEVO PAÑO DE ALIMENTADOR "MIRAFLORES"</t>
  </si>
  <si>
    <t>Linares Norte 13,2 kV</t>
  </si>
  <si>
    <t>Barra principal, sección 2</t>
  </si>
  <si>
    <t>REPOTENCIAMIENTO ELECTRICO SAR (SANTA FILOMENA)</t>
  </si>
  <si>
    <t>Anglo American Sur S.A.</t>
  </si>
  <si>
    <t>23.7</t>
  </si>
  <si>
    <t>S/E SANTA FILOMENA</t>
  </si>
  <si>
    <t>JT2</t>
  </si>
  <si>
    <t>Reconversión CTM2</t>
  </si>
  <si>
    <t xml:space="preserve">Engie Energía Chile S.A. </t>
  </si>
  <si>
    <t>156.6</t>
  </si>
  <si>
    <t>S/E Chacaya 220 kV</t>
  </si>
  <si>
    <t>JG2</t>
  </si>
  <si>
    <t>03/2028</t>
  </si>
  <si>
    <t>Reconversión CTM1</t>
  </si>
  <si>
    <t>146.5</t>
  </si>
  <si>
    <t>JG1</t>
  </si>
  <si>
    <t>AMPLIACION MEGA DATA CENTER LAMPA ETAPA 2</t>
  </si>
  <si>
    <t>Santa Teresa</t>
  </si>
  <si>
    <t>Conexión Alimentador Ruta 5 Lado Sur a Paño E4 - SE Reloncaví</t>
  </si>
  <si>
    <t>Sociedad Austral de Transmisión Troncal</t>
  </si>
  <si>
    <t>9.9</t>
  </si>
  <si>
    <t>SE Reloncaví 23 kV</t>
  </si>
  <si>
    <t>Barra Principal, Sección 1</t>
  </si>
  <si>
    <t>Conexión Alimentador Ruta 5 Lado Norte a Paño E3 - SE Reloncaví</t>
  </si>
  <si>
    <t>3.8</t>
  </si>
  <si>
    <t>Conexión Alimentador Altos de Tepual a Paño E2 - SE Reloncaví</t>
  </si>
  <si>
    <t>5.8</t>
  </si>
  <si>
    <t>Conexión Alimentador Los Notros a Paño E1 - SE Reloncaví</t>
  </si>
  <si>
    <t>Conexión Alimentador Bunster a Paño C3 - SE Deuco</t>
  </si>
  <si>
    <t>Sistema de Transmisión del Sur S.A.</t>
  </si>
  <si>
    <t>3.2</t>
  </si>
  <si>
    <t>SE Deuco 13,2 kV</t>
  </si>
  <si>
    <t>Traslado Alimentador 12 kV Fruna en S/E Bicentenario</t>
  </si>
  <si>
    <t>S/E Bicentenario 12 kV</t>
  </si>
  <si>
    <t>Barra 12 kV N°3 (celda)</t>
  </si>
  <si>
    <t>Maipú</t>
  </si>
  <si>
    <t>Nuevo Alimentador 23 kV Velardi en S/E Lampa</t>
  </si>
  <si>
    <t>S/E Lampa 23 kV</t>
  </si>
  <si>
    <t>Barra 23 kV N°4 (celda)</t>
  </si>
  <si>
    <t>E28</t>
  </si>
  <si>
    <t xml:space="preserve">Nuevo Alimentador 12 kV Perdices en S/E Macul     </t>
  </si>
  <si>
    <t>S/E Macul 12 kV</t>
  </si>
  <si>
    <t>C7</t>
  </si>
  <si>
    <t>Nuevo Alimentador 12 kV Villagra en S/E La Reina</t>
  </si>
  <si>
    <t>Barra 12 kV N°1 (Celda)</t>
  </si>
  <si>
    <t>Nuevo Alimentador 23 kV Merino en S/E Lo Boza</t>
  </si>
  <si>
    <t>S/E Lo Boza 23 kV</t>
  </si>
  <si>
    <t>Barra 23 kV N°6 (Celda)</t>
  </si>
  <si>
    <t>E46</t>
  </si>
  <si>
    <t>Renca</t>
  </si>
  <si>
    <t>BESS Rocío</t>
  </si>
  <si>
    <t>Trinergy SpA</t>
  </si>
  <si>
    <t>Nueva Panquehue</t>
  </si>
  <si>
    <t>Barra BP1</t>
  </si>
  <si>
    <t>Paño C4 Por Definir</t>
  </si>
  <si>
    <t>Panquehue</t>
  </si>
  <si>
    <t>BESS Vicuña</t>
  </si>
  <si>
    <t>Sunergy Chile SpA</t>
  </si>
  <si>
    <t>LTx Damascal - Minera Arqueros</t>
  </si>
  <si>
    <t>Tapoff E1</t>
  </si>
  <si>
    <t>H3 Damascal</t>
  </si>
  <si>
    <t>Vicuña</t>
  </si>
  <si>
    <t>PE PEWMA</t>
  </si>
  <si>
    <t>Akuo Energy Chile SpA</t>
  </si>
  <si>
    <t>S/E Colaco</t>
  </si>
  <si>
    <t>HL2</t>
  </si>
  <si>
    <t>Finis Terrae II</t>
  </si>
  <si>
    <t xml:space="preserve">Enel Green Power del Sur </t>
  </si>
  <si>
    <t>Rande 33 kV</t>
  </si>
  <si>
    <t>Switchgear</t>
  </si>
  <si>
    <t>09/2027</t>
  </si>
  <si>
    <t>BESS San Esteban</t>
  </si>
  <si>
    <t>Mako Inversiones SpA.</t>
  </si>
  <si>
    <t>SE Los Maquis 220kV</t>
  </si>
  <si>
    <t>Barra Principal 1 y 2</t>
  </si>
  <si>
    <t>J11 y J12</t>
  </si>
  <si>
    <t>Los Andes</t>
  </si>
  <si>
    <t>BESS Chinchilla</t>
  </si>
  <si>
    <t>Chinchilla SPA</t>
  </si>
  <si>
    <t>Derivación Pajonales - Don Hector</t>
  </si>
  <si>
    <t>Paño E11</t>
  </si>
  <si>
    <t>Observaciones al informe CTD preliminar</t>
  </si>
  <si>
    <t>PV+SAE Zafiro</t>
  </si>
  <si>
    <t>INVERSIONES MSF 24 SPA</t>
  </si>
  <si>
    <t>210</t>
  </si>
  <si>
    <t>S/E Frontera 220 kV</t>
  </si>
  <si>
    <t>J24</t>
  </si>
  <si>
    <t>BESS PE Cabo Leones III</t>
  </si>
  <si>
    <t>IBEREÓLICA CABO LEONES III SpA</t>
  </si>
  <si>
    <t>Elaboración Informe CTD preliminar</t>
  </si>
  <si>
    <t>190.2</t>
  </si>
  <si>
    <t>S/E Central Parque Eólico Cabo Leones I en 33 kV</t>
  </si>
  <si>
    <t>Barra 33 kV del Paño propiedad de Parque Eólico Cabo Leones III en S/E Central Parque Eólico Cabo Leones I</t>
  </si>
  <si>
    <t>Paño JT2 propiedad de Parque Eólico Cabo Leones III</t>
  </si>
  <si>
    <t>BESS PE CABO LEONES III</t>
  </si>
  <si>
    <t xml:space="preserve">Barra 33 kV del Paño propiedad de Parque Eólico Cabo Leones III en S/E Central Parque Eólico Cabo Leones I </t>
  </si>
  <si>
    <t xml:space="preserve">Ampliación BESS Coya		</t>
  </si>
  <si>
    <t>S/E Palpana 33 kV</t>
  </si>
  <si>
    <t>barra 33 kV</t>
  </si>
  <si>
    <t>33 kV</t>
  </si>
  <si>
    <t>ACS DC SANTIAGO I</t>
  </si>
  <si>
    <t>ACS Data Center</t>
  </si>
  <si>
    <t>S/E Chacabuco</t>
  </si>
  <si>
    <t>Barra Principal 23 kV TR N°9</t>
  </si>
  <si>
    <t>E66</t>
  </si>
  <si>
    <t>ACS DC SANTIAGO II</t>
  </si>
  <si>
    <t>S/E Punta Verde</t>
  </si>
  <si>
    <t>H21 y H24</t>
  </si>
  <si>
    <t>14</t>
  </si>
  <si>
    <t>H67</t>
  </si>
  <si>
    <t>Parque Fotovoltaico + BESS Posada</t>
  </si>
  <si>
    <t>S/E Crucero</t>
  </si>
  <si>
    <t>Datacenter Campus Norte Etapa II</t>
  </si>
  <si>
    <t>Eléctrica Chicureo SpA</t>
  </si>
  <si>
    <t>Barra Principal 1</t>
  </si>
  <si>
    <t>Datacenter Campus Norte</t>
  </si>
  <si>
    <t>Barra Principal 2</t>
  </si>
  <si>
    <t>Nuevo Alimentador 23 kV Scala2 en S/E Quilicura</t>
  </si>
  <si>
    <t>S/E Quilicura 23 kV</t>
  </si>
  <si>
    <t>Barra 23 kV N°1 (Celda)</t>
  </si>
  <si>
    <t xml:space="preserve">BESS El Salvador </t>
  </si>
  <si>
    <t>BESS EL SALVADOR SPA</t>
  </si>
  <si>
    <t>Subestación El Ruil</t>
  </si>
  <si>
    <t>MT</t>
  </si>
  <si>
    <t>C4 y C5</t>
  </si>
  <si>
    <t>Talca</t>
  </si>
  <si>
    <t>AR PANIMAVIDA RETIROS II</t>
  </si>
  <si>
    <t>S/E AR Panimavida Solar 33/220</t>
  </si>
  <si>
    <t>Switchgear 33kV</t>
  </si>
  <si>
    <t>Colbún</t>
  </si>
  <si>
    <t>7.0</t>
  </si>
  <si>
    <t>Infraestructura IT - STM Data Center</t>
  </si>
  <si>
    <t>Sociedad Transmisora Metropolitana S.A.</t>
  </si>
  <si>
    <t>S/E Chicureo 220kV</t>
  </si>
  <si>
    <t>Parque Eólico Degan</t>
  </si>
  <si>
    <t>Fontus SCL III SpA</t>
  </si>
  <si>
    <t>24</t>
  </si>
  <si>
    <t>S/E Degan 110 kV</t>
  </si>
  <si>
    <t>Ancud</t>
  </si>
  <si>
    <t xml:space="preserve">Nuevo Alimentador 12 kV Versalles en S/E Pajaritos   </t>
  </si>
  <si>
    <t>S/E Pajaritos 12 kV</t>
  </si>
  <si>
    <t>Barra 12 kV N°3 (Celda)</t>
  </si>
  <si>
    <t>C20</t>
  </si>
  <si>
    <t>BESS KSR II</t>
  </si>
  <si>
    <t>KSR DOS SpA</t>
  </si>
  <si>
    <t>Torquemada - Mauco 110 kV</t>
  </si>
  <si>
    <t>Estructura V13</t>
  </si>
  <si>
    <t>Tap off</t>
  </si>
  <si>
    <t>Habilitación Retiros BESS Huatacondo</t>
  </si>
  <si>
    <t>AustrianSolar Chile Cuatro SpA</t>
  </si>
  <si>
    <t>Proyecto finalizado</t>
  </si>
  <si>
    <t>98</t>
  </si>
  <si>
    <t>S/E Santa Rita 220kV</t>
  </si>
  <si>
    <t>ET1C</t>
  </si>
  <si>
    <t>BESS La Jefa</t>
  </si>
  <si>
    <t>360</t>
  </si>
  <si>
    <t>Jadresic</t>
  </si>
  <si>
    <t>J16</t>
  </si>
  <si>
    <t>BESS LA FAVELA</t>
  </si>
  <si>
    <t>S/E Seccionadora Lo Aguierre 220 kV</t>
  </si>
  <si>
    <t>J13</t>
  </si>
  <si>
    <t>Providencia</t>
  </si>
  <si>
    <t>SAE Miramar</t>
  </si>
  <si>
    <t>INVERSIONES MSF 25 SPA</t>
  </si>
  <si>
    <t>S/E Torquemada 110 kV</t>
  </si>
  <si>
    <t>PE Tomé</t>
  </si>
  <si>
    <t>UKA Chile y Compañía</t>
  </si>
  <si>
    <t>S/E Dichato 220 kV</t>
  </si>
  <si>
    <t>Tomé</t>
  </si>
  <si>
    <t xml:space="preserve">Traslado Alimentador 12 kV Agrícola en S/E San Joaquín  </t>
  </si>
  <si>
    <t>9.3</t>
  </si>
  <si>
    <t>S/E San Joaquín 12 kV</t>
  </si>
  <si>
    <t xml:space="preserve">Barra 12 kV N°4 (celda) </t>
  </si>
  <si>
    <t>C28</t>
  </si>
  <si>
    <t>San Joaquín</t>
  </si>
  <si>
    <t>Retiros BESS Parque Fotovoltaico Usya</t>
  </si>
  <si>
    <t>Acciona Energía Chile SpA</t>
  </si>
  <si>
    <t>52.4</t>
  </si>
  <si>
    <t>S/E Usya 33 kV</t>
  </si>
  <si>
    <t>Barra Principal MT (33 kV)</t>
  </si>
  <si>
    <t>Retiros BESS Parque Fotovoltaico Malgarida II</t>
  </si>
  <si>
    <t>S/E Malgarida 33 kV</t>
  </si>
  <si>
    <t>Barra Principal 33 kV</t>
  </si>
  <si>
    <t>03/2027</t>
  </si>
  <si>
    <t>Retiros BESS Parque Fotovoltaico El Romero</t>
  </si>
  <si>
    <t>196</t>
  </si>
  <si>
    <t>S/E Romero 33 kV</t>
  </si>
  <si>
    <t>Retiros BESS Parque Fotovoltaico Almeyda</t>
  </si>
  <si>
    <t>S/E Almeyda 33 kV</t>
  </si>
  <si>
    <t>Barra principal MT (33 kV)</t>
  </si>
  <si>
    <t>PH Penitente Sur</t>
  </si>
  <si>
    <t>S/E Nueva Chuquicamata</t>
  </si>
  <si>
    <t xml:space="preserve">Barra </t>
  </si>
  <si>
    <t>j8-j9</t>
  </si>
  <si>
    <t>SP Saria</t>
  </si>
  <si>
    <t>LT 110 kV La Calera - El Cobre</t>
  </si>
  <si>
    <t>Estructura N°13</t>
  </si>
  <si>
    <t>Hijuelas</t>
  </si>
  <si>
    <t>Alimentador La Montaña</t>
  </si>
  <si>
    <t>Cooperativa de Abastecimiento de Energía Eléctrica Curico LTDA.</t>
  </si>
  <si>
    <t>Nueva S/E El Quelmen</t>
  </si>
  <si>
    <t>Barra Principal 13,2 kV</t>
  </si>
  <si>
    <t>Alimentador San Rafael</t>
  </si>
  <si>
    <t>Nueva S/E El Quelmén</t>
  </si>
  <si>
    <t>Instalación Sexto Transformador de Poder en S/E Collahuasi</t>
  </si>
  <si>
    <t>Compañía Doña Inés de Collahuasi SCM</t>
  </si>
  <si>
    <t>0</t>
  </si>
  <si>
    <t>Collahuasi 220 kV</t>
  </si>
  <si>
    <t>JT6</t>
  </si>
  <si>
    <t>Pica</t>
  </si>
  <si>
    <t>Odata San Bernardo Expansión</t>
  </si>
  <si>
    <t>Lo Espejo Data Center SpA</t>
  </si>
  <si>
    <t>Odata San Bernardo</t>
  </si>
  <si>
    <t>HT3 y HT4</t>
  </si>
  <si>
    <t>10/2027</t>
  </si>
  <si>
    <t>Data Center Antü</t>
  </si>
  <si>
    <t>Cielpanel SpA</t>
  </si>
  <si>
    <t>Paño J3</t>
  </si>
  <si>
    <t>Nuevo Alimentador C3</t>
  </si>
  <si>
    <t>S/E Pelequen 15kV</t>
  </si>
  <si>
    <t>52C3</t>
  </si>
  <si>
    <t>Malloa</t>
  </si>
  <si>
    <t>BESS Javiera</t>
  </si>
  <si>
    <t>Javiera SpA</t>
  </si>
  <si>
    <t>69</t>
  </si>
  <si>
    <t>S/E Central Javiera 22 kV</t>
  </si>
  <si>
    <t>BESS SOL DE VALLENAR 2</t>
  </si>
  <si>
    <t>El Sol de Vallenar SpA</t>
  </si>
  <si>
    <t>S/E ELEVADORA</t>
  </si>
  <si>
    <t>F2</t>
  </si>
  <si>
    <t>09/2026</t>
  </si>
  <si>
    <t>BESS SOL DE VALLENAR 1</t>
  </si>
  <si>
    <t>F1</t>
  </si>
  <si>
    <t>BESS La Huayca</t>
  </si>
  <si>
    <t>Enlight Investments SpA</t>
  </si>
  <si>
    <t>4</t>
  </si>
  <si>
    <t>PV Odiema</t>
  </si>
  <si>
    <t>Quelmen</t>
  </si>
  <si>
    <t>Chimbarongo</t>
  </si>
  <si>
    <t>PV Tita Hybrid</t>
  </si>
  <si>
    <t>Huelquen</t>
  </si>
  <si>
    <t>Parque Fotovoltaico Sol de Rufo 70 MW</t>
  </si>
  <si>
    <t>Nueva Subestación Huelquén</t>
  </si>
  <si>
    <t>Proyecto Fotovoltaico Sol de Mafalda</t>
  </si>
  <si>
    <t>Nueva Subestación Quelmén</t>
  </si>
  <si>
    <t>Parque Fotovoltaico Gael Solar</t>
  </si>
  <si>
    <t>CVE Utility Scale SpA.</t>
  </si>
  <si>
    <t>Nueva S/E El Quelmén 66 kV</t>
  </si>
  <si>
    <t>barra principal seccionada y barra de transferencia</t>
  </si>
  <si>
    <t>Curicó</t>
  </si>
  <si>
    <t>Parque Fotovoltaico Sol de Mafalda 70 MW</t>
  </si>
  <si>
    <t>CVE Proyecto Treinta y Cuatro SpA</t>
  </si>
  <si>
    <t>Nueva Subestación El Quelmén</t>
  </si>
  <si>
    <t>Barra Principal Seccionada y Barra de Transferencia</t>
  </si>
  <si>
    <t>H5</t>
  </si>
  <si>
    <t>PH Sendero</t>
  </si>
  <si>
    <t>RTB Energy SpA</t>
  </si>
  <si>
    <t>SE Huelquén</t>
  </si>
  <si>
    <t>Barra Principal Seccionada</t>
  </si>
  <si>
    <t>A8</t>
  </si>
  <si>
    <t>Parque Fotovoltaico Dante Solar</t>
  </si>
  <si>
    <t>110</t>
  </si>
  <si>
    <t>Nueva S/E Huelquén 110 kV</t>
  </si>
  <si>
    <t>Barra principal seccionada y barra de transferencia</t>
  </si>
  <si>
    <t>Barlin</t>
  </si>
  <si>
    <t>S/E Huelquén</t>
  </si>
  <si>
    <t>Nueva S/E El Quelmén 66kV</t>
  </si>
  <si>
    <t>UHYB El Convento</t>
  </si>
  <si>
    <t>S/E El Quelmen 66 kV</t>
  </si>
  <si>
    <t>Barra principal sección 1</t>
  </si>
  <si>
    <t>B3, por definir</t>
  </si>
  <si>
    <t>Don Ciriaco</t>
  </si>
  <si>
    <t>S/E El Quelmén 66 kV</t>
  </si>
  <si>
    <t>B3 y B4, por definir</t>
  </si>
  <si>
    <t>UHYB La Aurora</t>
  </si>
  <si>
    <t>SOLEK DEV HOLDING SPA</t>
  </si>
  <si>
    <t>barra principal sección 1</t>
  </si>
  <si>
    <t>Sandstone BESS IV Expansión</t>
  </si>
  <si>
    <t>S/E Sandstone IV</t>
  </si>
  <si>
    <t>NA</t>
  </si>
  <si>
    <t>Iquique</t>
  </si>
  <si>
    <t>12/2027</t>
  </si>
  <si>
    <t>Tejuelas</t>
  </si>
  <si>
    <t>Colaco 110kV</t>
  </si>
  <si>
    <t>Nuevo Alimentador 23 kV EFE2 en S/E Santa Marta</t>
  </si>
  <si>
    <t>S/E Santa Marta 23kV</t>
  </si>
  <si>
    <t>Barra 23 kV N°5 (Celda)</t>
  </si>
  <si>
    <t>E34</t>
  </si>
  <si>
    <t>Nuevo Alimentador 23 kV EFE1 en S/E Santa Marta</t>
  </si>
  <si>
    <t>S/E Santa Marta 23 kV</t>
  </si>
  <si>
    <t>Barra 23kV (Celda)</t>
  </si>
  <si>
    <t>E33</t>
  </si>
  <si>
    <t>SAE Lux</t>
  </si>
  <si>
    <t>INVERSIONES MSF 19 SPA</t>
  </si>
  <si>
    <t>32</t>
  </si>
  <si>
    <t>Línea Hospital - Hospital EFE 66 kV</t>
  </si>
  <si>
    <t>BESS Etapa 2</t>
  </si>
  <si>
    <t>Generación Solar SpA</t>
  </si>
  <si>
    <t>16.5</t>
  </si>
  <si>
    <t>E11, E1</t>
  </si>
  <si>
    <t xml:space="preserve">Habilitación Retiros BESS Coya		</t>
  </si>
  <si>
    <t>52</t>
  </si>
  <si>
    <t>S/E Palpana</t>
  </si>
  <si>
    <t>Barra 33 kV</t>
  </si>
  <si>
    <t>El Pasajero</t>
  </si>
  <si>
    <t>S/E Baja Cordillera 220 kV</t>
  </si>
  <si>
    <t>J1</t>
  </si>
  <si>
    <t>PFV+BESS Terrazas</t>
  </si>
  <si>
    <t>Terrazas SpA</t>
  </si>
  <si>
    <t>1x220 kV Pallata - Tchamma</t>
  </si>
  <si>
    <t>Anillo</t>
  </si>
  <si>
    <t>S/E Terrazas</t>
  </si>
  <si>
    <t>Parque Eólico Constanza</t>
  </si>
  <si>
    <t>AustriaEnergy Chile Quince SpA</t>
  </si>
  <si>
    <t>Central Laja 1 - Seccionadora El Rosal 220 kV</t>
  </si>
  <si>
    <t>Torre 9</t>
  </si>
  <si>
    <t>Yumbel</t>
  </si>
  <si>
    <t>Habilitación Retiros BESS Capricornio</t>
  </si>
  <si>
    <t>48</t>
  </si>
  <si>
    <t>S/E Elevadora Capricornio</t>
  </si>
  <si>
    <t>F7</t>
  </si>
  <si>
    <t>LightHouse I</t>
  </si>
  <si>
    <t>S/E Central Emelda</t>
  </si>
  <si>
    <t>HT3</t>
  </si>
  <si>
    <t>Central fotovoltaica inca de varas II</t>
  </si>
  <si>
    <t>Inca de Varas II SA</t>
  </si>
  <si>
    <t>46.3</t>
  </si>
  <si>
    <t>Inca de Varas I</t>
  </si>
  <si>
    <t>barra 33</t>
  </si>
  <si>
    <t>central fotovoltaica Inca de Varas I</t>
  </si>
  <si>
    <t>Inca de Varas I S.A.</t>
  </si>
  <si>
    <t>126</t>
  </si>
  <si>
    <t>Carrera Pinto 220</t>
  </si>
  <si>
    <t>bahia barra interruptor y medio</t>
  </si>
  <si>
    <t xml:space="preserve">J19-J20 </t>
  </si>
  <si>
    <t>Subestación Nantoco</t>
  </si>
  <si>
    <t>Minera Altair S.A.</t>
  </si>
  <si>
    <t>Línea 220 kV Cardones  - Valle Escondido</t>
  </si>
  <si>
    <t>Entre las estructuras N°136/137 a 10km de SE Cardones</t>
  </si>
  <si>
    <t>Línea 220kV Cardones - Valle Escondido (Paño J16 SE Cardones - Paño J1 SE  Valle Escondido)</t>
  </si>
  <si>
    <t>Cancha Las Zorras BESS</t>
  </si>
  <si>
    <t>Cool Power SpA</t>
  </si>
  <si>
    <t>S/E Los Sauces, 66 kV</t>
  </si>
  <si>
    <t>Los Sauces</t>
  </si>
  <si>
    <t>BESS ALGARROBOS</t>
  </si>
  <si>
    <t>Elaboración de Informe de Autorización de Conexión Proyecto Fehaciente</t>
  </si>
  <si>
    <t>LT 220 kV Los Espinos  Los Vilos (Estructura 1)</t>
  </si>
  <si>
    <t>Tap Off</t>
  </si>
  <si>
    <t>Los Vilos</t>
  </si>
  <si>
    <t>Proyecto Tirana Solar Tirana Oeste Fase II</t>
  </si>
  <si>
    <t>Fotovoltaica Pozo Almonte SpA</t>
  </si>
  <si>
    <t>260</t>
  </si>
  <si>
    <t>Subestación elevadora PSF Tarapacá</t>
  </si>
  <si>
    <t>Diagonal 3</t>
  </si>
  <si>
    <t>SP La Odisea</t>
  </si>
  <si>
    <t>Derivación línea de transmisión</t>
  </si>
  <si>
    <t>Ciclón Exploradora</t>
  </si>
  <si>
    <t>Eco Earth Elements SpA</t>
  </si>
  <si>
    <t>1x110 kV Diego de Almagro - Minera Franke</t>
  </si>
  <si>
    <t>Circuito 1</t>
  </si>
  <si>
    <t>Derivación entre estructuras 28 y 29</t>
  </si>
  <si>
    <t xml:space="preserve">BESS Doña Leonor </t>
  </si>
  <si>
    <t>Don Nelson 2 SPA</t>
  </si>
  <si>
    <t>Polpaico – Las Tórtolas 1x220</t>
  </si>
  <si>
    <t xml:space="preserve">barra principal + transferencia </t>
  </si>
  <si>
    <t>52J1 y 52J2</t>
  </si>
  <si>
    <t>Murta</t>
  </si>
  <si>
    <t>Frutillar Norte 220kV</t>
  </si>
  <si>
    <t>Puerto Octay</t>
  </si>
  <si>
    <t>BESS Cerezos</t>
  </si>
  <si>
    <t>Santa Elisa 23kV</t>
  </si>
  <si>
    <t xml:space="preserve">Paño </t>
  </si>
  <si>
    <t>Chillán Viejo</t>
  </si>
  <si>
    <t>S/E Elevadora Volcán Guallatiri</t>
  </si>
  <si>
    <t>Celda 5 y 6</t>
  </si>
  <si>
    <t>S/E Elevadora SAE Volcán Guallatiri</t>
  </si>
  <si>
    <t>Taruca</t>
  </si>
  <si>
    <t>Principal</t>
  </si>
  <si>
    <t>BESS Pakari</t>
  </si>
  <si>
    <t>S/E Verbenas</t>
  </si>
  <si>
    <t>Paño 220</t>
  </si>
  <si>
    <t>BESS Nodo Sur 1</t>
  </si>
  <si>
    <t>BESS ST SpA</t>
  </si>
  <si>
    <t>S/E Bajos de Mena</t>
  </si>
  <si>
    <t>Barra principal 110 kV</t>
  </si>
  <si>
    <t>RETIROS AR CHANGOS BESS</t>
  </si>
  <si>
    <t>Parque CRCA illimani</t>
  </si>
  <si>
    <t>Linea 220 kV Geoglifos - Caliche Circuito 2</t>
  </si>
  <si>
    <t>Torre</t>
  </si>
  <si>
    <t>BESS PFV Zaldivar</t>
  </si>
  <si>
    <t>Zapaleri SpA</t>
  </si>
  <si>
    <t>SE Elevadora PFV Zaldivar</t>
  </si>
  <si>
    <t>F5, F6, F7 y F8</t>
  </si>
  <si>
    <t>Andino Solar</t>
  </si>
  <si>
    <t>Andes Solar S.A.</t>
  </si>
  <si>
    <t>Portezuelo (Ampliación 220 kV)</t>
  </si>
  <si>
    <t>J6</t>
  </si>
  <si>
    <t>BESS Alto Guayacanes</t>
  </si>
  <si>
    <t>Enlasa Generación Chile S.A.</t>
  </si>
  <si>
    <t>Pan de Azúcar - Tap Off Llanos Blancos 220kV</t>
  </si>
  <si>
    <t>Seccionamiento</t>
  </si>
  <si>
    <t>26/01/2026 21:45:42</t>
  </si>
  <si>
    <t>01/2028</t>
  </si>
  <si>
    <t>S/E Jadresic 220 kV</t>
  </si>
  <si>
    <t>Barra N°1</t>
  </si>
  <si>
    <t>BESS La Favela</t>
  </si>
  <si>
    <t>S/E Seccionadora Lo Aguirre</t>
  </si>
  <si>
    <t>Parque Hibrido Vientos de Taltal</t>
  </si>
  <si>
    <t>Vientos de Taltal SpA</t>
  </si>
  <si>
    <t>S/E Llullaillaco 500 kV</t>
  </si>
  <si>
    <t>interruptor y medio</t>
  </si>
  <si>
    <t>K15</t>
  </si>
  <si>
    <t>Conexión Alimentador 4 a Paño E4 - SE La Misión</t>
  </si>
  <si>
    <t>S/E La Misión 23 kV</t>
  </si>
  <si>
    <t>Conexión Alimentador 3 a Paño E3 - SE La Misión</t>
  </si>
  <si>
    <t>Marina II</t>
  </si>
  <si>
    <t>S/E Polpaico 500 kV</t>
  </si>
  <si>
    <t>K6</t>
  </si>
  <si>
    <t>BESS Don Carlos</t>
  </si>
  <si>
    <t>Opde Chile SpA</t>
  </si>
  <si>
    <t>Subestación Don Carlos</t>
  </si>
  <si>
    <t>Switchgear S/E Don Carlos</t>
  </si>
  <si>
    <t>Conexión de Transformador de 250 kVA en barra de Servicios Auxiliares en Subestación Crucero</t>
  </si>
  <si>
    <t>Empresa Nacional de Telecomunicaciones S.A.</t>
  </si>
  <si>
    <t>Subestación Crucero 23 kV</t>
  </si>
  <si>
    <t>Barra de Servicios Auxiliares</t>
  </si>
  <si>
    <t>SSAA</t>
  </si>
  <si>
    <t>Data Center Huechuraba</t>
  </si>
  <si>
    <t>S/E Recoleta</t>
  </si>
  <si>
    <t>Alimentador E24 y alimentador E30</t>
  </si>
  <si>
    <t>Celda 10 T3 (alim. 24) y celda 6 T4 (alim. 30)</t>
  </si>
  <si>
    <t>AR PANIMAVIDA BESS II</t>
  </si>
  <si>
    <t>Chirihue</t>
  </si>
  <si>
    <t>Térmica</t>
  </si>
  <si>
    <t>Barra principal 2</t>
  </si>
  <si>
    <t>JG3</t>
  </si>
  <si>
    <t>PFV BESS Inambú</t>
  </si>
  <si>
    <t xml:space="preserve">wpd Inambú SpA </t>
  </si>
  <si>
    <t>SE Los Ángeles Sur</t>
  </si>
  <si>
    <t>PE Piedra Amarilla</t>
  </si>
  <si>
    <t>PE PIEDRA AMARILLA SPA</t>
  </si>
  <si>
    <t>S/E Duqueco 220 kV</t>
  </si>
  <si>
    <t>Mulchén</t>
  </si>
  <si>
    <t>Sistema de Almacenamiento de Energía en Baterías en la Planta de Ácido Sulfúrico Mejillones</t>
  </si>
  <si>
    <t xml:space="preserve">Mejillones 110 </t>
  </si>
  <si>
    <t>Barra 110</t>
  </si>
  <si>
    <t>Nuevo Alimentador 12 kV Baker en S/E Alonso de Córdova</t>
  </si>
  <si>
    <t>S/E Alonso de Córdova 12 kV</t>
  </si>
  <si>
    <t>C18</t>
  </si>
  <si>
    <t>Las Condes</t>
  </si>
  <si>
    <t>Nuevo Alimentador 12 kV Yelcho en S/E Alonso de Córdova</t>
  </si>
  <si>
    <t>Barra 12 kV N°4 (Celda)</t>
  </si>
  <si>
    <t>C30</t>
  </si>
  <si>
    <t>PV Victoria</t>
  </si>
  <si>
    <t>S/E Tea 220 kV</t>
  </si>
  <si>
    <t>S/E Batuco 23 kV</t>
  </si>
  <si>
    <t>Barra principal N°4</t>
  </si>
  <si>
    <t>E27 y E28</t>
  </si>
  <si>
    <t>BESS Malleco Sur (Ex Bess Semilla)</t>
  </si>
  <si>
    <t xml:space="preserve">wpd Santa Fe SpA </t>
  </si>
  <si>
    <t>42</t>
  </si>
  <si>
    <t>SE Surco y Semilla</t>
  </si>
  <si>
    <t>H010, H011</t>
  </si>
  <si>
    <t>Collipulli</t>
  </si>
  <si>
    <t>17/02/2026 11:58:26</t>
  </si>
  <si>
    <t>BESS Malleco Norte (Ex BESS AGUA)</t>
  </si>
  <si>
    <t>Elaboración Informe CTD definitivo</t>
  </si>
  <si>
    <t>63</t>
  </si>
  <si>
    <t xml:space="preserve">SE Agua Buena </t>
  </si>
  <si>
    <t>H010, H011, H012</t>
  </si>
  <si>
    <t>17/02/2026 11:56:38</t>
  </si>
  <si>
    <t>PFV HUGO LORENZO</t>
  </si>
  <si>
    <t>Letran Transmision SpA.</t>
  </si>
  <si>
    <t>S/E SECCIONADORA PUNTA VERDE</t>
  </si>
  <si>
    <t>BARRA PRINCIPAL</t>
  </si>
  <si>
    <t>H19</t>
  </si>
  <si>
    <t>CRCA BESS Tamango</t>
  </si>
  <si>
    <t>GR Liun SpA</t>
  </si>
  <si>
    <t>S/E Elevadora Tamango</t>
  </si>
  <si>
    <t>23/12/2025 20:47:34</t>
  </si>
  <si>
    <t>06/2026</t>
  </si>
  <si>
    <t>BESS Kallpa II</t>
  </si>
  <si>
    <t>S/E Kallpa 33 kV</t>
  </si>
  <si>
    <t>BESS Hyrule</t>
  </si>
  <si>
    <t>O2 Renewables Chile SpA</t>
  </si>
  <si>
    <t>Elaboración de Informe de Autorización de Conexión Final</t>
  </si>
  <si>
    <t>San Luis 220 kV</t>
  </si>
  <si>
    <t>Barra 1 - 2</t>
  </si>
  <si>
    <t>BESS ARIES</t>
  </si>
  <si>
    <t>Trina Solar Systems SpA.</t>
  </si>
  <si>
    <t>Barra 1-2</t>
  </si>
  <si>
    <t>BESS Antü</t>
  </si>
  <si>
    <t>Línea Tap Lampa - SE Lampa</t>
  </si>
  <si>
    <t>Data Center Santiago Chile 4 (SCL4)</t>
  </si>
  <si>
    <t>Ascenty Chile SpA</t>
  </si>
  <si>
    <t xml:space="preserve">S/E seccionadora Punta Verde </t>
  </si>
  <si>
    <t>H1 y H4</t>
  </si>
  <si>
    <t>S/E seccionadora Punta Verde</t>
  </si>
  <si>
    <t>data center chile 4</t>
  </si>
  <si>
    <t>Eléctrica Cenizas S.A.</t>
  </si>
  <si>
    <t>h1 y h4</t>
  </si>
  <si>
    <t>BESS Tutuvén</t>
  </si>
  <si>
    <t>Parque Solar Tangua SpA</t>
  </si>
  <si>
    <t>Lado MT PFV Tutuven 13.8 kV</t>
  </si>
  <si>
    <t>BESS Tutuven</t>
  </si>
  <si>
    <t>Ibereólica Solar Elena SpA</t>
  </si>
  <si>
    <t>AMPLIACIÓN PFV+BESS - QUINTANO</t>
  </si>
  <si>
    <t>Di Leonardo Manfredi SpA.</t>
  </si>
  <si>
    <t>S/E Elevadora Quintano</t>
  </si>
  <si>
    <t>Celdas por definir</t>
  </si>
  <si>
    <t>Quintero</t>
  </si>
  <si>
    <t>BESS Chena</t>
  </si>
  <si>
    <t>Inv. Santa Ines Ltd</t>
  </si>
  <si>
    <t>S/E Las Acacias 110/23kV</t>
  </si>
  <si>
    <t>Barra simple con transferencia</t>
  </si>
  <si>
    <t>D19</t>
  </si>
  <si>
    <t>Ampliación Mega Data Center Lampa</t>
  </si>
  <si>
    <t>S/E Santa Teresa</t>
  </si>
  <si>
    <t>JT3 y JT4</t>
  </si>
  <si>
    <t>Nuevo Alimentador C2</t>
  </si>
  <si>
    <t>Compañía General de Electricidad S.A.</t>
  </si>
  <si>
    <t>SE Trinidad 66/13,2kV</t>
  </si>
  <si>
    <t>Barra Principal N°1</t>
  </si>
  <si>
    <t>Nuevo Alimentador C1</t>
  </si>
  <si>
    <t>Linea Pajonales-Don Hector (SE mas cercana: Don Hector)</t>
  </si>
  <si>
    <t>Derivación linea Pajonales-Don Hector</t>
  </si>
  <si>
    <t>Estructura E11</t>
  </si>
  <si>
    <t>BESS Almirante</t>
  </si>
  <si>
    <t>S/E Mariscal 23 kV</t>
  </si>
  <si>
    <t>Barra principal, sección 2A</t>
  </si>
  <si>
    <t>E6 y E8</t>
  </si>
  <si>
    <t>La Pintana</t>
  </si>
  <si>
    <t>Marina</t>
  </si>
  <si>
    <t>S/E Jadresic 500 kV (Ex S/E Parinas 500 kV)</t>
  </si>
  <si>
    <t>Nuevo Alimentador C24</t>
  </si>
  <si>
    <t>S/E San Joaquín 110/13,2kV</t>
  </si>
  <si>
    <t>Barra Principal N°3</t>
  </si>
  <si>
    <t>52C24</t>
  </si>
  <si>
    <t>La Serena</t>
  </si>
  <si>
    <t>Loma Verde</t>
  </si>
  <si>
    <t>KSR SEIS SpA</t>
  </si>
  <si>
    <t>S/E Litoral Central</t>
  </si>
  <si>
    <t>DOBLE BARRA + TRANSFERENCIA</t>
  </si>
  <si>
    <t>F6</t>
  </si>
  <si>
    <t>Algarrobo</t>
  </si>
  <si>
    <t>CRCA Michilla Bajo</t>
  </si>
  <si>
    <t>Línea de transmisión Muelle - Guayaques 110 kv</t>
  </si>
  <si>
    <t>110 kv</t>
  </si>
  <si>
    <t>El Cerrillo Solar II</t>
  </si>
  <si>
    <t>S/E Procart 220 kV</t>
  </si>
  <si>
    <t>Yerbas Buenas</t>
  </si>
  <si>
    <t>Retiro desde la Red para Parque Híbrido Pampas</t>
  </si>
  <si>
    <t>Energía Eólica Pampas SpA</t>
  </si>
  <si>
    <t>J11/J12</t>
  </si>
  <si>
    <t>12/2025</t>
  </si>
  <si>
    <t>BESS PFV Zaldívar</t>
  </si>
  <si>
    <t>S/E Elevadora PFV Zaldívar</t>
  </si>
  <si>
    <t>Nuevo Alimentador 3 Neuquen</t>
  </si>
  <si>
    <t>S/E El Ruil</t>
  </si>
  <si>
    <t>Barra N°1 asociada al transformador de poder  N°1 de características 66/15 kV y 30 MVA</t>
  </si>
  <si>
    <t>S/E Oyarvide</t>
  </si>
  <si>
    <t>Habilitación Retiros BESS Coya</t>
  </si>
  <si>
    <t>S/E PALPANA</t>
  </si>
  <si>
    <t>BESS Don Renato (Ex BESS Peñablanca)</t>
  </si>
  <si>
    <t>S/E Peñablanca 12 kV</t>
  </si>
  <si>
    <t>Barra principal y de transferencia, proyectada</t>
  </si>
  <si>
    <t>C7, por definir</t>
  </si>
  <si>
    <t>Villa Alemana</t>
  </si>
  <si>
    <t>Nuevo Alimentador 12 kV Cencoriente2 en S/E Alonso de Córdova</t>
  </si>
  <si>
    <t>C29</t>
  </si>
  <si>
    <t>Nuevo Alimentador 12 kV Cencoriente1 en S/E Alonso de Córdova</t>
  </si>
  <si>
    <t>Alonso de Córdova 12 kV</t>
  </si>
  <si>
    <t>Nuevo Alimentador 12 kV Tinguiririca en S/E Pudahuel</t>
  </si>
  <si>
    <t>S/E Pudahuel 12 kV</t>
  </si>
  <si>
    <t>C31</t>
  </si>
  <si>
    <t>Cerro Navia</t>
  </si>
  <si>
    <t>18/02/2026 19:08:26</t>
  </si>
  <si>
    <t>08/2026</t>
  </si>
  <si>
    <t>Ampliación Data Center Sur (Ex-Ampliación Data Center Pisco)</t>
  </si>
  <si>
    <t>Eléctrica Colina SpA</t>
  </si>
  <si>
    <t>H7</t>
  </si>
  <si>
    <t>Alianza BESS</t>
  </si>
  <si>
    <t>Tebal Estudios e Ingeniería Ambiental Limitada</t>
  </si>
  <si>
    <t>Nueva subestación seccionadora CODEGUA 110kV</t>
  </si>
  <si>
    <t>Codegua</t>
  </si>
  <si>
    <t>BLANCO</t>
  </si>
  <si>
    <t>MINERA SALAR BLANCO S.A.</t>
  </si>
  <si>
    <t>LAT Carrera Pinto - La Coipa 220 kV</t>
  </si>
  <si>
    <t>22/12/2025 19:38:44</t>
  </si>
  <si>
    <t>PFV Sol de Humboldt</t>
  </si>
  <si>
    <t>wpd proyectos Chile seis SpA</t>
  </si>
  <si>
    <t>1x220 kV Tap Off Enlace - Antucoya</t>
  </si>
  <si>
    <t>Tap Off Sol de Humboldt (Est. N°42 LT 1x220 kV  Tap Off Enlace - Antucoya)</t>
  </si>
  <si>
    <t>20/01/2026 18:40:10</t>
  </si>
  <si>
    <t>BESS Monte Aguila</t>
  </si>
  <si>
    <t>S/E Elevadora Monte Aguila 33 kV</t>
  </si>
  <si>
    <t>31/12/2025 10:13:00</t>
  </si>
  <si>
    <t>BESS Aries</t>
  </si>
  <si>
    <t>Europa Solar SpA</t>
  </si>
  <si>
    <t>S/E Duqueco</t>
  </si>
  <si>
    <t>Barra principal N°1 y N°2 y Barra transferencia N°1</t>
  </si>
  <si>
    <t>S/E Elevadora Monte Águila 220/33 kV</t>
  </si>
  <si>
    <t>SAE Capilla</t>
  </si>
  <si>
    <t>INVERSIONES MSF 17 SPA</t>
  </si>
  <si>
    <t>Línea Villa Alegre - Villa Alegre EFE 66 kV</t>
  </si>
  <si>
    <t>Villa Alegre</t>
  </si>
  <si>
    <t>S/E Los Maquis 220kV</t>
  </si>
  <si>
    <t>Barra 2 Encapsulada</t>
  </si>
  <si>
    <t>J11</t>
  </si>
  <si>
    <t xml:space="preserve">Nuevo Alimentador 12 kV Laja en S/E San Joaquín </t>
  </si>
  <si>
    <t>San Joaquín 12 kV</t>
  </si>
  <si>
    <t>C26</t>
  </si>
  <si>
    <t>18/02/2026 19:14:48</t>
  </si>
  <si>
    <t>Vientos de Atacama 2</t>
  </si>
  <si>
    <t>Punta Colorada 220 kV</t>
  </si>
  <si>
    <t>J11-J12</t>
  </si>
  <si>
    <t>Parque Solar BESS Pelequen</t>
  </si>
  <si>
    <t>Sonnedix Chile Holdings SpA</t>
  </si>
  <si>
    <t>Nueva Malloa</t>
  </si>
  <si>
    <t>A5</t>
  </si>
  <si>
    <t>13/08/2025 00:00:00</t>
  </si>
  <si>
    <t>PFV Tres Cruces + BESS</t>
  </si>
  <si>
    <t>Sonnedix Tres Cruces SpA</t>
  </si>
  <si>
    <t>S/E Cumbre 220 kV</t>
  </si>
  <si>
    <t>Barra Principal 1 y 2 (configuración interruptor y medio)</t>
  </si>
  <si>
    <t>J8 - J9</t>
  </si>
  <si>
    <t>10/03/2026 10:45:02</t>
  </si>
  <si>
    <t>05/2027</t>
  </si>
  <si>
    <t>SAE Nimbus</t>
  </si>
  <si>
    <t>INVERSIONES MSF 22 SPA</t>
  </si>
  <si>
    <t>Habilitación retiro BESS Tamaya</t>
  </si>
  <si>
    <t>S/E Tamaya</t>
  </si>
  <si>
    <t>F7 y F8</t>
  </si>
  <si>
    <t>Habilitación retiro BESS Capricornio</t>
  </si>
  <si>
    <t>FT1</t>
  </si>
  <si>
    <t>SAE Titania</t>
  </si>
  <si>
    <t>INVERSIONES MSF 21 SPA</t>
  </si>
  <si>
    <t>S/E Charrúa 500 kV</t>
  </si>
  <si>
    <t>K5</t>
  </si>
  <si>
    <t>Nuevo Alimentador SE Mejillones</t>
  </si>
  <si>
    <t>SE Mejillones 23kV</t>
  </si>
  <si>
    <t>52E8</t>
  </si>
  <si>
    <t>El Pelícano BESS</t>
  </si>
  <si>
    <t>El Pelícano Solar Company SpA</t>
  </si>
  <si>
    <t>S/E El Pelícano</t>
  </si>
  <si>
    <t>Barra Prinicipal</t>
  </si>
  <si>
    <t>La Higuera</t>
  </si>
  <si>
    <t>S/E Central Javiera 110/22 kV</t>
  </si>
  <si>
    <t>BESS Viktor</t>
  </si>
  <si>
    <t>S/E Vitor</t>
  </si>
  <si>
    <t>Barra 110 kV</t>
  </si>
  <si>
    <t>Paño H2</t>
  </si>
  <si>
    <t>Nuevo Alimentador Caburgua</t>
  </si>
  <si>
    <t>SE Pucón 66/23kV</t>
  </si>
  <si>
    <t>52E7</t>
  </si>
  <si>
    <t>Pucón</t>
  </si>
  <si>
    <t xml:space="preserve">Meseta de Los Andes Fase II + BESS </t>
  </si>
  <si>
    <t>S/E Elevadora Meseta de Los Andes</t>
  </si>
  <si>
    <t>J4/J5</t>
  </si>
  <si>
    <t>Ampliación Mila del Verano Solar</t>
  </si>
  <si>
    <t>ZAPALERI DE VERANO SPA</t>
  </si>
  <si>
    <t xml:space="preserve">S/E Elevadora Mila del Verano </t>
  </si>
  <si>
    <t>Ampliación Tierruca del Verano</t>
  </si>
  <si>
    <t>Verano Capital Holding SpA</t>
  </si>
  <si>
    <t>S/E Elevadora Tierruca del Verano</t>
  </si>
  <si>
    <t>Ampliación Catalina del Verano</t>
  </si>
  <si>
    <t>S/E Elevadora Catalina del Verano</t>
  </si>
  <si>
    <t>PROYECTO SIQ Fase II – SECCIONAMIENTO A LÍNEA 44 kV PUNTA PEUCO - PRINCIPAL PLANTA POLPAICO (5,5 MW)</t>
  </si>
  <si>
    <t>Acueducto San Isidro Quilapilún SpA</t>
  </si>
  <si>
    <t>LÍNEA 44 kV PUNTA PEUCO - PRINCIPAL PLANTA POLPAICO</t>
  </si>
  <si>
    <t>14/11/2025 12:49:44</t>
  </si>
  <si>
    <t>11/2027</t>
  </si>
  <si>
    <t>BESS Algarrobal 200 MW</t>
  </si>
  <si>
    <t>GR Pacama SpA</t>
  </si>
  <si>
    <t>S/E Elevadora Algarrobito</t>
  </si>
  <si>
    <t>03/2026</t>
  </si>
  <si>
    <t>GR Chañar SpA</t>
  </si>
  <si>
    <t>BESS Punta del Viento</t>
  </si>
  <si>
    <t>Energía Renovable Verano Tres SpA.</t>
  </si>
  <si>
    <t>Subestación Elevadora PSF Punta del Viento</t>
  </si>
  <si>
    <t>celdas de 33kV</t>
  </si>
  <si>
    <t>Soterrada a celdas 33kV</t>
  </si>
  <si>
    <t>SAE Volcán Puntas Negras</t>
  </si>
  <si>
    <t>S/E Llaima</t>
  </si>
  <si>
    <t>Lautaro</t>
  </si>
  <si>
    <t>Baquedano (ex Mejillones)</t>
  </si>
  <si>
    <t>820</t>
  </si>
  <si>
    <t>Hidroeléctrica</t>
  </si>
  <si>
    <t>Los Changos 500 kV</t>
  </si>
  <si>
    <t>Barra N°2</t>
  </si>
  <si>
    <t>K12/K15</t>
  </si>
  <si>
    <t>Meseta de Los Andes Fase II</t>
  </si>
  <si>
    <t xml:space="preserve">Meseta de Los Andes </t>
  </si>
  <si>
    <t>BESS Deguco Large</t>
  </si>
  <si>
    <t>Circinus SpA</t>
  </si>
  <si>
    <t>Subestación Duqueco</t>
  </si>
  <si>
    <t>BESS Durana</t>
  </si>
  <si>
    <t>Barra principal y Transferencia</t>
  </si>
  <si>
    <t>Solar Invictus</t>
  </si>
  <si>
    <t>S/E Calama Nueva</t>
  </si>
  <si>
    <t>J61-J62</t>
  </si>
  <si>
    <t>Parque CRCA Calama</t>
  </si>
  <si>
    <t>GM Developments SpA</t>
  </si>
  <si>
    <t>S/E Calama</t>
  </si>
  <si>
    <t>Nuevo alimentador 52C14</t>
  </si>
  <si>
    <t>S/E Alameda 66/15kV</t>
  </si>
  <si>
    <t>C14</t>
  </si>
  <si>
    <t>Parque Eólico Los Portones II</t>
  </si>
  <si>
    <t>S/E Pargua</t>
  </si>
  <si>
    <t>Nuevo Alimentador 12 kV Lluta en S/E Apoquindo</t>
  </si>
  <si>
    <t>S/E Apoquindo 12 kV</t>
  </si>
  <si>
    <t>Barra 12 kV N°6 (Celda)</t>
  </si>
  <si>
    <t>C42</t>
  </si>
  <si>
    <t>02/02/2026 17:48:18</t>
  </si>
  <si>
    <t>BESS Calama</t>
  </si>
  <si>
    <t>S/E Tap Off Oasis</t>
  </si>
  <si>
    <t>No Aplica</t>
  </si>
  <si>
    <t>03/02/2026 17:07:38</t>
  </si>
  <si>
    <t>Conexión Alimentador Sauces a Paño E14 - SE San Pablo</t>
  </si>
  <si>
    <t>S/E San Pablo</t>
  </si>
  <si>
    <t>Barra Principal, Sección 3</t>
  </si>
  <si>
    <t>E14</t>
  </si>
  <si>
    <t>Barra principal, sección 3</t>
  </si>
  <si>
    <t>S/E ANGOL 23kV</t>
  </si>
  <si>
    <t>LT 1x23 kV Angol - Renaico</t>
  </si>
  <si>
    <t>Nuevo Alimentador 2 – T4</t>
  </si>
  <si>
    <t>S/E Curacaví 44/12kV</t>
  </si>
  <si>
    <t>Barra Principal N°4</t>
  </si>
  <si>
    <t>52C26</t>
  </si>
  <si>
    <t>23/02/2026 20:19:11</t>
  </si>
  <si>
    <t>Nuevo Alimentador 1 – T4</t>
  </si>
  <si>
    <t>Bara Principal N°4</t>
  </si>
  <si>
    <t>52C25</t>
  </si>
  <si>
    <t>23/02/2026 20:13:38</t>
  </si>
  <si>
    <t>LOS SAUCES BESS</t>
  </si>
  <si>
    <t>La Piedra BESS SpA.</t>
  </si>
  <si>
    <t>LOS SAUCES</t>
  </si>
  <si>
    <t>H5, por definir</t>
  </si>
  <si>
    <t>PMG HP Rucacura</t>
  </si>
  <si>
    <t>Duqueco SpA</t>
  </si>
  <si>
    <t>Central Mampil</t>
  </si>
  <si>
    <t>Santa Bárbara</t>
  </si>
  <si>
    <t>09/12/2025 16:24:15</t>
  </si>
  <si>
    <t>Nuevo Alimentador T4 “FARPER”</t>
  </si>
  <si>
    <t>S/E San Bernardo 110/12kV</t>
  </si>
  <si>
    <t>Barra N°6</t>
  </si>
  <si>
    <t>Nuevo Alimentador PUCARA T4 SE San Bernardo (Ex Manuel Castillo 2)</t>
  </si>
  <si>
    <t>8</t>
  </si>
  <si>
    <t>Nuevo Alimentador Peñaflor 2</t>
  </si>
  <si>
    <t>SE Malloco 110/12kV</t>
  </si>
  <si>
    <t>52E10</t>
  </si>
  <si>
    <t>Peñaflor</t>
  </si>
  <si>
    <t>16/01/2026 15:29:14</t>
  </si>
  <si>
    <t>SAE AgroSuper</t>
  </si>
  <si>
    <t>AgroSuper 220 kV</t>
  </si>
  <si>
    <t>BESS Tamango Etapa 2</t>
  </si>
  <si>
    <t>S/E Elevadora Tamango Barra de media tension</t>
  </si>
  <si>
    <t>Barra de Media Tension</t>
  </si>
  <si>
    <t>E4, E5 y E6</t>
  </si>
  <si>
    <t>Bess Tamango Etapa 1</t>
  </si>
  <si>
    <t>Barra MT S/E Elevadora Tamango</t>
  </si>
  <si>
    <t>Barra MT</t>
  </si>
  <si>
    <t>Paños E4 E5 y E6</t>
  </si>
  <si>
    <t>BESS Perseo</t>
  </si>
  <si>
    <t>El Cerrillo Solar 33 kV</t>
  </si>
  <si>
    <t>F11</t>
  </si>
  <si>
    <t>Lobo Marte 2</t>
  </si>
  <si>
    <t>CIA. Minera Mantos de Oro</t>
  </si>
  <si>
    <t>Línea Carrera Pinto - La Coipa 1x220 kV</t>
  </si>
  <si>
    <t>No aplica</t>
  </si>
  <si>
    <t>27/10/2025 17:08:05</t>
  </si>
  <si>
    <t>S/E Punta Colorada 220 kV</t>
  </si>
  <si>
    <t>BESS Río Escondido</t>
  </si>
  <si>
    <t>Cóndor Energía SpA</t>
  </si>
  <si>
    <t>S/E Río Escondido 33 kV</t>
  </si>
  <si>
    <t>barra de media tensión</t>
  </si>
  <si>
    <t>BESS Valle Escondido</t>
  </si>
  <si>
    <t>Huemul Energía SpA</t>
  </si>
  <si>
    <t>S/E Valle Escondido 33 Kv</t>
  </si>
  <si>
    <t>BESS Puelche Sur</t>
  </si>
  <si>
    <t>S/E Puelche Sur 33 kV</t>
  </si>
  <si>
    <t>Frutillar</t>
  </si>
  <si>
    <t>BESS Las Palmas</t>
  </si>
  <si>
    <t>S/E Las Palmas 220kV</t>
  </si>
  <si>
    <t>Barra Nº2</t>
  </si>
  <si>
    <t>Canela</t>
  </si>
  <si>
    <t>BESS Pampa Tigre</t>
  </si>
  <si>
    <t>Pampa Tigre 33 kV</t>
  </si>
  <si>
    <t>Nuevo Alimentador N3</t>
  </si>
  <si>
    <t>SE Santa Rosa Sur 110/12kV</t>
  </si>
  <si>
    <t>Barra N°6, Asociada al transformador N°6</t>
  </si>
  <si>
    <t>52C46</t>
  </si>
  <si>
    <t>BESS Arca Verde</t>
  </si>
  <si>
    <t>Arca Verde SpA</t>
  </si>
  <si>
    <t>S/E Travesía 110 kV</t>
  </si>
  <si>
    <t>Barra Principal, sección 1</t>
  </si>
  <si>
    <t>H4, por definir</t>
  </si>
  <si>
    <t>BESS Nemesis</t>
  </si>
  <si>
    <t>LAT 2x220 kV Kelar-Kapatur</t>
  </si>
  <si>
    <t>Entre estructuras 55 y56</t>
  </si>
  <si>
    <t>n/a</t>
  </si>
  <si>
    <t>Horus</t>
  </si>
  <si>
    <t>TS3 SpA</t>
  </si>
  <si>
    <t>SE Ana María 220KV</t>
  </si>
  <si>
    <t>Acceso a barra mediante J11 y J12</t>
  </si>
  <si>
    <t>BESS TAMANGO</t>
  </si>
  <si>
    <t>Elevadora Tamango 23 kV</t>
  </si>
  <si>
    <t>Arboleda Solar 2</t>
  </si>
  <si>
    <t>Guanaquito Solar SpA.</t>
  </si>
  <si>
    <t>S/E Teno 66kV</t>
  </si>
  <si>
    <t>BESS Helios</t>
  </si>
  <si>
    <t>LAT 1x220 Maria Elena-Taira</t>
  </si>
  <si>
    <t>Entre estructuras 26 y 27</t>
  </si>
  <si>
    <t>03/11/2025 13:36:26</t>
  </si>
  <si>
    <t>BESS Copihue Nuevo</t>
  </si>
  <si>
    <t>Barra auxiliar 23 kV</t>
  </si>
  <si>
    <t>BESS Codorniz</t>
  </si>
  <si>
    <t>S/E Condores</t>
  </si>
  <si>
    <t>05/02/2026 13:44:42</t>
  </si>
  <si>
    <t>BESS Pájaro Plomo</t>
  </si>
  <si>
    <t>S/E Puerto Patache</t>
  </si>
  <si>
    <t>Barra Principal N° 1</t>
  </si>
  <si>
    <t>J7/J8</t>
  </si>
  <si>
    <t>Retiro de Red Atacama Solar-BESS Fase III</t>
  </si>
  <si>
    <t>Atacama Solar S.A.</t>
  </si>
  <si>
    <t>Matilla 220 kV</t>
  </si>
  <si>
    <t>JT3</t>
  </si>
  <si>
    <t>20/10/2025 14:18:09</t>
  </si>
  <si>
    <t>Retiro de Red BESS Atacama II</t>
  </si>
  <si>
    <t>S/E Atacama Solar II 33kV</t>
  </si>
  <si>
    <t>20/10/2025 14:13:31</t>
  </si>
  <si>
    <t>SAE Volcán Yate II</t>
  </si>
  <si>
    <t>S/E Elevadora Volcán Yate</t>
  </si>
  <si>
    <t>Parque Fotovoltaico Nacara</t>
  </si>
  <si>
    <t>Zelestra Chile SpA</t>
  </si>
  <si>
    <t>Encuentro - Tchitack 1x220 kV</t>
  </si>
  <si>
    <t>31/12/2025 09:27:56</t>
  </si>
  <si>
    <t>SAE Fénix</t>
  </si>
  <si>
    <t>INVERSIONES MSF 20 SPA</t>
  </si>
  <si>
    <t>S/E Ancoa 220 kV</t>
  </si>
  <si>
    <t>BESS Agape</t>
  </si>
  <si>
    <t xml:space="preserve"> LAT 2x220 kV Angamos-Kapatur</t>
  </si>
  <si>
    <t>Circuito 2</t>
  </si>
  <si>
    <t>BESS Desierto</t>
  </si>
  <si>
    <t>Minera Centinela</t>
  </si>
  <si>
    <t xml:space="preserve"> S/E Antucoya 220kV</t>
  </si>
  <si>
    <t>JT4</t>
  </si>
  <si>
    <t>25/11/2025 10:13:12</t>
  </si>
  <si>
    <t>Nuevo Alimentador C4 Proyectado</t>
  </si>
  <si>
    <t>S/E Quinta de Tilcoco 66/15kV</t>
  </si>
  <si>
    <t>Quinta de Tilcoco</t>
  </si>
  <si>
    <t>Parque Solar Fotovoltaico Tres Cruces + BESS</t>
  </si>
  <si>
    <t>Barra 1 y Barra 2 (Interruptor y medio)</t>
  </si>
  <si>
    <t>J8/J9</t>
  </si>
  <si>
    <t>Nuevo Alimentador MATAQUITO Rural 15 kV SE Buenavista</t>
  </si>
  <si>
    <t>S/E Seccionadora Buenavista</t>
  </si>
  <si>
    <t>Barra N°1 asociada al transformador de poder N°1 de características 66/15 kV – 30 MVA</t>
  </si>
  <si>
    <t>52C2</t>
  </si>
  <si>
    <t>Nuevo Alimentador TUTUQUEN Rural SE Buenavista</t>
  </si>
  <si>
    <t>18/02/2026 19:05:33</t>
  </si>
  <si>
    <t>Data Center Sur (Ex - Data Center Pisco)</t>
  </si>
  <si>
    <t>Barra Principal BP1, barra simple</t>
  </si>
  <si>
    <t>Nuevo Alimentador 12 kV Tiahuanaco en S/E Pajaritos</t>
  </si>
  <si>
    <t>Barra 12kV N°3 (Celda)</t>
  </si>
  <si>
    <t>16/02/2026 17:43:40</t>
  </si>
  <si>
    <t>Nuevo Alimentador 12 kV Biobío en S/E Macul</t>
  </si>
  <si>
    <t>C6</t>
  </si>
  <si>
    <t>09/01/2026 11:46:53</t>
  </si>
  <si>
    <t>BESS Trinity</t>
  </si>
  <si>
    <t>HCT INGENIERIA, DESARROLLO Y CONSULTORIA SpA</t>
  </si>
  <si>
    <t>SE Trinidad</t>
  </si>
  <si>
    <t>52C4</t>
  </si>
  <si>
    <t>CRCA La Esperanza de Verano</t>
  </si>
  <si>
    <t>S/E Portezuelo</t>
  </si>
  <si>
    <t>Data Center Pisco</t>
  </si>
  <si>
    <t>Bajos de Mena</t>
  </si>
  <si>
    <t>Barra Principal BP1</t>
  </si>
  <si>
    <t>Parque Hibrido Pelequen</t>
  </si>
  <si>
    <t>San Marcos Etapa 3</t>
  </si>
  <si>
    <t>SE San Marcos</t>
  </si>
  <si>
    <t>Centro de Transformación (CTIN) San Marcos</t>
  </si>
  <si>
    <t>Arica</t>
  </si>
  <si>
    <t>02/2026</t>
  </si>
  <si>
    <t>S/E Quinta de Tilcoco</t>
  </si>
  <si>
    <t>Barra N°3 asociada al transformador de poder N°1 de características 66/15 kV y 18.7 MVA</t>
  </si>
  <si>
    <t>Nuevo Alimentador 2 Doña Ignacia</t>
  </si>
  <si>
    <t>30/01/2026 12:51:41</t>
  </si>
  <si>
    <t>Nuevo Alimentador 1 Las Colines</t>
  </si>
  <si>
    <t>30/01/2026 13:09:30</t>
  </si>
  <si>
    <t>Nuevo Alimentador Laguna Grande</t>
  </si>
  <si>
    <t>S/E San Pedro</t>
  </si>
  <si>
    <t>Barra N°2 asociada al transformador de poder  N°2 de características 66/15 kV y 30 MVA</t>
  </si>
  <si>
    <t>San Pedro de La Paz</t>
  </si>
  <si>
    <t>S/E Alameda</t>
  </si>
  <si>
    <t>Barra N°3 asociada al transformador de poder N°3 de características 66/15 kV y 40 MVA</t>
  </si>
  <si>
    <t>52C13</t>
  </si>
  <si>
    <t>SAE Vestas</t>
  </si>
  <si>
    <t>INVERSIONES MSF 18 SPA</t>
  </si>
  <si>
    <t>S/E Paine 66 kV</t>
  </si>
  <si>
    <t>21/01/2026 21:39:46</t>
  </si>
  <si>
    <t>PE Cerro Los Loros Ampliación</t>
  </si>
  <si>
    <t>S/E Central Talinay Oriente 220 kV</t>
  </si>
  <si>
    <t>09/10/2025 18:41:50</t>
  </si>
  <si>
    <t>SAE Linatal</t>
  </si>
  <si>
    <t>INVERSIONES MSF 16 SPA</t>
  </si>
  <si>
    <t>S/E Linares 66 kV</t>
  </si>
  <si>
    <t>Nuevo Alimentador Telar (ex Placilla)</t>
  </si>
  <si>
    <t>S/E La Ligua</t>
  </si>
  <si>
    <t>Celda N°4 asociada al transformador de poder N°2 de características 110/23 kV y 30 MVA</t>
  </si>
  <si>
    <t>Celda N°4 TCE1-2</t>
  </si>
  <si>
    <t>15/01/2026 17:16:19</t>
  </si>
  <si>
    <t>Nuevo Alimentador Placilla</t>
  </si>
  <si>
    <t>BESS Parque Solar Parral</t>
  </si>
  <si>
    <t>SE Curipeumo 33/154 kV</t>
  </si>
  <si>
    <t>Barra Principal MT</t>
  </si>
  <si>
    <t>A2</t>
  </si>
  <si>
    <t>Nuevo Alimentador 12 kV Cachapoal en S/E Brasil</t>
  </si>
  <si>
    <t>S/E Brasil 12 kV</t>
  </si>
  <si>
    <t>Santiago</t>
  </si>
  <si>
    <t>20/02/2026 13:36:07</t>
  </si>
  <si>
    <t xml:space="preserve">Nuevo Alimentador 12 kV Puelo en S/E La Dehesa </t>
  </si>
  <si>
    <t>S/E La Dehesa 12 kV</t>
  </si>
  <si>
    <t>Barra 12 kV N°5 (Celda)</t>
  </si>
  <si>
    <t>C33</t>
  </si>
  <si>
    <t>Lo Barnechea</t>
  </si>
  <si>
    <t>28/11/2025 11:03:37</t>
  </si>
  <si>
    <t>05/2026</t>
  </si>
  <si>
    <t>Nuevo Alimentador 12 kV Lauca en S/E Los Domínicos</t>
  </si>
  <si>
    <t>S/E Los Domínicos 12 kV</t>
  </si>
  <si>
    <t>Barra 12 kV N°2 (Celda)</t>
  </si>
  <si>
    <t>C15</t>
  </si>
  <si>
    <t>25/02/2026 19:24:37</t>
  </si>
  <si>
    <t xml:space="preserve">Nuevo Alimentador 12 kV Maullín en S/E Pudahuel </t>
  </si>
  <si>
    <t>09/01/2026 13:18:54</t>
  </si>
  <si>
    <t xml:space="preserve">Nuevo Alimentador 12 kV Toltén en S/E Apoquindo        </t>
  </si>
  <si>
    <t>C41</t>
  </si>
  <si>
    <t>11/12/2025 15:59:06</t>
  </si>
  <si>
    <t>Nuevo Alimentador 12 kV Itata en S/E Altamirano</t>
  </si>
  <si>
    <t>S/E Altamirano 12 kV</t>
  </si>
  <si>
    <t>28/01/2026 00:00:00</t>
  </si>
  <si>
    <t xml:space="preserve">Nuevo Alimentador 12 KV Limarí en S/E Santa Raquel </t>
  </si>
  <si>
    <t>S/E Santa Raquel 12 kV</t>
  </si>
  <si>
    <t>Barra 12 kV N°8 (Celda)</t>
  </si>
  <si>
    <t>CCE8</t>
  </si>
  <si>
    <t>La Florida</t>
  </si>
  <si>
    <t xml:space="preserve">Nuevo Alimentador 23 kV Loa en S/E Lo Aguirre </t>
  </si>
  <si>
    <t>S/E Lo Aguirre 23 kV</t>
  </si>
  <si>
    <t>Barra 23 kV N°4 (Celda)</t>
  </si>
  <si>
    <t>E25</t>
  </si>
  <si>
    <t>18/02/2026 19:00:20</t>
  </si>
  <si>
    <t>11/2026</t>
  </si>
  <si>
    <t>Nuevo Alimentador 12 kV Huasco en S/E Santa Marta</t>
  </si>
  <si>
    <t>S/E Santa Marta 12 kV</t>
  </si>
  <si>
    <t>Barra 12 kV N°2 (Patio)</t>
  </si>
  <si>
    <t>18/02/2026 19:16:35</t>
  </si>
  <si>
    <t>Pampino</t>
  </si>
  <si>
    <t>Lagunas -  Collahuasi</t>
  </si>
  <si>
    <t>BESS Llanos del Viento</t>
  </si>
  <si>
    <t>S/E Llanos del Viento 33 kV</t>
  </si>
  <si>
    <t>BESS Cerro Tigre</t>
  </si>
  <si>
    <t>S/E Cerro Tigre 33 kV</t>
  </si>
  <si>
    <t>Traspaso Alimentador Latorre de Transformador N°1 a Transformador N°3</t>
  </si>
  <si>
    <t>S/E Calama 110/23kV</t>
  </si>
  <si>
    <t>Barra N°3 asociada al transformador N°3</t>
  </si>
  <si>
    <t>52E23</t>
  </si>
  <si>
    <t>Ampliación Parque Eólico Chequenes (ex Pemuco) + BESS</t>
  </si>
  <si>
    <t>S/E Chequenes (ex Pemuco)</t>
  </si>
  <si>
    <t>Pemuco</t>
  </si>
  <si>
    <t>08/2027</t>
  </si>
  <si>
    <t xml:space="preserve">Nuevo Alimentador 23 kV Petorca en S/E Lampa      </t>
  </si>
  <si>
    <t>E27</t>
  </si>
  <si>
    <t>14/01/2026 16:49:06</t>
  </si>
  <si>
    <t>Nuevo Alimentador 12 kV Petrohué en S/E La Reina</t>
  </si>
  <si>
    <t>23/01/2026 14:41:35</t>
  </si>
  <si>
    <t xml:space="preserve">Nuevo Alimentador 12 kV Elqui de S/E San Joaquín      </t>
  </si>
  <si>
    <t>11/12/2025 17:21:45</t>
  </si>
  <si>
    <t>Retiros de Red CRCA PFV Nuevo Quillagua II</t>
  </si>
  <si>
    <t>Parque Eólico Quillagua SpA</t>
  </si>
  <si>
    <t>S/E PEQ 220/23 kV</t>
  </si>
  <si>
    <t>Barra Principal (Celdas 23 kV)</t>
  </si>
  <si>
    <t>Paños de Celdas 23 kV (E15 al E30)</t>
  </si>
  <si>
    <t>Lo Rojas</t>
  </si>
  <si>
    <t>Central Bocamina I</t>
  </si>
  <si>
    <t>AT1</t>
  </si>
  <si>
    <t>Conexión Nuevo Alimentador Copihue 13,2kV</t>
  </si>
  <si>
    <t>Luzparral S.A.</t>
  </si>
  <si>
    <t>S/E Parral</t>
  </si>
  <si>
    <t>ALIMENTADOR DISPONIBLE N°2</t>
  </si>
  <si>
    <t xml:space="preserve">Conexión Nuevo Alimentador Catillo 13,2 kV </t>
  </si>
  <si>
    <t>ALIMENTADOR DISPONIBLE N°1</t>
  </si>
  <si>
    <t>09/01/2026 12:55:41</t>
  </si>
  <si>
    <t>Retiros de Red CRCA PFV Nuevo Quillagua I</t>
  </si>
  <si>
    <t>Barra simple (celdas 23 kV)</t>
  </si>
  <si>
    <t>Celdas de media tensión</t>
  </si>
  <si>
    <t>BESS Guayacanes</t>
  </si>
  <si>
    <t>S/E Central Las Piedras 110 kV</t>
  </si>
  <si>
    <t>HT2</t>
  </si>
  <si>
    <t>BESS Quidora (Ex BESS Cardones)</t>
  </si>
  <si>
    <t>Guacolda Energía S.A.</t>
  </si>
  <si>
    <t>1x220 kV Cardones - Seccionadora Llano de Llampos</t>
  </si>
  <si>
    <t>30/10/2025 17:46:30</t>
  </si>
  <si>
    <t>Sol del Oro</t>
  </si>
  <si>
    <t>SOLARIG DEVELOPMENT CHILE SPA.</t>
  </si>
  <si>
    <t>S/E Andacollo</t>
  </si>
  <si>
    <t xml:space="preserve">Barra 1 23 kV </t>
  </si>
  <si>
    <t>Andacollo</t>
  </si>
  <si>
    <t>Salida N°1 S/E Damascal</t>
  </si>
  <si>
    <t>S/E Damascal 110/23kV</t>
  </si>
  <si>
    <t>Barra Principal Seccion N°2, transformador N°1</t>
  </si>
  <si>
    <t>52E4</t>
  </si>
  <si>
    <t>27/01/2026 00:00:00</t>
  </si>
  <si>
    <t>BESS Halcón 36</t>
  </si>
  <si>
    <t>SE Crucero 220 kV</t>
  </si>
  <si>
    <t>Ampliación BESS Halcón 2</t>
  </si>
  <si>
    <t>Pozo Almonte -  Cerro Colorado 110 kV</t>
  </si>
  <si>
    <t>En derivación</t>
  </si>
  <si>
    <t>Estructura sin numeración</t>
  </si>
  <si>
    <t>Producción de Sales Maricunga</t>
  </si>
  <si>
    <t>SIMCO SpA</t>
  </si>
  <si>
    <t>S/E La Coipa 220kV</t>
  </si>
  <si>
    <t>Barra Principal (BP1) 220 kV</t>
  </si>
  <si>
    <t>Nuevo paño proyectado</t>
  </si>
  <si>
    <t>24/10/2025 10:00:32</t>
  </si>
  <si>
    <t>Rupanco II</t>
  </si>
  <si>
    <t>Rio Bonito - Antillanca 110kV</t>
  </si>
  <si>
    <t>Paño interruptor</t>
  </si>
  <si>
    <t>07/11/2025 18:18:00</t>
  </si>
  <si>
    <t>11/2025</t>
  </si>
  <si>
    <t>BESS Sol de Los Andes II</t>
  </si>
  <si>
    <t>AustrianSolar Chile Uno SpA</t>
  </si>
  <si>
    <t>S/E Sol de Los Andes</t>
  </si>
  <si>
    <t>Switchgear S/E Sol de Los Andes</t>
  </si>
  <si>
    <t>BESS SDLA 1-5</t>
  </si>
  <si>
    <t>BESS Longos Solar</t>
  </si>
  <si>
    <t>Leones Solar SpA</t>
  </si>
  <si>
    <t>PFV Longos Solar 23/110</t>
  </si>
  <si>
    <t>Conexión Alimentador 4 a Paño C4 - SE Los Lagos</t>
  </si>
  <si>
    <t>SE Los Lagos 13,2 kV</t>
  </si>
  <si>
    <t>Pucará de Chena</t>
  </si>
  <si>
    <t>Inversiones y Servicios Dataluna LTDA</t>
  </si>
  <si>
    <t>Chena 110 kV</t>
  </si>
  <si>
    <t>Barra Seccionada + Barra de Transferencia</t>
  </si>
  <si>
    <t>H4 y H7</t>
  </si>
  <si>
    <t>BESS Luz del Norte</t>
  </si>
  <si>
    <t>Parque Solar Fotovoltaico Luz del Norte SpA</t>
  </si>
  <si>
    <t>S/E CENTRAL LUZ DEL NORTE 23 kV</t>
  </si>
  <si>
    <t>GIS 23 kV (nuevas bahías en Barras N°1 y N°2)</t>
  </si>
  <si>
    <t>Barras MT (GIS) N°1 y N°2</t>
  </si>
  <si>
    <t>52E37</t>
  </si>
  <si>
    <t>Nuevo Peumo</t>
  </si>
  <si>
    <t>S/E Fuentecilla 66/15kV</t>
  </si>
  <si>
    <t>San Vicente de Tagua Tagua</t>
  </si>
  <si>
    <t>07/01/2026 11:28:44</t>
  </si>
  <si>
    <t>BESS Halcón 31</t>
  </si>
  <si>
    <t>S/E Tres Esquinas 13,2 kV</t>
  </si>
  <si>
    <t xml:space="preserve"> Barra Principal 13,2 kV</t>
  </si>
  <si>
    <t>C8</t>
  </si>
  <si>
    <t>S/E Valle Escondido 33/220 kV</t>
  </si>
  <si>
    <t>21/10/2025 20:03:54</t>
  </si>
  <si>
    <t>S/E Río Escondido 33/220 kV</t>
  </si>
  <si>
    <t>S/E Puelche Sur 33/220 kV</t>
  </si>
  <si>
    <t>27/11/2025 15:30:32</t>
  </si>
  <si>
    <t>S/E Pampa Tigre 33/220 kV</t>
  </si>
  <si>
    <t>PV SAN CAMILO</t>
  </si>
  <si>
    <t>Trends Industrial S.A.</t>
  </si>
  <si>
    <t>Subestación San Camilo</t>
  </si>
  <si>
    <t>SECCIONAMIENTO</t>
  </si>
  <si>
    <t>20 km desde S/E Travesía</t>
  </si>
  <si>
    <t>BESS Halcón 25</t>
  </si>
  <si>
    <t>S/E Los Tilos 13.8 kV</t>
  </si>
  <si>
    <t>Barra principal 13.8</t>
  </si>
  <si>
    <t>BESS Halcón 35</t>
  </si>
  <si>
    <t>S/E Cocharcas 13,8 kV</t>
  </si>
  <si>
    <t>28/01/2026 16:17:36</t>
  </si>
  <si>
    <t>BESS II Salvador</t>
  </si>
  <si>
    <t>PV Salvador SpA</t>
  </si>
  <si>
    <t>PV Salvador</t>
  </si>
  <si>
    <t>10/09/2025 19:58:24</t>
  </si>
  <si>
    <t>Sistema de Almacenamiento Sol de Lila 3</t>
  </si>
  <si>
    <t>Sol de Lila 33 kV</t>
  </si>
  <si>
    <t>Celdas 33 kV</t>
  </si>
  <si>
    <t>San Pedro de Atacama</t>
  </si>
  <si>
    <t>Ampliación BESS Halcón 8</t>
  </si>
  <si>
    <t>Tap Punta Toro - Los Colorados 110 kV</t>
  </si>
  <si>
    <t>12/09/2025 11:27:18</t>
  </si>
  <si>
    <t>BESS Nudo Norte</t>
  </si>
  <si>
    <t xml:space="preserve">LT 1x110 kV Capricornio - Alto Norte </t>
  </si>
  <si>
    <t>AR PANIMAVIDA BESS RETIROS</t>
  </si>
  <si>
    <t>07/10/2025 09:40:41</t>
  </si>
  <si>
    <t>Parque Fotovoltaico Higueritas</t>
  </si>
  <si>
    <t>Ambas barras</t>
  </si>
  <si>
    <t>J17/J18</t>
  </si>
  <si>
    <t>BESS Solution 3</t>
  </si>
  <si>
    <t>ENWAY SpA</t>
  </si>
  <si>
    <t>175</t>
  </si>
  <si>
    <t>S/E Chena 110 kV</t>
  </si>
  <si>
    <t>16/12/2025 17:39:54</t>
  </si>
  <si>
    <t>BESS Mirlo</t>
  </si>
  <si>
    <t>S/E Central Las Piedras 23 kV</t>
  </si>
  <si>
    <t>E6, nuevo</t>
  </si>
  <si>
    <t>11/08/2025 18:29:58</t>
  </si>
  <si>
    <t>BESS VOLTIO</t>
  </si>
  <si>
    <t>INVERSIONES, DESARROLLO Y FUTURO SPA</t>
  </si>
  <si>
    <t>C6 y C7</t>
  </si>
  <si>
    <t>01/12/2025 15:19:02</t>
  </si>
  <si>
    <t>CI GMF II Llanura Solar ProjectCo SpA</t>
  </si>
  <si>
    <t>15/12/2025 21:04:34</t>
  </si>
  <si>
    <t>PE Vergara</t>
  </si>
  <si>
    <t>Parque Eólico Vergara SpA</t>
  </si>
  <si>
    <t>SE Nahuelbuta</t>
  </si>
  <si>
    <t>E3 y E4</t>
  </si>
  <si>
    <t>PSF Kolgnag II</t>
  </si>
  <si>
    <t>Línea 220 kV S/E El Manzano - S/E Libélula</t>
  </si>
  <si>
    <t>S/E Llanos del Viento 33/220 kV</t>
  </si>
  <si>
    <t>03/11/2025 13:55:08</t>
  </si>
  <si>
    <t>S/E Cerro Tigre 33/220 kV</t>
  </si>
  <si>
    <t>BESS Parque Fotovoltaico Pedro de Valdivia</t>
  </si>
  <si>
    <t>E8 - E9</t>
  </si>
  <si>
    <t>PE Cancura Aumento</t>
  </si>
  <si>
    <t>PE Cancura SpA.</t>
  </si>
  <si>
    <t>SE Cancura 66 kV</t>
  </si>
  <si>
    <t>BT!</t>
  </si>
  <si>
    <t>BESS Alcones</t>
  </si>
  <si>
    <t>Ra Solar SpA</t>
  </si>
  <si>
    <t>Doña Emilia</t>
  </si>
  <si>
    <t>Switchgear S/E Doña Emilia</t>
  </si>
  <si>
    <t>Alimentador Las Bandurrias</t>
  </si>
  <si>
    <t>LÍNEA QUELENTARO - UCUQUER 23KV</t>
  </si>
  <si>
    <t>Soporte de Línea Disponible</t>
  </si>
  <si>
    <t>Línea (Disponible)</t>
  </si>
  <si>
    <t>Alimentador Los Huertos</t>
  </si>
  <si>
    <t>BESS Granja Solar II</t>
  </si>
  <si>
    <t>COPEC Renovables SpA</t>
  </si>
  <si>
    <t>S/E Granja Solar 33 kV</t>
  </si>
  <si>
    <t>BESS Centauro (Ex BESS Lampa)</t>
  </si>
  <si>
    <t>Chocalan SpA</t>
  </si>
  <si>
    <t>Retiros de la red BESS Salvador</t>
  </si>
  <si>
    <t>Aela Generación S.A.</t>
  </si>
  <si>
    <t>S/E PV Salvador</t>
  </si>
  <si>
    <t>definido</t>
  </si>
  <si>
    <t>19/08/2025 07:53:20</t>
  </si>
  <si>
    <t>Aumento de Capacidad Proyecto Copiapó Solar</t>
  </si>
  <si>
    <t>Copiapó Energía Solar SpA</t>
  </si>
  <si>
    <t>S/E Copiapó Solar 33 kV</t>
  </si>
  <si>
    <t>Barra principal, sección 1 y 2</t>
  </si>
  <si>
    <t>Parque Eólico Antofagasta Fase 2</t>
  </si>
  <si>
    <t>Parque Eólico Antofagasta SpA</t>
  </si>
  <si>
    <t>S/E Ibertaltal 500kV</t>
  </si>
  <si>
    <t>barra principal + barra transferencia</t>
  </si>
  <si>
    <t>Paño K2 − Paño KT2</t>
  </si>
  <si>
    <t>BESS Quilapilún</t>
  </si>
  <si>
    <t>Chungungo S.A.</t>
  </si>
  <si>
    <t>S/E Central Quilapilún 22 kV</t>
  </si>
  <si>
    <t>BESS Boca de Mina</t>
  </si>
  <si>
    <t>S/E Central Bocamina I  154kV</t>
  </si>
  <si>
    <t>Barra 154kV</t>
  </si>
  <si>
    <t>Paño AT1</t>
  </si>
  <si>
    <t>26/09/2025 12:48:33</t>
  </si>
  <si>
    <t>Conexión Nuevo Alimentador 4 Ascenty a Paño E65 en SE Chacabuco</t>
  </si>
  <si>
    <t>Barra Principal N°9</t>
  </si>
  <si>
    <t>E65</t>
  </si>
  <si>
    <t>Conexión Nuevo Alimentador 3 Ascenty a Paño E64 en SE Chacabuco</t>
  </si>
  <si>
    <t>E64</t>
  </si>
  <si>
    <t>Conexión Nuevo Alimentador 2 Ascenty a Paño E63 en SE Chacabuco</t>
  </si>
  <si>
    <t>E63</t>
  </si>
  <si>
    <t>Conexión Nuevo Alimentador 1 Ascenty a Paño E62 en SE Chacabuco</t>
  </si>
  <si>
    <t>E62</t>
  </si>
  <si>
    <t>Sistema de Almacenamiento del PFV Finis Terrae</t>
  </si>
  <si>
    <t>S/E Rande - 33 kV</t>
  </si>
  <si>
    <t>Bennu Wind</t>
  </si>
  <si>
    <t>1x220 kV Las Palmas - Canela II</t>
  </si>
  <si>
    <t>Barra Principal + Barra de Transferencia</t>
  </si>
  <si>
    <t>52J1</t>
  </si>
  <si>
    <t>01/08/2025 09:20:00</t>
  </si>
  <si>
    <t>BESS Rabenau</t>
  </si>
  <si>
    <t>Llanos de Rungue</t>
  </si>
  <si>
    <t>Ambas</t>
  </si>
  <si>
    <t>J11/12</t>
  </si>
  <si>
    <t>Illapel</t>
  </si>
  <si>
    <t>Parque Fotovoltaico Las Barrancas</t>
  </si>
  <si>
    <t>S/E Llanos de Rungue</t>
  </si>
  <si>
    <t>J10/11</t>
  </si>
  <si>
    <t>Parque Fotovoltaico Llanos de Rungue</t>
  </si>
  <si>
    <t>S/E Llanos de Rungue 220 kV</t>
  </si>
  <si>
    <t>J4/5 y J8/9</t>
  </si>
  <si>
    <t>Porvenir II</t>
  </si>
  <si>
    <t>Energy Head SpA</t>
  </si>
  <si>
    <t>Las Vegas - Cristalerias Chile 110 kV</t>
  </si>
  <si>
    <t>Llaillay</t>
  </si>
  <si>
    <t>25/08/2025 20:10:17</t>
  </si>
  <si>
    <t>Pampa Unión PV+BESS</t>
  </si>
  <si>
    <t>Pampa Unión</t>
  </si>
  <si>
    <t>S/E Centinela</t>
  </si>
  <si>
    <t>Paño J16</t>
  </si>
  <si>
    <t>J16/J17</t>
  </si>
  <si>
    <t>Santa Victoria</t>
  </si>
  <si>
    <t>RHO GENERACIÓN SPA</t>
  </si>
  <si>
    <t>S/E La Ligua 23 kV</t>
  </si>
  <si>
    <t>Explícito (ex San Nicolas)</t>
  </si>
  <si>
    <t>S/E Codegua, 66 kV</t>
  </si>
  <si>
    <t>20/02/2026 18:03:48</t>
  </si>
  <si>
    <t>Ampliación Observatorio del Verano Solar</t>
  </si>
  <si>
    <t>S/E Elevadora Observatorio del Verano</t>
  </si>
  <si>
    <t>Barra 36 kV</t>
  </si>
  <si>
    <t>BESS La Democracia</t>
  </si>
  <si>
    <t>Charrua 220-&gt; Central Los Guindos 220</t>
  </si>
  <si>
    <t>BESS EL GANSO</t>
  </si>
  <si>
    <t>Limes Chile SpA</t>
  </si>
  <si>
    <t>S/E LA POLVORA 220 kV</t>
  </si>
  <si>
    <t>BARRA 1</t>
  </si>
  <si>
    <t>BESS QUIÑENCO</t>
  </si>
  <si>
    <t>Newen Quiñenco SPA</t>
  </si>
  <si>
    <t>S/E LAGUNILLAS 220 kV</t>
  </si>
  <si>
    <t>1</t>
  </si>
  <si>
    <t>j16</t>
  </si>
  <si>
    <t>Grupo Energy Inversiones SpA</t>
  </si>
  <si>
    <t>S/E LAGUNILLAS 220</t>
  </si>
  <si>
    <t>Aumento de Capacidad Alfalfal + BESS Virtual Reservoir y Retiro desde la Red</t>
  </si>
  <si>
    <t>AES Andes S.A.</t>
  </si>
  <si>
    <t>Alfalfal 220 kV</t>
  </si>
  <si>
    <t>JT1 y JT2</t>
  </si>
  <si>
    <t>San José de Maipo</t>
  </si>
  <si>
    <t>BESS Parque Fotovoltaico Oro y Cielo</t>
  </si>
  <si>
    <t>Nueva S/E Seccionadora Oro y Cielo 33 kV</t>
  </si>
  <si>
    <t>E7 - E11</t>
  </si>
  <si>
    <t>23/09/2025 14:54:57</t>
  </si>
  <si>
    <t>BESS Cardonal</t>
  </si>
  <si>
    <t>Statkraft Eólico S.A.</t>
  </si>
  <si>
    <t>S/E Cardonal - Celdas 23 kV</t>
  </si>
  <si>
    <t>Barras 1 y 2 de media tensión</t>
  </si>
  <si>
    <t>E3 y E9</t>
  </si>
  <si>
    <t>PV+BESS Alonkura</t>
  </si>
  <si>
    <t>S/E Kimal 500 kV</t>
  </si>
  <si>
    <t>K8-K9 y K11-K12</t>
  </si>
  <si>
    <t>Parque Eólico Coñicu</t>
  </si>
  <si>
    <t>135</t>
  </si>
  <si>
    <t>LAT 1x220 kV Puelche Sur - Frutillar Norte</t>
  </si>
  <si>
    <t>Purranque</t>
  </si>
  <si>
    <t>Alimentador Rabuco</t>
  </si>
  <si>
    <t>Chilquinta Distribución S.A.</t>
  </si>
  <si>
    <t>SE Las Vegas 110/12kV</t>
  </si>
  <si>
    <t>Barra N°1 12kV</t>
  </si>
  <si>
    <t>03/11/2025 18:41:21</t>
  </si>
  <si>
    <t>BESS Gran Teno</t>
  </si>
  <si>
    <t>GR Algarrobo SpA</t>
  </si>
  <si>
    <t>S/E Solís</t>
  </si>
  <si>
    <t>Celdas MT</t>
  </si>
  <si>
    <t>PE+BESS Monte León</t>
  </si>
  <si>
    <t>S/E Monterrico 154 kV</t>
  </si>
  <si>
    <t>A4</t>
  </si>
  <si>
    <t>San Nicolás</t>
  </si>
  <si>
    <t>20/11/2025 16:05:13</t>
  </si>
  <si>
    <t>Nuevo Alimentador T3 Mariscal - 52E13</t>
  </si>
  <si>
    <t>S/E Mariscal</t>
  </si>
  <si>
    <t>52E13</t>
  </si>
  <si>
    <t>Nuevo Alimentador T3 Mariscal - 52E12</t>
  </si>
  <si>
    <t>52E12</t>
  </si>
  <si>
    <t>Nuevo Alimentador T3 Mariscal - 52E11</t>
  </si>
  <si>
    <t>3.3</t>
  </si>
  <si>
    <t>52E11</t>
  </si>
  <si>
    <t>BESS Mosquetas</t>
  </si>
  <si>
    <t>Santa Elisa 66kV</t>
  </si>
  <si>
    <t>Conexión Alimentador Saesa a Paño ET66 en SE Melipulli</t>
  </si>
  <si>
    <t>Melipulli 23 kV</t>
  </si>
  <si>
    <t>ET66</t>
  </si>
  <si>
    <t>PSF Kolgnag</t>
  </si>
  <si>
    <t>S/E Libélula</t>
  </si>
  <si>
    <t>BESS Taqui</t>
  </si>
  <si>
    <t>Orion Power SpA.</t>
  </si>
  <si>
    <t>Punitaqui 13 kV</t>
  </si>
  <si>
    <t>Punitaqui</t>
  </si>
  <si>
    <t>27/01/2026 16:22:02</t>
  </si>
  <si>
    <t>SP Paradis</t>
  </si>
  <si>
    <t>SE Negrete 66 kV</t>
  </si>
  <si>
    <t>25/11/2025 16:23:56</t>
  </si>
  <si>
    <t>LIBRILLO SOLAR</t>
  </si>
  <si>
    <t>Librillo Solar SpA</t>
  </si>
  <si>
    <t>S/E CONEJO 220 KV</t>
  </si>
  <si>
    <t>BARRA 33 KV PROYECTO LIBRILLO BESS</t>
  </si>
  <si>
    <t>POR DEFINIR</t>
  </si>
  <si>
    <t>LIBRILLO BESS</t>
  </si>
  <si>
    <t>BESS Luz del sur</t>
  </si>
  <si>
    <t>Sol de Perales SpA</t>
  </si>
  <si>
    <t>S/E PARGUA 220 kV</t>
  </si>
  <si>
    <t>Barra principal 220 kV</t>
  </si>
  <si>
    <t>Media diagonal J5-J6 - 220 kV</t>
  </si>
  <si>
    <t xml:space="preserve">Nuevo Alimentador 12 KV Lonquimay en S/E Santa Raquel </t>
  </si>
  <si>
    <t>Barra 12 kV N°8 (celda)</t>
  </si>
  <si>
    <t>C60</t>
  </si>
  <si>
    <t>10/11/2025 07:24:24</t>
  </si>
  <si>
    <t>BESS Mandarinos (ex BESS Chillán)</t>
  </si>
  <si>
    <t>S/E Santa Elisa 23kV</t>
  </si>
  <si>
    <t>13/10/2025 12:03:04</t>
  </si>
  <si>
    <t>04/2026</t>
  </si>
  <si>
    <t>BESS La Gaviota</t>
  </si>
  <si>
    <t>El Empalme</t>
  </si>
  <si>
    <t>Tatara</t>
  </si>
  <si>
    <t>S/E Maitencillo 13,2</t>
  </si>
  <si>
    <t>Barra principal, sección 1</t>
  </si>
  <si>
    <t>C1, preliminar</t>
  </si>
  <si>
    <t>13/11/2025 16:31:15</t>
  </si>
  <si>
    <t>Retiro de la Red Parque Solar Andes 2A (Solar + BESS)</t>
  </si>
  <si>
    <t>Andes Solar II SpA</t>
  </si>
  <si>
    <t>S/E Andes 23 kV</t>
  </si>
  <si>
    <t>ET3</t>
  </si>
  <si>
    <t>03/07/2025 15:32:00</t>
  </si>
  <si>
    <t>Bess Esperanza</t>
  </si>
  <si>
    <t>Esperanza Energía SpA</t>
  </si>
  <si>
    <t>Pan de Azucar 13,2</t>
  </si>
  <si>
    <t>Paño C10 de la barra BP2-13.2kV, en Pan de Azúcar</t>
  </si>
  <si>
    <t>Paño C10</t>
  </si>
  <si>
    <t>BESS Riju</t>
  </si>
  <si>
    <t>RIJU SOLAR SPA</t>
  </si>
  <si>
    <t>Panguilemo 15kV</t>
  </si>
  <si>
    <t>BESS Parina Solar</t>
  </si>
  <si>
    <t>Parina Solar SpA</t>
  </si>
  <si>
    <t>S/E Parque Fotovoltaico Parina Solar - Celdas 33kV</t>
  </si>
  <si>
    <t>LightHouse VII</t>
  </si>
  <si>
    <t>Central Chagual 23 kV</t>
  </si>
  <si>
    <t>02/12/2025 18:47:38</t>
  </si>
  <si>
    <t>07/2027</t>
  </si>
  <si>
    <t>Estación de Bombeo de Relaves (EBR) de PRET – Módulo 1</t>
  </si>
  <si>
    <t>24.5</t>
  </si>
  <si>
    <t>S/E PRET</t>
  </si>
  <si>
    <t>27/05/2025 00:00:00</t>
  </si>
  <si>
    <t>Sistema de Almacenamiento del PF Las Salinas II</t>
  </si>
  <si>
    <t>Las Salinas - 33 kV (ex Nueva El Arriero)</t>
  </si>
  <si>
    <t>13/06/2025 15:25:22</t>
  </si>
  <si>
    <t>LightHouse IX</t>
  </si>
  <si>
    <t>182</t>
  </si>
  <si>
    <t>Central Antilhue 220 kV</t>
  </si>
  <si>
    <t>Barra Auxiliar 220 kV</t>
  </si>
  <si>
    <t>LightHouse VIII</t>
  </si>
  <si>
    <t>Central San Javier 23 kV</t>
  </si>
  <si>
    <t>Condensadores Síncronos en S/E Monte Mina</t>
  </si>
  <si>
    <t>Transelec S.A.</t>
  </si>
  <si>
    <t>92</t>
  </si>
  <si>
    <t>Monte Mina (Likanantai)</t>
  </si>
  <si>
    <t>J33</t>
  </si>
  <si>
    <t>10/11/2025 16:02:39</t>
  </si>
  <si>
    <t>Sol Oriente</t>
  </si>
  <si>
    <t>Nueva Subestación Manuel Rodriguez, barra 220kV</t>
  </si>
  <si>
    <t>52j12/52j13, por definir</t>
  </si>
  <si>
    <t>Don Patricio BESS</t>
  </si>
  <si>
    <t>SOLAR CHILE ENERGIA II SPA</t>
  </si>
  <si>
    <t>SE Manuel Rodriguez</t>
  </si>
  <si>
    <t>Barra Principal - Paño J7</t>
  </si>
  <si>
    <t>J7</t>
  </si>
  <si>
    <t>PV+BESS Cala</t>
  </si>
  <si>
    <t>Nueva S/E Manuel Rodríguez</t>
  </si>
  <si>
    <t>Barra Principal N˚2</t>
  </si>
  <si>
    <t>USTA El Tamarugo</t>
  </si>
  <si>
    <t>Solek Chile Services SpA</t>
  </si>
  <si>
    <t>180</t>
  </si>
  <si>
    <t>S/E Manuel Rodriguez 220 kV</t>
  </si>
  <si>
    <t>Proyecto Arrayanes</t>
  </si>
  <si>
    <t>S/E Valentín Letelier 154 kV</t>
  </si>
  <si>
    <t>A3</t>
  </si>
  <si>
    <t>PFV Costanera Solar</t>
  </si>
  <si>
    <t>SE Don Melchor 110 kV</t>
  </si>
  <si>
    <t>PFV Llano Alto</t>
  </si>
  <si>
    <t>450</t>
  </si>
  <si>
    <t>SE Manuel Rodriguez 220 kV</t>
  </si>
  <si>
    <t>Barra 220 kV Paño J6 o el que Coordinador Asigna</t>
  </si>
  <si>
    <t>J6 o Paño asignado por Coordinador</t>
  </si>
  <si>
    <t>Parque Fotovoltaico Don Patricio</t>
  </si>
  <si>
    <t>Pacific Hydro Chile S.A.</t>
  </si>
  <si>
    <t>Barra Principal 1 diagonal 3</t>
  </si>
  <si>
    <t>El Cortijo 2</t>
  </si>
  <si>
    <t>Lo Campino 220 kV</t>
  </si>
  <si>
    <t>PFV San Antonio Solar</t>
  </si>
  <si>
    <t>SE Llolleo 110 kV</t>
  </si>
  <si>
    <t>El Cortijo 1</t>
  </si>
  <si>
    <t>BESS Ladera Sur 2</t>
  </si>
  <si>
    <t>Manuel Rodríguez 220 kV</t>
  </si>
  <si>
    <t>PFV La Dormida Solar</t>
  </si>
  <si>
    <t>Manuel Rodriguez 220 kV</t>
  </si>
  <si>
    <t>Semidiagonal J7-J8</t>
  </si>
  <si>
    <t>J7-J8</t>
  </si>
  <si>
    <t>BESS Ladera Sur 1</t>
  </si>
  <si>
    <t>SAE Ladera Sur SpA</t>
  </si>
  <si>
    <t>Parque Solar La Espuela</t>
  </si>
  <si>
    <t>Desarrollo Integral de Energía SpA</t>
  </si>
  <si>
    <t>Nueva S/E Llolleo 110 kV</t>
  </si>
  <si>
    <t>PFV Aurora</t>
  </si>
  <si>
    <t>Manuel Rodriguez</t>
  </si>
  <si>
    <t>j10</t>
  </si>
  <si>
    <t>PFV Llolleo</t>
  </si>
  <si>
    <t>KSR SIETE SpA</t>
  </si>
  <si>
    <t>S/E Llolleo</t>
  </si>
  <si>
    <t>Barra principal mas transferencia</t>
  </si>
  <si>
    <t>PV Coracero</t>
  </si>
  <si>
    <t>Alhambra Solar SpA</t>
  </si>
  <si>
    <t>PFV Nos</t>
  </si>
  <si>
    <t>Nueva S/E Nos 110 kV</t>
  </si>
  <si>
    <t>Doble Barra principal + Transferencia</t>
  </si>
  <si>
    <t>Parque Fotovoltaico Andino Malvilla</t>
  </si>
  <si>
    <t>Parque Renovable Cantarrana</t>
  </si>
  <si>
    <t>Gestión y Asesoria de Energía SpA.</t>
  </si>
  <si>
    <t>Nueva subestación Llolleo 110 kV</t>
  </si>
  <si>
    <t>Doble barra principal y barra de transferencia</t>
  </si>
  <si>
    <t>Parque Solar La Cañada</t>
  </si>
  <si>
    <t>Nueva Subestación Manuel Rodriguez</t>
  </si>
  <si>
    <t>Nébula de Verano</t>
  </si>
  <si>
    <t>S/E Manuel Rodríguez</t>
  </si>
  <si>
    <t>Parque Fotovoltaico Max</t>
  </si>
  <si>
    <t>Nueva Subestación Valentín Letelier 154 kV</t>
  </si>
  <si>
    <t>A3, por definir</t>
  </si>
  <si>
    <t>Parque Fotovoltaico Leonor</t>
  </si>
  <si>
    <t>Nueva S/E Manuel Rodríguez 220 kV</t>
  </si>
  <si>
    <t>J7, por definir</t>
  </si>
  <si>
    <t>La Afortunada</t>
  </si>
  <si>
    <t xml:space="preserve">JINKO POWER CHILE SPA </t>
  </si>
  <si>
    <t>Barra Principal N°1 y N°2</t>
  </si>
  <si>
    <t>J8-J9</t>
  </si>
  <si>
    <t>PV La Palmilla Solar</t>
  </si>
  <si>
    <t>Nueva S/E Valentín Letelier 154 kV</t>
  </si>
  <si>
    <t>PV Malvillo</t>
  </si>
  <si>
    <t>Nueva S/E Llolleo</t>
  </si>
  <si>
    <t>La Petaca</t>
  </si>
  <si>
    <t>Trivento SpA</t>
  </si>
  <si>
    <t>J11/J12, POR DEFINIR</t>
  </si>
  <si>
    <t>Sol de Francisca</t>
  </si>
  <si>
    <t>Estrella Fugaz SpA</t>
  </si>
  <si>
    <t>Nueva Línea de Transmisión 66 kV   S/E Petropower - S/E ERBB N°1 y S/E ERBB N°2</t>
  </si>
  <si>
    <t>Enap Refinería Aconcagua</t>
  </si>
  <si>
    <t>S/E Petropower 66 kV</t>
  </si>
  <si>
    <t xml:space="preserve">52BL1 y 52BL2 </t>
  </si>
  <si>
    <t>Hualpén</t>
  </si>
  <si>
    <t>AMPLIACIÓN S/E PETROPOWER</t>
  </si>
  <si>
    <t>85</t>
  </si>
  <si>
    <t>S/E Hualpén 154 kV</t>
  </si>
  <si>
    <t>Barra Pincipal</t>
  </si>
  <si>
    <t>Mejoras en S/E ENAP N°1  25/28,75 MVA</t>
  </si>
  <si>
    <t>25</t>
  </si>
  <si>
    <t>52L1/52L2</t>
  </si>
  <si>
    <t>BESS Caren</t>
  </si>
  <si>
    <t>Lo Aguirre Energía SpA</t>
  </si>
  <si>
    <t>Seccionadora Lo Aguirre 220 kV</t>
  </si>
  <si>
    <t>PFV Leyda BESS</t>
  </si>
  <si>
    <t>Parque Solar LEYDA SPA</t>
  </si>
  <si>
    <t>S/E Santo Domingo 33 kV</t>
  </si>
  <si>
    <t>Barra Principal Sección 1 y 2</t>
  </si>
  <si>
    <t>F5 y F6</t>
  </si>
  <si>
    <t>Salar Futuro II</t>
  </si>
  <si>
    <t>SQM Salar S.A.</t>
  </si>
  <si>
    <t>Andes Laberinto</t>
  </si>
  <si>
    <t>barra simple mas transferencia</t>
  </si>
  <si>
    <t>03/07/2025 15:14:23</t>
  </si>
  <si>
    <t>Barra principal sección 1 y 2</t>
  </si>
  <si>
    <t>S/E Santo Domingo 110 kV</t>
  </si>
  <si>
    <t>NUevo Alimentador Miraflores</t>
  </si>
  <si>
    <t>Barra Principal, sección 2</t>
  </si>
  <si>
    <t>Alimentador Caracoles</t>
  </si>
  <si>
    <t>Yerbas Buenas 13,2 kV</t>
  </si>
  <si>
    <t>Parque Fotovoltaico Los Durmientes</t>
  </si>
  <si>
    <t>RWE Renewables Chile SpA</t>
  </si>
  <si>
    <t>244</t>
  </si>
  <si>
    <t>J25</t>
  </si>
  <si>
    <t>10/11/2025 15:48:18</t>
  </si>
  <si>
    <t>PFV Tata Inti + BESS</t>
  </si>
  <si>
    <t>NR Tata Inti SpA</t>
  </si>
  <si>
    <t>77.9</t>
  </si>
  <si>
    <t>Pozo Almonte 110 kV</t>
  </si>
  <si>
    <t>04/09/2025 10:25:28</t>
  </si>
  <si>
    <t>Parque Fotovoltaico Hades</t>
  </si>
  <si>
    <t>Algarrobal 220 kV</t>
  </si>
  <si>
    <t>Semidiagonal J26-J27</t>
  </si>
  <si>
    <t>J26-J27</t>
  </si>
  <si>
    <t>BESS Fidelia</t>
  </si>
  <si>
    <t>S/E PE Pampa Fidelia 220/33</t>
  </si>
  <si>
    <t>04/2027</t>
  </si>
  <si>
    <t>Ampliación Parque Eólico Pemuco + BESS</t>
  </si>
  <si>
    <t>S/E Pemuco 220/33</t>
  </si>
  <si>
    <t>LightHouse III</t>
  </si>
  <si>
    <t>Central Termopacífico 23 kV</t>
  </si>
  <si>
    <t>91</t>
  </si>
  <si>
    <t>Central Emelda 10,5 kV</t>
  </si>
  <si>
    <t>BESS QUILLAY</t>
  </si>
  <si>
    <t>Generadora Quillay SpA.</t>
  </si>
  <si>
    <t>Los Vilos 23 kV</t>
  </si>
  <si>
    <t>Barra Simple 1 23kV</t>
  </si>
  <si>
    <t>24/02/2026 12:15:54</t>
  </si>
  <si>
    <t>BESS II San Andres</t>
  </si>
  <si>
    <t>San Andrés SpA</t>
  </si>
  <si>
    <t>San Andres 23</t>
  </si>
  <si>
    <t>barra</t>
  </si>
  <si>
    <t>PV Salvador 23 kV</t>
  </si>
  <si>
    <t>El Espino</t>
  </si>
  <si>
    <t>La Yesera 110 kV</t>
  </si>
  <si>
    <t>HT1</t>
  </si>
  <si>
    <t>25/06/2025 17:04:58</t>
  </si>
  <si>
    <t>CH Rucacura</t>
  </si>
  <si>
    <t>Línea 23kv Rucacura - Mampil</t>
  </si>
  <si>
    <t>Linea</t>
  </si>
  <si>
    <t>no aplica</t>
  </si>
  <si>
    <t>Parque Eólico Ramal + BESS</t>
  </si>
  <si>
    <t>BP1-110 kV</t>
  </si>
  <si>
    <t>12/01/2026 17:16:02</t>
  </si>
  <si>
    <t>Santa Adela BESS (ex CHIMBARONGO BESS)</t>
  </si>
  <si>
    <t xml:space="preserve">CHIMBARONGO BESS SPA </t>
  </si>
  <si>
    <t>S/E CHIMBARONGO</t>
  </si>
  <si>
    <t>B5</t>
  </si>
  <si>
    <t>Sol Poniente II</t>
  </si>
  <si>
    <t>S/E Seccionadora Lo Aguirre 220 kV</t>
  </si>
  <si>
    <t>Principal 1</t>
  </si>
  <si>
    <t>J2/J3</t>
  </si>
  <si>
    <t>BESS Asiento Viejo</t>
  </si>
  <si>
    <t>Illapel 110kV</t>
  </si>
  <si>
    <t>Barra principal Nº 1</t>
  </si>
  <si>
    <t>08/09/2025 08:50:10</t>
  </si>
  <si>
    <t>Rodolmo Sur</t>
  </si>
  <si>
    <t>LAT 2x220 kV Santa María - Charrúa</t>
  </si>
  <si>
    <t>Barras nueva S/E</t>
  </si>
  <si>
    <t>16/05/2025 17:51:17</t>
  </si>
  <si>
    <t>Parque Eólico La Baluma</t>
  </si>
  <si>
    <t>Aes Chile Inversiones Renovables SpA</t>
  </si>
  <si>
    <t>Frutillar Norte</t>
  </si>
  <si>
    <t>BESS Estepa II</t>
  </si>
  <si>
    <t>Estepa Solar Dos SpA</t>
  </si>
  <si>
    <t>Subestación Estepa 220 kV</t>
  </si>
  <si>
    <t>SAE Volcán Sollipulli II</t>
  </si>
  <si>
    <t>S/E Elevadora Volcán Sollipulli</t>
  </si>
  <si>
    <t>Barra 23kV</t>
  </si>
  <si>
    <t>S/E Elevadora Volcán Sollipulli 23kV</t>
  </si>
  <si>
    <t>Ampliación PE Quebrada Locayo</t>
  </si>
  <si>
    <t>Parque Eolico Locayo SpA</t>
  </si>
  <si>
    <t>Central La Cebada - 220 KV</t>
  </si>
  <si>
    <t>Barra Principal N°2 - Barra Transferencia</t>
  </si>
  <si>
    <t>SAE Volcán Mentolat II</t>
  </si>
  <si>
    <t>S/E Elevadora Volcán Mentolat</t>
  </si>
  <si>
    <t>S/E Elevadora Volcán Mentolat 23kV</t>
  </si>
  <si>
    <t>Coltauco</t>
  </si>
  <si>
    <t>SAE Volcán Hudson II</t>
  </si>
  <si>
    <t>S/E Elevadora Volcán Hudson</t>
  </si>
  <si>
    <t>S/E Elevadora Volcán Hudson 23kV</t>
  </si>
  <si>
    <t>S/E Elevadora Volcán Guallatiri 23kV</t>
  </si>
  <si>
    <t>SAE Volcán Melimoyu II</t>
  </si>
  <si>
    <t>S/E Elevadora Volcán Melimoyu</t>
  </si>
  <si>
    <t>S/E Elevadora Volcán Melimoyu 23kV</t>
  </si>
  <si>
    <t>Molina</t>
  </si>
  <si>
    <t>SAE Volcán Lanín II</t>
  </si>
  <si>
    <t>S/E Elevadora Volcán Lanín</t>
  </si>
  <si>
    <t>S/E Elevadora Volcán Lanín 23kV</t>
  </si>
  <si>
    <t>Curacautín</t>
  </si>
  <si>
    <t>S/E El Pelícano 23 kV</t>
  </si>
  <si>
    <t>Barra Principal J1</t>
  </si>
  <si>
    <t>Manquel Solar</t>
  </si>
  <si>
    <t>Energy Asset SpA</t>
  </si>
  <si>
    <t>1 x 154 Abanico - Charrua</t>
  </si>
  <si>
    <t>Antuco</t>
  </si>
  <si>
    <t>PFV Planchón</t>
  </si>
  <si>
    <t>GR Rapanui SpA</t>
  </si>
  <si>
    <t>S/E Solís 154 kV</t>
  </si>
  <si>
    <t>Barra principal más barra de transferencia</t>
  </si>
  <si>
    <t>11/11/2025 10:50:45</t>
  </si>
  <si>
    <t>SAE Volcán Reclus II</t>
  </si>
  <si>
    <t>S/E Deuco 66kV</t>
  </si>
  <si>
    <t>25/04/2025 18:59:05</t>
  </si>
  <si>
    <t>SE Deuco 66kV</t>
  </si>
  <si>
    <t>SAE Volcán Chiliques II</t>
  </si>
  <si>
    <t>S/E Aihuapi 66kV</t>
  </si>
  <si>
    <t>BESS Paicaví (ex BESS Mariscal)</t>
  </si>
  <si>
    <t>KSR CUATRO SpA</t>
  </si>
  <si>
    <t>S/E MARISCAL 110 KV</t>
  </si>
  <si>
    <t>DOBLE BARRA, BARRA 1</t>
  </si>
  <si>
    <t>BESS MARISCAL</t>
  </si>
  <si>
    <t>KSR UNO SpA</t>
  </si>
  <si>
    <t>S/E Mariscal 110 kV</t>
  </si>
  <si>
    <t>Doble barra, barra 1</t>
  </si>
  <si>
    <t>Sol de la Caliza</t>
  </si>
  <si>
    <t xml:space="preserve">LAT 1x44 kV Punta Peuco – Principal Planta Polpaico </t>
  </si>
  <si>
    <t>Conexión en derivación</t>
  </si>
  <si>
    <t>Conexión en detrivación</t>
  </si>
  <si>
    <t>Sol de la Cruz</t>
  </si>
  <si>
    <t>LAT El Peñón-Minera Teck 110 kV</t>
  </si>
  <si>
    <t>Sol del Condor</t>
  </si>
  <si>
    <t>125</t>
  </si>
  <si>
    <t>LAT 2x220 kV Ancoa - Los Cóndores</t>
  </si>
  <si>
    <t>Sol de la Sierra</t>
  </si>
  <si>
    <t>LAT 2x220 kV Puente Negro - La Higuera</t>
  </si>
  <si>
    <t>Sol de la Rosa</t>
  </si>
  <si>
    <t xml:space="preserve">LAT 1x220 kV Laja 1- El Rosal </t>
  </si>
  <si>
    <t>SAE FPG MZ6</t>
  </si>
  <si>
    <t>236</t>
  </si>
  <si>
    <t>Valle Escondido 220 kV</t>
  </si>
  <si>
    <t>Barra con Transferencia</t>
  </si>
  <si>
    <t>BESS Vizcacha</t>
  </si>
  <si>
    <t>Central San Lorenzo de Diego de Almagro 220 kV</t>
  </si>
  <si>
    <t>J3, nuevo</t>
  </si>
  <si>
    <t>H3, nuevo</t>
  </si>
  <si>
    <t>Nuevo Alimentador  Quilamapu</t>
  </si>
  <si>
    <t>6.5</t>
  </si>
  <si>
    <t>S/E Santa Elvira 15 kV</t>
  </si>
  <si>
    <t>Barra N°1 asociada al transformador de poder N°3</t>
  </si>
  <si>
    <t>52C10</t>
  </si>
  <si>
    <t>Chillán</t>
  </si>
  <si>
    <t>Nuevo Alimentador Maipón</t>
  </si>
  <si>
    <t>8.2</t>
  </si>
  <si>
    <t>52C11</t>
  </si>
  <si>
    <t>PFV Inambú</t>
  </si>
  <si>
    <t>16</t>
  </si>
  <si>
    <t>S/E Los Ángeles Sur - Duqueco 66 kV</t>
  </si>
  <si>
    <t>Barra 33kV</t>
  </si>
  <si>
    <t>S/E Los Ángeles Sur</t>
  </si>
  <si>
    <t>PFV LEYDA BESS</t>
  </si>
  <si>
    <t>CP_SAE_100 (ex LA PIEDRA BESS)</t>
  </si>
  <si>
    <t>S/E CURACAVI 44kV</t>
  </si>
  <si>
    <t>Barra Principal, Seccion 1</t>
  </si>
  <si>
    <t>C3, por definir</t>
  </si>
  <si>
    <t>01/10/2025 14:13:03</t>
  </si>
  <si>
    <t>UHYB Los Sauces de Leyda</t>
  </si>
  <si>
    <t>S/E SANTO DOMINGO 110 kV</t>
  </si>
  <si>
    <t>07/11/2025 18:14:31</t>
  </si>
  <si>
    <t xml:space="preserve"> Chamonate BESS (Ex Rosario BESS) </t>
  </si>
  <si>
    <t xml:space="preserve">ROSARIO BESS SPA </t>
  </si>
  <si>
    <t>S/E ROSARIO 66 kV</t>
  </si>
  <si>
    <t>B5, por definir</t>
  </si>
  <si>
    <t>BESS Posada</t>
  </si>
  <si>
    <t>S/E Elevadora Posada 33 kV</t>
  </si>
  <si>
    <t>Barra de media Tensión 33 kV</t>
  </si>
  <si>
    <t>FT2</t>
  </si>
  <si>
    <t>BESS Carén</t>
  </si>
  <si>
    <t>S/E Lo Aguirre 220</t>
  </si>
  <si>
    <t>J19</t>
  </si>
  <si>
    <t>BESS San Juan II</t>
  </si>
  <si>
    <t>San Juan S.A.</t>
  </si>
  <si>
    <t>155.2</t>
  </si>
  <si>
    <t>S/E CENTRAL PARQUE EOLICO SAN JUAN 33kV</t>
  </si>
  <si>
    <t>B06-A06</t>
  </si>
  <si>
    <t>Inti Pacha 2</t>
  </si>
  <si>
    <t>S/E Crucero 220kV</t>
  </si>
  <si>
    <t>15/12/2025 11:59:44</t>
  </si>
  <si>
    <t>12/2028</t>
  </si>
  <si>
    <t>Inti Pacha 1</t>
  </si>
  <si>
    <t>J14</t>
  </si>
  <si>
    <t>15/12/2025 11:56:18</t>
  </si>
  <si>
    <t>03/10/2025 21:46:35</t>
  </si>
  <si>
    <t>CRCA La Pampina</t>
  </si>
  <si>
    <t>Planta Solar La Pampina SpA</t>
  </si>
  <si>
    <t>159</t>
  </si>
  <si>
    <t>S/E CEME 1 33 kV</t>
  </si>
  <si>
    <t>Barras 33 kV</t>
  </si>
  <si>
    <t>LightHouse II</t>
  </si>
  <si>
    <t>S/E Central Andes Generación</t>
  </si>
  <si>
    <t>Barra Media Tensión</t>
  </si>
  <si>
    <t>Conexión Nuevo Alimentador Ascenty a Paño E53 en SE Chacabuco</t>
  </si>
  <si>
    <t>8.4</t>
  </si>
  <si>
    <t>S/E CHACABUCO 23 kV</t>
  </si>
  <si>
    <t>Barra Principal Sección 7</t>
  </si>
  <si>
    <t>E53</t>
  </si>
  <si>
    <t xml:space="preserve">Traslado Alimentador 12 KV Sotero en S/E Santa Raquel   </t>
  </si>
  <si>
    <t>S/E Santa Raquel 12 KV</t>
  </si>
  <si>
    <t>C57</t>
  </si>
  <si>
    <t>08/04/2025 15:20:07</t>
  </si>
  <si>
    <t>Nuevo Alimentador 23 kV Surire en S/E San Pablo</t>
  </si>
  <si>
    <t>S/E San Pablo 23 kV</t>
  </si>
  <si>
    <t>Barra 23 kV N°4 (Patio)</t>
  </si>
  <si>
    <t>E19</t>
  </si>
  <si>
    <t>24/07/2025 11:30:38</t>
  </si>
  <si>
    <t>Nuevo Alimentador 12 KV Henríquez en S/E Santa Raquel</t>
  </si>
  <si>
    <t>C58</t>
  </si>
  <si>
    <t>06/06/2025 14:12:51</t>
  </si>
  <si>
    <t>Nuevo Alimentador 12 kV Valencia en S/E Macul</t>
  </si>
  <si>
    <t>Barra 12 kV N°1 (celdas)</t>
  </si>
  <si>
    <t>Macul</t>
  </si>
  <si>
    <t>29/05/2025 09:07:08</t>
  </si>
  <si>
    <t>BESS Libélula Etapa 2</t>
  </si>
  <si>
    <t>S/E Libélula 33/220 kV</t>
  </si>
  <si>
    <t>24/04/2025 16:57:21</t>
  </si>
  <si>
    <t>Parque Solar Ckoirama</t>
  </si>
  <si>
    <t>CI GMF II La Negra ProjectCo SpA</t>
  </si>
  <si>
    <t>SE Liqcau (Ex Nueva La Negra)</t>
  </si>
  <si>
    <t xml:space="preserve">PE Malvilla </t>
  </si>
  <si>
    <t>FLEXEN CHILE SPA</t>
  </si>
  <si>
    <t>S/E Algarrobal 220kV</t>
  </si>
  <si>
    <t>BP1</t>
  </si>
  <si>
    <t>J25-J26</t>
  </si>
  <si>
    <t>BESS Quintano</t>
  </si>
  <si>
    <t>Barras DC centros de transformación internos al PV Quintano</t>
  </si>
  <si>
    <t>BESS El Cerrillo</t>
  </si>
  <si>
    <t>S/E El Cerrillo Solar 33 kV</t>
  </si>
  <si>
    <t>Inti Pacha K</t>
  </si>
  <si>
    <t>Colbún Desarrollo SpA</t>
  </si>
  <si>
    <t>J31-J32 y J34</t>
  </si>
  <si>
    <t>Cuatro Vientos</t>
  </si>
  <si>
    <t>390</t>
  </si>
  <si>
    <t>S/E Tineo 220 kV</t>
  </si>
  <si>
    <t>J17-J18</t>
  </si>
  <si>
    <t>Llanquihue</t>
  </si>
  <si>
    <t>NUEVO HORIZONTE</t>
  </si>
  <si>
    <t>J16-J17 y J19-J20</t>
  </si>
  <si>
    <t>J16-J17-J19-J20</t>
  </si>
  <si>
    <t>S/E Kimal 220kV</t>
  </si>
  <si>
    <t>J31-J32-J34</t>
  </si>
  <si>
    <t>Normalización de Conexión PE Aurora</t>
  </si>
  <si>
    <t>129</t>
  </si>
  <si>
    <t>Tineo</t>
  </si>
  <si>
    <t>Rodolmo Norte</t>
  </si>
  <si>
    <t>Entre Ríos 220 kV</t>
  </si>
  <si>
    <t>J13 y J14</t>
  </si>
  <si>
    <t>PE Hosaca</t>
  </si>
  <si>
    <t>Parque Fotovoltaico Las Cunas</t>
  </si>
  <si>
    <t>Parque Solar Las Cunas SpA</t>
  </si>
  <si>
    <t>550</t>
  </si>
  <si>
    <t>S/E Algarrobal</t>
  </si>
  <si>
    <t>Parque Eólico Trumao</t>
  </si>
  <si>
    <t>wpd Trumao SpA</t>
  </si>
  <si>
    <t xml:space="preserve">S/E Tineo </t>
  </si>
  <si>
    <t>Futura ampliación de Barra 220</t>
  </si>
  <si>
    <t>Proyecto Híbrido Licancabur</t>
  </si>
  <si>
    <t>Ampliación S/E Monte Mina</t>
  </si>
  <si>
    <t>BESS Santiago Solar</t>
  </si>
  <si>
    <t>Santiago Solar S.A.</t>
  </si>
  <si>
    <t>S/E Central Santiago Solar 30kV</t>
  </si>
  <si>
    <t>Barra simple (Switchgear 30kV)</t>
  </si>
  <si>
    <t>Switchgear Santiago Solar 30kV</t>
  </si>
  <si>
    <t>Aumento de Inyección Bolero operación conjunta Solar+BESS</t>
  </si>
  <si>
    <t>Bolero SpA.</t>
  </si>
  <si>
    <t>Bolero 220 kV</t>
  </si>
  <si>
    <t>Parque Eólico Wayra</t>
  </si>
  <si>
    <t>EDF EN Chile Holding SpA</t>
  </si>
  <si>
    <t>J19 (tercio de diagonal); J22 - J23 (media diagonal), por definir</t>
  </si>
  <si>
    <t>243.6</t>
  </si>
  <si>
    <t>PE Santa Rosa</t>
  </si>
  <si>
    <t>El Rosal 220 kV</t>
  </si>
  <si>
    <t>J7, J8</t>
  </si>
  <si>
    <t>Cerro Los Dorados</t>
  </si>
  <si>
    <t>Jadresic 500 kV</t>
  </si>
  <si>
    <t>Reserva Taltal</t>
  </si>
  <si>
    <t>1000</t>
  </si>
  <si>
    <t>S/E Parinas 500 kV</t>
  </si>
  <si>
    <t>K26-K27, por definir</t>
  </si>
  <si>
    <t>Parque Eólico Lavanda</t>
  </si>
  <si>
    <t>Altovento SpA</t>
  </si>
  <si>
    <t>100.8</t>
  </si>
  <si>
    <t>INNA</t>
  </si>
  <si>
    <t>Jadrisic 500</t>
  </si>
  <si>
    <t>Sidón Solar</t>
  </si>
  <si>
    <t>S/E Entre Ríos</t>
  </si>
  <si>
    <t>Subestación interruptor y medio, media diagonal</t>
  </si>
  <si>
    <t>Parque Eólico Las Fresias</t>
  </si>
  <si>
    <t>309.6</t>
  </si>
  <si>
    <t>Yungay</t>
  </si>
  <si>
    <t>PE La Pradera</t>
  </si>
  <si>
    <t>El Rosal</t>
  </si>
  <si>
    <t>J8/9</t>
  </si>
  <si>
    <t>BESS Kelas</t>
  </si>
  <si>
    <t>Parque Híbrido Kelas SpA</t>
  </si>
  <si>
    <t>SE Kimal 220 kV</t>
  </si>
  <si>
    <t>J34</t>
  </si>
  <si>
    <t>Escondida Growth Program (EGP) que considera el incremento de consumos propios de Minera Escondida</t>
  </si>
  <si>
    <t>Minera Escondida Ltda.</t>
  </si>
  <si>
    <t>498.1</t>
  </si>
  <si>
    <t>J1/J2 J5/J6</t>
  </si>
  <si>
    <t>PV Leyenda</t>
  </si>
  <si>
    <t>J26/J27</t>
  </si>
  <si>
    <t>Energia Curaco</t>
  </si>
  <si>
    <t>Entre Río</t>
  </si>
  <si>
    <t>J14/15</t>
  </si>
  <si>
    <t>Parque Eólico Los Coihues</t>
  </si>
  <si>
    <t>Hy2Wind SpA</t>
  </si>
  <si>
    <t>190</t>
  </si>
  <si>
    <t>Subestación Entre Ríos</t>
  </si>
  <si>
    <t>J13,J14</t>
  </si>
  <si>
    <t>El Carmen</t>
  </si>
  <si>
    <t>BESS Las Pozas</t>
  </si>
  <si>
    <t>SE Seccionadora El Rosal 220 kV</t>
  </si>
  <si>
    <t>Parque Hibrido Vientos del Desierto</t>
  </si>
  <si>
    <t>Vientos del Desierto SpA</t>
  </si>
  <si>
    <t>440</t>
  </si>
  <si>
    <t>SE Parinas</t>
  </si>
  <si>
    <t>J22-J23</t>
  </si>
  <si>
    <t>Parque Eólico Linz</t>
  </si>
  <si>
    <t>S/E Entre Rios 220 kV</t>
  </si>
  <si>
    <t>J16-17</t>
  </si>
  <si>
    <t>Proyecto Parque Eólico Amadeus</t>
  </si>
  <si>
    <t>AustriaEnergy Chile Catorce SpA</t>
  </si>
  <si>
    <t>S/E Tinero</t>
  </si>
  <si>
    <t>J22-23</t>
  </si>
  <si>
    <t>Fresia</t>
  </si>
  <si>
    <t>BESS Relbún</t>
  </si>
  <si>
    <t>SE Entre Ríos 220 kV</t>
  </si>
  <si>
    <t>J17</t>
  </si>
  <si>
    <t>Parque Eólico Chanchan</t>
  </si>
  <si>
    <t>325</t>
  </si>
  <si>
    <t>Tineo 220kV</t>
  </si>
  <si>
    <t>Doble Barra Principal</t>
  </si>
  <si>
    <t>P12</t>
  </si>
  <si>
    <t>Río Negro</t>
  </si>
  <si>
    <t>Valle Hermoso</t>
  </si>
  <si>
    <t>Ciudad Luz Development SpA</t>
  </si>
  <si>
    <t>S/E Entre Ríos 220kV</t>
  </si>
  <si>
    <t>Barra principa N°2</t>
  </si>
  <si>
    <t>Entre Rios</t>
  </si>
  <si>
    <t>Parque Fotovoltaico Sol de Algarrobal</t>
  </si>
  <si>
    <t>AustriaEnergy Chile Nueve SpA</t>
  </si>
  <si>
    <t>J19-J20</t>
  </si>
  <si>
    <t>Sol del Cielo</t>
  </si>
  <si>
    <t>S/E El Rosal 110 kV</t>
  </si>
  <si>
    <t>Barras 1 y 2</t>
  </si>
  <si>
    <t>BESS BRIDGE 5</t>
  </si>
  <si>
    <t>BRIDGE ALMACENAMIENTO 2 SPA</t>
  </si>
  <si>
    <t>S/E Kimal 220 KV</t>
  </si>
  <si>
    <t>J20/J21</t>
  </si>
  <si>
    <t>BESS BRIDGE 4</t>
  </si>
  <si>
    <t>J32/J33</t>
  </si>
  <si>
    <t>S/E KIMAL</t>
  </si>
  <si>
    <t>INTERRUPTOR Y MEDIO</t>
  </si>
  <si>
    <t>BESS BRIDGE 3</t>
  </si>
  <si>
    <t>PARQUE EOLICO DON MAURICIO SpA</t>
  </si>
  <si>
    <t>SE El Rosal</t>
  </si>
  <si>
    <t>BESS Bridge 4</t>
  </si>
  <si>
    <t>BESS BRIDGE 6</t>
  </si>
  <si>
    <t>PARINAS</t>
  </si>
  <si>
    <t>BESS BRIDGE-3</t>
  </si>
  <si>
    <t>PARQUE EOLICO DOÑA ANTONIA SpA</t>
  </si>
  <si>
    <t>S/E El Rosal</t>
  </si>
  <si>
    <t>Parque Híbrido Doña Antonia</t>
  </si>
  <si>
    <t>S/E El Rosal 220 kV</t>
  </si>
  <si>
    <t>J9/J8</t>
  </si>
  <si>
    <t>PH Santa Antonia</t>
  </si>
  <si>
    <t>S/E Kimal 220</t>
  </si>
  <si>
    <t>S/E PARINAS 220 KV</t>
  </si>
  <si>
    <t xml:space="preserve">BESS Bridge 4 </t>
  </si>
  <si>
    <t>Parque Eólico Don Mauricio</t>
  </si>
  <si>
    <t>J13/J14</t>
  </si>
  <si>
    <t>BESS BRIDGE-6</t>
  </si>
  <si>
    <t>S/E PARINAS</t>
  </si>
  <si>
    <t>Parque Eolico Don Mauricio</t>
  </si>
  <si>
    <t>S/E El Rosal 220 KV</t>
  </si>
  <si>
    <t>PE Don Mauricio</t>
  </si>
  <si>
    <t>ENTRE RIOS</t>
  </si>
  <si>
    <t>Parque Fotovoltaico Pillancó</t>
  </si>
  <si>
    <t>Pillanco SpA</t>
  </si>
  <si>
    <t xml:space="preserve">S/E El Rosal </t>
  </si>
  <si>
    <t xml:space="preserve">Llanquihue Dos </t>
  </si>
  <si>
    <t>Inversiones Bosquemar Limitada</t>
  </si>
  <si>
    <t>J16/J17, por definirse</t>
  </si>
  <si>
    <t>Parque Eólico Thayari</t>
  </si>
  <si>
    <t>Parque Eólico Thayari SpA</t>
  </si>
  <si>
    <t>J23- J24, por definir</t>
  </si>
  <si>
    <t>BESS FLOR DE LOTO</t>
  </si>
  <si>
    <t>GR Flor de Loto SpA</t>
  </si>
  <si>
    <t>S/E KIMAL 220 KV</t>
  </si>
  <si>
    <t>J32-J33</t>
  </si>
  <si>
    <t>539</t>
  </si>
  <si>
    <t>Parinas</t>
  </si>
  <si>
    <t>Parque Eólico Los Lagos del Sur</t>
  </si>
  <si>
    <t>Eólica Los Lagos SPA</t>
  </si>
  <si>
    <t>S/E Tineo 220kV</t>
  </si>
  <si>
    <t>Barra Principal Nº2</t>
  </si>
  <si>
    <t>Parque Eólico Espejo de Agua</t>
  </si>
  <si>
    <t>Espejo de Agua SpA</t>
  </si>
  <si>
    <t>1100</t>
  </si>
  <si>
    <t>S/E Entre Ríos 500 kV</t>
  </si>
  <si>
    <t>52K4 y 52 K7</t>
  </si>
  <si>
    <t>Arauco</t>
  </si>
  <si>
    <t>S/E Parinas</t>
  </si>
  <si>
    <t>Parque Eólico Llanquihue Dos</t>
  </si>
  <si>
    <t xml:space="preserve">J16/J17, por definirse </t>
  </si>
  <si>
    <t>16.4</t>
  </si>
  <si>
    <t>S/E Central Las Piedras 23kV</t>
  </si>
  <si>
    <t>Nuevo Alimentador Interconexión Circuito Maggi</t>
  </si>
  <si>
    <t>4.8</t>
  </si>
  <si>
    <t>SE Colchagua 15 kV</t>
  </si>
  <si>
    <t>Barra N°3 asociada al transformador de poder  N°1</t>
  </si>
  <si>
    <t>52C8</t>
  </si>
  <si>
    <t>23/01/2025 00:00:00</t>
  </si>
  <si>
    <t>BESS Escorodita</t>
  </si>
  <si>
    <t>Atlantica Chile SpA</t>
  </si>
  <si>
    <t>Paposo</t>
  </si>
  <si>
    <t>07/07/2025 17:29:24</t>
  </si>
  <si>
    <t>BESS Ventanas</t>
  </si>
  <si>
    <t>S/E Puchuncaví</t>
  </si>
  <si>
    <t>Puchuncaví</t>
  </si>
  <si>
    <t>Doble barra + transferencia</t>
  </si>
  <si>
    <t>Traslado Cabecera Alimentador Maggi</t>
  </si>
  <si>
    <t>8.1</t>
  </si>
  <si>
    <t xml:space="preserve">Barra N°3 asociada al transformador de poder  N°1 </t>
  </si>
  <si>
    <t>52C7</t>
  </si>
  <si>
    <t>Central Híbrida La Llanura</t>
  </si>
  <si>
    <t>140</t>
  </si>
  <si>
    <t>La Estrella 110 kV</t>
  </si>
  <si>
    <t>BESS Sol de León</t>
  </si>
  <si>
    <t>S/E Sol de León 33 kV</t>
  </si>
  <si>
    <t>Central Bombeo Atacama</t>
  </si>
  <si>
    <t>Central Bombeo Atacama SpA</t>
  </si>
  <si>
    <t>S/E Cardones</t>
  </si>
  <si>
    <t>30/10/2025 17:57:59</t>
  </si>
  <si>
    <t>Nuevo Alimentador 23 kV Scala en S/E Chacabuco</t>
  </si>
  <si>
    <t>S/E Chacabuco 23 kV</t>
  </si>
  <si>
    <t>Barra 23 kV N°7 (Patio Intemperie)</t>
  </si>
  <si>
    <t>E52</t>
  </si>
  <si>
    <t>29/10/2025 15:32:43</t>
  </si>
  <si>
    <t xml:space="preserve">Parque Fotovoltaico El Trébol </t>
  </si>
  <si>
    <t>Estación de Bombeo 1 - El Espino</t>
  </si>
  <si>
    <t>El Espino SpA</t>
  </si>
  <si>
    <t>4.2</t>
  </si>
  <si>
    <t>S/E Central Totoral 1 23 kV</t>
  </si>
  <si>
    <t>D7</t>
  </si>
  <si>
    <t>24/03/2025 21:30:38</t>
  </si>
  <si>
    <t>BESS LAS BATEAS</t>
  </si>
  <si>
    <t>Navio Solar SpA</t>
  </si>
  <si>
    <t>9.8</t>
  </si>
  <si>
    <t>S/E RUCASOL 110 kV</t>
  </si>
  <si>
    <t>Nuevo Alimentador T4 Nueva Holanda</t>
  </si>
  <si>
    <t>Talca 15 kV</t>
  </si>
  <si>
    <t>52C16</t>
  </si>
  <si>
    <t>Nuevo Alimentador  T4 Nueva Holanda</t>
  </si>
  <si>
    <t>BESS Turangu (ex-BESS Cachapoal)</t>
  </si>
  <si>
    <t>S/E Punta de Cortés 154 kV</t>
  </si>
  <si>
    <t>A13</t>
  </si>
  <si>
    <t>Conexión Alimentador 3 a Paño C3 - SE Collipulli</t>
  </si>
  <si>
    <t>SE Collipulli 13,2 kV</t>
  </si>
  <si>
    <t>17/04/2025 16:54:58</t>
  </si>
  <si>
    <t>Conexión Alimentador 2 a Paño C2 - SE Collipulli</t>
  </si>
  <si>
    <t>Colipulli</t>
  </si>
  <si>
    <t>17/04/2025 17:00:05</t>
  </si>
  <si>
    <t>Hibrido Las Quintas</t>
  </si>
  <si>
    <t>PLAN 8 Energía Infinita Ltda.</t>
  </si>
  <si>
    <t>Loica</t>
  </si>
  <si>
    <t>Ampliación Central Termoeléctrica Los Guindos, Tercera Etapa Ciclo Combinado</t>
  </si>
  <si>
    <t>Los Guindos Generación SpA</t>
  </si>
  <si>
    <t>SUBESTACION LOS GUINDOS 220KV</t>
  </si>
  <si>
    <t>31/03/2025 10:44:00</t>
  </si>
  <si>
    <t>Conexión Alimentador 2 a Paño C2 - SE Los Tambores</t>
  </si>
  <si>
    <t>1.9</t>
  </si>
  <si>
    <t>SE Los Tambores 13,2 kV</t>
  </si>
  <si>
    <t>La Unión</t>
  </si>
  <si>
    <t>27/11/2024 00:00:00</t>
  </si>
  <si>
    <t>Conexión Alimentador 1 a Paño C1 - SE Los Tambores</t>
  </si>
  <si>
    <t>7.4</t>
  </si>
  <si>
    <t>Hidrógeno Verde Bahía Quintero</t>
  </si>
  <si>
    <t>GNL Quintero S.A.</t>
  </si>
  <si>
    <t>S/E GNL Quintero 110 kV</t>
  </si>
  <si>
    <t>Barra simple (GIS)</t>
  </si>
  <si>
    <t>27/02/2025 10:02:33</t>
  </si>
  <si>
    <t>02/2027</t>
  </si>
  <si>
    <t>BESS Elysium</t>
  </si>
  <si>
    <t>S/E La Pólvora 220kV</t>
  </si>
  <si>
    <t>Barra N°2, Diagonal N°5</t>
  </si>
  <si>
    <t>Entre paños J15 y J14</t>
  </si>
  <si>
    <t>BESS+FV La Democracia Solar</t>
  </si>
  <si>
    <t>Charrua 220-&gt;Antuco 220, circuito 1</t>
  </si>
  <si>
    <t>Sistema de Almacenamiento del PE Valle de Los Vientos II</t>
  </si>
  <si>
    <t>36</t>
  </si>
  <si>
    <t>Valle de Los Vientos - 23 kV</t>
  </si>
  <si>
    <t>Celdas 23 kV</t>
  </si>
  <si>
    <t>17/02/2025 19:33:57</t>
  </si>
  <si>
    <t>Parque Eólico Ancud</t>
  </si>
  <si>
    <t>AustrianSolar Chile Siete SpA</t>
  </si>
  <si>
    <t>133</t>
  </si>
  <si>
    <t>S/E Nueva Ancud 220 kV</t>
  </si>
  <si>
    <t>J10 y J11</t>
  </si>
  <si>
    <t>Sistema de almacenamiento del PF Sol de Lila  II</t>
  </si>
  <si>
    <t>S/E Sol de Lila 33 kV</t>
  </si>
  <si>
    <t>switchgear</t>
  </si>
  <si>
    <t>03/07/2025 15:56:36</t>
  </si>
  <si>
    <t xml:space="preserve">Sistema de almacenamiento del PF Sol de Lila ii </t>
  </si>
  <si>
    <t>BESS Chaguales</t>
  </si>
  <si>
    <t>BESS Jacaranda SpA</t>
  </si>
  <si>
    <t>LT 1x110kV S/E C.R. Maitencillo - S/E Maitencillo</t>
  </si>
  <si>
    <t>Sistema de almacenamiento El Manzano</t>
  </si>
  <si>
    <t>S/E Huertos Familiares (PFV El Manzano 33 kV)</t>
  </si>
  <si>
    <t>18/02/2025 18:30:32</t>
  </si>
  <si>
    <t>06/2023</t>
  </si>
  <si>
    <t>Sistema de almacenamiento PF El Manzano</t>
  </si>
  <si>
    <t>S/E El Manzano Solar 33 kV</t>
  </si>
  <si>
    <t>Retiro de Red Parque Solar Andes 2A (Solar + BESS)</t>
  </si>
  <si>
    <t>ATR3</t>
  </si>
  <si>
    <t>Sistema de Almacenamiento del PE Valle de Los Vientos</t>
  </si>
  <si>
    <t>10/02/2025 14:19:20</t>
  </si>
  <si>
    <t>Sistema de Almacenamiento del PFV Don HUmberto</t>
  </si>
  <si>
    <t>Don Humberto - 33 kV</t>
  </si>
  <si>
    <t>10/02/2025 19:33:15</t>
  </si>
  <si>
    <t>07/2023</t>
  </si>
  <si>
    <t>Sistema de Almacenamiento de PFV Don Humberto</t>
  </si>
  <si>
    <t>Sistema de Almacenamiento del PFV Azabache</t>
  </si>
  <si>
    <t>58.0</t>
  </si>
  <si>
    <t>Celdas PFV Azabache - 33 kV</t>
  </si>
  <si>
    <t>Celdas 33  kV</t>
  </si>
  <si>
    <t>10/02/2025 20:56:56</t>
  </si>
  <si>
    <t>PE Aura del Sur</t>
  </si>
  <si>
    <t>106</t>
  </si>
  <si>
    <t>J10-J11</t>
  </si>
  <si>
    <t>Sistema de Almacenamiento del PF Valle del Sol II</t>
  </si>
  <si>
    <t>S/E Valle del Sol - 33 kV</t>
  </si>
  <si>
    <t>Sistema de Almacenamiento La Cabaña</t>
  </si>
  <si>
    <t>56</t>
  </si>
  <si>
    <t>La Cabaña 33 kV</t>
  </si>
  <si>
    <t>Punta de Talca BESS</t>
  </si>
  <si>
    <t>Parque Eólico Punta de Talca SpA</t>
  </si>
  <si>
    <t>S/E Talinay Oriente</t>
  </si>
  <si>
    <t>JL2</t>
  </si>
  <si>
    <t>03/02/2025 17:09:53</t>
  </si>
  <si>
    <t>Autorizacion Retiros BESS San Andrés</t>
  </si>
  <si>
    <t>San Andres 23 kV</t>
  </si>
  <si>
    <t>Barra Doble</t>
  </si>
  <si>
    <t>EB1-EB1-EB3</t>
  </si>
  <si>
    <t>Retiros BESS Salvador</t>
  </si>
  <si>
    <t>EB1-EB2-EB3-EB4</t>
  </si>
  <si>
    <t>PE Vaiu</t>
  </si>
  <si>
    <t>S/E Río Negro 66kV</t>
  </si>
  <si>
    <t>B5, proyectada en barra de 66kV</t>
  </si>
  <si>
    <t>02/09/2025 15:30:01</t>
  </si>
  <si>
    <t>Alimentador Valle Alegre</t>
  </si>
  <si>
    <t>9.7</t>
  </si>
  <si>
    <t>S/E Puchuncaví 110/13,2 kV</t>
  </si>
  <si>
    <t>ID 3817, BA S/E PUCHUNCAVI 13,2 KV BP2</t>
  </si>
  <si>
    <t>ID 32160, S/E PUCHUNCAVI C12, en construcción</t>
  </si>
  <si>
    <t>18/08/2025 15:48:52</t>
  </si>
  <si>
    <t>Alimentador Ritoque</t>
  </si>
  <si>
    <t>S/E Puchuncaví 110kV/13,2 kV</t>
  </si>
  <si>
    <t>ID 32159, S/E PUCHUNCAVI C11, en construcción</t>
  </si>
  <si>
    <t>02/07/2025 12:14:15</t>
  </si>
  <si>
    <t>San Marcos Etapa II</t>
  </si>
  <si>
    <t>Solarpack Chile Limitada</t>
  </si>
  <si>
    <t>Centro de Transformación San Marcos Etapa I</t>
  </si>
  <si>
    <t xml:space="preserve">media tensión </t>
  </si>
  <si>
    <t>CTIN</t>
  </si>
  <si>
    <t>Nuevo Alimentador 12 KV Tacora en S/E Santa Raquel</t>
  </si>
  <si>
    <t>C59</t>
  </si>
  <si>
    <t>25/06/2025 17:14:28</t>
  </si>
  <si>
    <t>Nuevo Alimentador Rivera 12 kV en S/E San Cristóbal</t>
  </si>
  <si>
    <t>S/E San Cristóbal 12 kV</t>
  </si>
  <si>
    <t>Barra 12 kV N°5 (celda)</t>
  </si>
  <si>
    <t>C36</t>
  </si>
  <si>
    <t>Recoleta</t>
  </si>
  <si>
    <t>04/07/2025 13:09:09</t>
  </si>
  <si>
    <t>Nuevo Alimentador 12 kV Contador en S/E Bicentenario</t>
  </si>
  <si>
    <t>C17</t>
  </si>
  <si>
    <t>04/07/2025 13:12:25</t>
  </si>
  <si>
    <t>SAE Volcán Caichinque</t>
  </si>
  <si>
    <t>S/E Los Peumos 66kV</t>
  </si>
  <si>
    <t>Victoria</t>
  </si>
  <si>
    <t>28/11/2025 11:01:10</t>
  </si>
  <si>
    <t>SAE Volcán Puyuhuapi</t>
  </si>
  <si>
    <t>S/E Marquesa 66kV</t>
  </si>
  <si>
    <t>28/11/2025 11:04:50</t>
  </si>
  <si>
    <t xml:space="preserve"> Nuevo alimentador C11 en SE Costanera</t>
  </si>
  <si>
    <t>Transmisora Eléctrica Cordillera SpA</t>
  </si>
  <si>
    <t>S/E Costanera 12kV</t>
  </si>
  <si>
    <t>Barra 2 12kV</t>
  </si>
  <si>
    <t>C11</t>
  </si>
  <si>
    <t>Nuevo alimentador C10 en SE Costanera</t>
  </si>
  <si>
    <t>C10</t>
  </si>
  <si>
    <t>Nuevo Alimentador 12 kV Arrau en S/E San José</t>
  </si>
  <si>
    <t>S/E San José 12 kV</t>
  </si>
  <si>
    <t>C21</t>
  </si>
  <si>
    <t>Lo Prado</t>
  </si>
  <si>
    <t>11/08/2025 19:18:15</t>
  </si>
  <si>
    <t>Nuevo Alimentador 12 kV Cervantes en S/E La Reina</t>
  </si>
  <si>
    <t xml:space="preserve">S/E La Reina 12 KV </t>
  </si>
  <si>
    <t>23/06/2025 18:46:12</t>
  </si>
  <si>
    <t>Nuevo Alimentador 12 kV Argomedo en S/E Santa Elena</t>
  </si>
  <si>
    <t>S/E Santa Elena 12 KV</t>
  </si>
  <si>
    <t>Barra 12 kV N°2 (celda)</t>
  </si>
  <si>
    <t>02/07/2025 12:19:18</t>
  </si>
  <si>
    <t>Parque Fotovoltaico Pirque Solaris</t>
  </si>
  <si>
    <t>Costanera 12kV</t>
  </si>
  <si>
    <t>Barra N°2 12kV</t>
  </si>
  <si>
    <t>P9 y P10</t>
  </si>
  <si>
    <t>05/03/2026 00:00:00</t>
  </si>
  <si>
    <t>BESS Nantoco (ex BESS Cerrillos)</t>
  </si>
  <si>
    <t>Grupotec Chile SpA.</t>
  </si>
  <si>
    <t>S/E Cerrillos 110 kV</t>
  </si>
  <si>
    <t>Barra Principal 1 y Transferencia</t>
  </si>
  <si>
    <t>19/06/2025 17:05:32</t>
  </si>
  <si>
    <t>Nuevo Alimentador 12 kV Violeta en S/E La Reina</t>
  </si>
  <si>
    <t>S/E La Reina 12 KV</t>
  </si>
  <si>
    <t>23/06/2025 18:39:36</t>
  </si>
  <si>
    <t>Nuevo Alimentador 12 kV Espinos en S/E Santa Elena</t>
  </si>
  <si>
    <t>11/07/2025 15:21:58</t>
  </si>
  <si>
    <t>Conexión Alimentador 4 a Paño E5 - SE Castro</t>
  </si>
  <si>
    <t>SE Castro 23 kV</t>
  </si>
  <si>
    <t>Barra Principal, Sección 2</t>
  </si>
  <si>
    <t>E5</t>
  </si>
  <si>
    <t>Castro</t>
  </si>
  <si>
    <t>05/11/2024 00:00:00</t>
  </si>
  <si>
    <t>Conexión Alimentador 3 a Paño E4 - SE Castro</t>
  </si>
  <si>
    <t>Barra principal, Sección 2</t>
  </si>
  <si>
    <t>Fehaciente PV + BESS Elena</t>
  </si>
  <si>
    <t>485</t>
  </si>
  <si>
    <t>S/E Iberelena 33 kV</t>
  </si>
  <si>
    <t>Sala Celda de Media tension</t>
  </si>
  <si>
    <t>BESS Chango Lopez</t>
  </si>
  <si>
    <t>Chango López Solar SpA</t>
  </si>
  <si>
    <t>S/E Uribe 110 kV</t>
  </si>
  <si>
    <t>18/02/2025 18:25:09</t>
  </si>
  <si>
    <t>Nuevo Alimentador 12 kV Urzúa en S/E Club Hípico</t>
  </si>
  <si>
    <t>S/E Club Hípico 12 KV</t>
  </si>
  <si>
    <t>Barra 12 KV N°4 (celdas)</t>
  </si>
  <si>
    <t>13/06/2025 11:58:04</t>
  </si>
  <si>
    <t>FV La Reserva</t>
  </si>
  <si>
    <t>S/E Candelaria 220kV</t>
  </si>
  <si>
    <t>BESS La Reserva</t>
  </si>
  <si>
    <t>BESS Parque Fotovoltaico Cato Solar (EX BESS Rinconada)</t>
  </si>
  <si>
    <t>S/E Rinconada Solar 33 kV</t>
  </si>
  <si>
    <t>BESS LAS MICAS</t>
  </si>
  <si>
    <t>Doña Carmen 23kV</t>
  </si>
  <si>
    <t>Pirque Solaris</t>
  </si>
  <si>
    <t>SE Costanera 12kV</t>
  </si>
  <si>
    <t>Sirius</t>
  </si>
  <si>
    <t>S/E Damascal 23 kV</t>
  </si>
  <si>
    <t>Barra principal, sección1</t>
  </si>
  <si>
    <t>E2 y E3</t>
  </si>
  <si>
    <t>PFV + BESS Entre Valles</t>
  </si>
  <si>
    <t>139</t>
  </si>
  <si>
    <t>S/E La Estrella 110 kV</t>
  </si>
  <si>
    <t>La Estrella</t>
  </si>
  <si>
    <t>Conexión Alimentador 3 a Paño E4 - SE Sangra</t>
  </si>
  <si>
    <t>6.7</t>
  </si>
  <si>
    <t>SE Sangra 23 kV</t>
  </si>
  <si>
    <t>Nuevos alimentadores Concha y Toro y Los Andes en S/E Costanera</t>
  </si>
  <si>
    <t>Empresa Eléctrica Puente Alto S.A.</t>
  </si>
  <si>
    <t>C10 y C11</t>
  </si>
  <si>
    <t>BESS Chungará (Ex - BESS Parinacota)</t>
  </si>
  <si>
    <t>S/E Parinacota 66 kV</t>
  </si>
  <si>
    <t>15/01/2026 19:01:01</t>
  </si>
  <si>
    <t>S/E Punta de Talca 33 kV</t>
  </si>
  <si>
    <t>Transformador de poder 33 kV</t>
  </si>
  <si>
    <t>FTM2</t>
  </si>
  <si>
    <t>BESS Remanso</t>
  </si>
  <si>
    <t>Punta de Cortés 154 kV</t>
  </si>
  <si>
    <t>18/06/2025 14:42:26</t>
  </si>
  <si>
    <t>SAE Volcán Apacheta</t>
  </si>
  <si>
    <t>S/E Los Tambores 66 kV</t>
  </si>
  <si>
    <t>19/06/2025 08:24:30</t>
  </si>
  <si>
    <t>SAE Volcán Huequi</t>
  </si>
  <si>
    <t>S/E Imperial 66 kV</t>
  </si>
  <si>
    <t>Nueva Imperial</t>
  </si>
  <si>
    <t>08/09/2025 08:22:53</t>
  </si>
  <si>
    <t>SAE Volcán Reclus</t>
  </si>
  <si>
    <t>SAE Volcán Aguilera</t>
  </si>
  <si>
    <t>S/E Curanilahue Norte 66 kV</t>
  </si>
  <si>
    <t>Curanilahue</t>
  </si>
  <si>
    <t>04/11/2025 10:43:10</t>
  </si>
  <si>
    <t>San Expedito</t>
  </si>
  <si>
    <t>Subestación Nueva La Ligua, 110 kV</t>
  </si>
  <si>
    <t>Barra Principal + Barra transferencia de 110 kV</t>
  </si>
  <si>
    <t>04/08/2025 10:06:25</t>
  </si>
  <si>
    <t>Parque Eólico Cabrero</t>
  </si>
  <si>
    <t>Wind 3 SpA</t>
  </si>
  <si>
    <t>SE Los Pinos 220 kV</t>
  </si>
  <si>
    <t>Parque Eólico Casma</t>
  </si>
  <si>
    <t>EDF EN CHILE SPA</t>
  </si>
  <si>
    <t>231</t>
  </si>
  <si>
    <t>S/E Frutillar Norte 220 kV</t>
  </si>
  <si>
    <t>BESS RHO (Ex-San Juan de Panimávida)</t>
  </si>
  <si>
    <t>S/E Panimávida 13,2 kV</t>
  </si>
  <si>
    <t>BARRA 2</t>
  </si>
  <si>
    <t>18/07/2025 19:31:14</t>
  </si>
  <si>
    <t>SynCon U15 Tocopilla</t>
  </si>
  <si>
    <t>S/E Central Tocopilla 220 kV</t>
  </si>
  <si>
    <t>JG15</t>
  </si>
  <si>
    <t>28/03/2025 20:36:40</t>
  </si>
  <si>
    <t>SPS La Huayca S.A.</t>
  </si>
  <si>
    <t>S/E La Huayca II 66 kV</t>
  </si>
  <si>
    <t>ROSARIO BESS</t>
  </si>
  <si>
    <t>Cool Power Spa</t>
  </si>
  <si>
    <t>S/E ROSARIO 66kV</t>
  </si>
  <si>
    <t>BESS El Copao</t>
  </si>
  <si>
    <t>S/E Copayapu 110 kV</t>
  </si>
  <si>
    <t>Barra simple más transferencia</t>
  </si>
  <si>
    <t>18/06/2025 15:32:34</t>
  </si>
  <si>
    <t>LA PIEDRA BESS</t>
  </si>
  <si>
    <t>Parque Eólico Doña Rafaela</t>
  </si>
  <si>
    <t>Parque Eólico Doña Rafela SpA</t>
  </si>
  <si>
    <t>S/E Seccionadora Río Malleco 220 KV</t>
  </si>
  <si>
    <t>Ercilla</t>
  </si>
  <si>
    <t>Conexión Alimentador 3 a Paño E3 - SE Pichirropulli</t>
  </si>
  <si>
    <t>SE Pichirropulli 23 kV</t>
  </si>
  <si>
    <t>Parque FV Palmillas</t>
  </si>
  <si>
    <t>290</t>
  </si>
  <si>
    <t>Monterrico 154 kV</t>
  </si>
  <si>
    <t>26/08/2025 15:52:08</t>
  </si>
  <si>
    <t>PE Osorno</t>
  </si>
  <si>
    <t>S/E La Misión 66kV</t>
  </si>
  <si>
    <t>por definir (B6)</t>
  </si>
  <si>
    <t>56.4</t>
  </si>
  <si>
    <t>Switchgear 33 kV</t>
  </si>
  <si>
    <t>141</t>
  </si>
  <si>
    <t>Boldo</t>
  </si>
  <si>
    <t>Renova Energías SpA</t>
  </si>
  <si>
    <t>S/E Plantas 220 [kV]</t>
  </si>
  <si>
    <t>J5-J6</t>
  </si>
  <si>
    <t>AR PANIMAVIDA BESS</t>
  </si>
  <si>
    <t>67</t>
  </si>
  <si>
    <t>SE AR PANIMAVIDA SOLAR 220/33 kV</t>
  </si>
  <si>
    <t>Celdas de MT</t>
  </si>
  <si>
    <t>09/05/2025 13:04:55</t>
  </si>
  <si>
    <t>Rihue II</t>
  </si>
  <si>
    <t>PF Andino Esmeralda SpA</t>
  </si>
  <si>
    <t>S/E Parque Eólico Renaico 220 kV</t>
  </si>
  <si>
    <t>JL13</t>
  </si>
  <si>
    <t>BESS Catalina del Verano</t>
  </si>
  <si>
    <t>Subestación Elevadora Catalina del Verano</t>
  </si>
  <si>
    <t>F5</t>
  </si>
  <si>
    <t>BESS DUNE</t>
  </si>
  <si>
    <t>GM Energy SpA</t>
  </si>
  <si>
    <t>434.3</t>
  </si>
  <si>
    <t>S/E CEME 1 220/33 kV</t>
  </si>
  <si>
    <t>BESS Tierruca del Verano</t>
  </si>
  <si>
    <t>Subestación Elevadora Tierruca del Verano 33 kV</t>
  </si>
  <si>
    <t>BESS Kallpa (EX BESS Santa Lya)</t>
  </si>
  <si>
    <t>BESS Los Loros</t>
  </si>
  <si>
    <t>46</t>
  </si>
  <si>
    <t>S/E Central Los Loros 23 kV</t>
  </si>
  <si>
    <t>20/01/2025 16:11:54</t>
  </si>
  <si>
    <t>07/2025</t>
  </si>
  <si>
    <t>BESS Mila del Verano Solar</t>
  </si>
  <si>
    <t>S/E Elevadora Mila del Verano Solar 33 kV</t>
  </si>
  <si>
    <t>Bess Santa Marta</t>
  </si>
  <si>
    <t>Consorcio Santa Marta S.A.</t>
  </si>
  <si>
    <t>Santa Marta 23 kV</t>
  </si>
  <si>
    <t>Talagante</t>
  </si>
  <si>
    <t>Conexión Alimentador 3 a Paño C4 - SE Los Lagos</t>
  </si>
  <si>
    <t>PROYECTO MARIMACA – TAP OFF A LÍNEA 110 KV MEJILLONES – EL LINCE (35 MW)</t>
  </si>
  <si>
    <t>COMPAÑÍA MINERA CIELO AZUL LTDA.</t>
  </si>
  <si>
    <t>Línea 110 kV Mejillones - El Lince</t>
  </si>
  <si>
    <t>conexión en derivación</t>
  </si>
  <si>
    <t>Proyecto Estación de Bombeo Marimaca Línea 2X23 KV a S/E Mejillones</t>
  </si>
  <si>
    <t>3.5</t>
  </si>
  <si>
    <t>Mejillones 23 kV</t>
  </si>
  <si>
    <t>E5 y E6</t>
  </si>
  <si>
    <t>04/07/2025 12:11:13</t>
  </si>
  <si>
    <t>Proyecto Relaves Espesados Talabre (PRET)</t>
  </si>
  <si>
    <t>61.7</t>
  </si>
  <si>
    <t>S/E Tchitack 220kV</t>
  </si>
  <si>
    <t>J3 (nuevo paño)</t>
  </si>
  <si>
    <t>06/2025</t>
  </si>
  <si>
    <t>S/E AR Panimávida Solar 33/220 kV</t>
  </si>
  <si>
    <t>BESS OBSERVATORIO DEL VERANO</t>
  </si>
  <si>
    <t>S/E Elevadora Observatorio del Verano 36 kV</t>
  </si>
  <si>
    <t>Conexión Nuevo Transformador de Respaldo Campamento (5 MVA 33/23 kV)</t>
  </si>
  <si>
    <t>Sierra Gorda SCM</t>
  </si>
  <si>
    <t>Barra 2, 33 kV (BP2-33kV)</t>
  </si>
  <si>
    <t>EH-23</t>
  </si>
  <si>
    <t>Habilitación de la Celda H11 23 kV Alimentador Fallback 2.0. Fase 1</t>
  </si>
  <si>
    <t>S/E Esperanza 23 kV</t>
  </si>
  <si>
    <t>Barra 23 kV Sección 1</t>
  </si>
  <si>
    <t>H11</t>
  </si>
  <si>
    <t>BESS Sol de Los Andes</t>
  </si>
  <si>
    <t>89.4</t>
  </si>
  <si>
    <t>S/E Sol de Los Andes 33 kV</t>
  </si>
  <si>
    <t>Switchgear Barra 1</t>
  </si>
  <si>
    <t>Agroindustrial Valle del Huasco</t>
  </si>
  <si>
    <t>Agrocomercial A.S. Ltda.</t>
  </si>
  <si>
    <t>55</t>
  </si>
  <si>
    <t>S/E Agrosuper 23 kV</t>
  </si>
  <si>
    <t>Barra seccionada, Barra N°1 y Barra N°2</t>
  </si>
  <si>
    <t>E2, E3, E4, E5, E6, E7</t>
  </si>
  <si>
    <t>Habilitación de Celda H-29 23 kV Alimentador DRR</t>
  </si>
  <si>
    <t>15</t>
  </si>
  <si>
    <t>52E29</t>
  </si>
  <si>
    <t>BESS PS Maranon</t>
  </si>
  <si>
    <t>CMS SPVII SpA</t>
  </si>
  <si>
    <t>S/E Vallenar 13,8 kV</t>
  </si>
  <si>
    <t>Barra 13,8 kV</t>
  </si>
  <si>
    <t>Paño C8</t>
  </si>
  <si>
    <t>BESS PS Hijuelas</t>
  </si>
  <si>
    <t>CMS SPVI SpA,</t>
  </si>
  <si>
    <t>Paño C7</t>
  </si>
  <si>
    <t>BESS La Paz</t>
  </si>
  <si>
    <t>Besalco Energía Renovable S.A.</t>
  </si>
  <si>
    <t>Nueva S/E Guindo 220 kV</t>
  </si>
  <si>
    <t>10/10/2025 17:58:28</t>
  </si>
  <si>
    <t>BESS Libélula</t>
  </si>
  <si>
    <t>199.2</t>
  </si>
  <si>
    <t>S/E Libélula 33 kV</t>
  </si>
  <si>
    <t>26/11/2024 15:11:26</t>
  </si>
  <si>
    <t>05/2025</t>
  </si>
  <si>
    <t>PFV BESS El Peral</t>
  </si>
  <si>
    <t>S/E Alto Jahuel 110 kV</t>
  </si>
  <si>
    <t>H7, por definir</t>
  </si>
  <si>
    <t>23/10/2025 17:49:01</t>
  </si>
  <si>
    <t>BESS Río Llanco (ex BESS Nueva Ancud)</t>
  </si>
  <si>
    <t>BRIDGE ALMACENAMIENTO UNO SPA</t>
  </si>
  <si>
    <t>10/10/2025 00:00:00</t>
  </si>
  <si>
    <t>Tente en el Aire TEA Agua de Mar</t>
  </si>
  <si>
    <t>Sociedad Química y Minera de Chile S.A.</t>
  </si>
  <si>
    <t>S/E Seccionadora TEA 220 kV</t>
  </si>
  <si>
    <t>13/06/2025 11:27:01</t>
  </si>
  <si>
    <t>Central Hidroeléctrica Don Eugenio</t>
  </si>
  <si>
    <t>Hidroeléctrica Azufre SpA.</t>
  </si>
  <si>
    <t>3.0</t>
  </si>
  <si>
    <t>Secciona línea 1x23 kV Punta del Viento - Corrales</t>
  </si>
  <si>
    <t>Barra N1 - 23 kV</t>
  </si>
  <si>
    <t>Paño E3 SE seccionadora Don Eugenio</t>
  </si>
  <si>
    <t>SE  417 y Línea 69 kV “Tap Off 416 – Tap  Off 417</t>
  </si>
  <si>
    <t>S/E 417 69 kV</t>
  </si>
  <si>
    <t>Laguna Seca Barra 69 kV</t>
  </si>
  <si>
    <t>BL4</t>
  </si>
  <si>
    <t>Conexión Alimentador Nº 3 a Paño E3 - SE Calbuco</t>
  </si>
  <si>
    <t>4.6</t>
  </si>
  <si>
    <t>S/E Calbuco 23 kV</t>
  </si>
  <si>
    <t>BESS Pegaso</t>
  </si>
  <si>
    <t>S/E Las Arañas 13,2 kV</t>
  </si>
  <si>
    <t>San Pedro</t>
  </si>
  <si>
    <t>28/05/2025 11:41:27</t>
  </si>
  <si>
    <t>Conexión Alimentador JMC a Paño E7 - SE Puerto Montt</t>
  </si>
  <si>
    <t>S/E Puerto Montt (STS) 23 kV</t>
  </si>
  <si>
    <t>BESS Huechún</t>
  </si>
  <si>
    <t>Energía Morro Guayacán SpA</t>
  </si>
  <si>
    <t>320</t>
  </si>
  <si>
    <t>S/E Seccionadora Alto Melipilla 220 kV</t>
  </si>
  <si>
    <t>Doble Barra más transferencia</t>
  </si>
  <si>
    <t>BESS Diego de Almagro Sur II</t>
  </si>
  <si>
    <t>S/E Inca de Oro 33 kV</t>
  </si>
  <si>
    <t>Barra principal N°3 y N°4</t>
  </si>
  <si>
    <t>Parque Fotovoltaico Posada</t>
  </si>
  <si>
    <t>S/E Palpana 220 kV</t>
  </si>
  <si>
    <t>Media Diagonal J4-J5</t>
  </si>
  <si>
    <t>BESS Argos</t>
  </si>
  <si>
    <t>S/E Río Aconcagua 13,8 kV</t>
  </si>
  <si>
    <t>Nuevo Alimentador C8 en 13,8 kV desde S/E San Carlos</t>
  </si>
  <si>
    <t>Cooperativa de Consumo de Energía Eléctrica Chillán Ltda.</t>
  </si>
  <si>
    <t>S/E San Carlos 13,8 kV</t>
  </si>
  <si>
    <t>01/04/2025 17:14:19</t>
  </si>
  <si>
    <t>Nuevo Alimentador C7 en 13,8 kV desde S/E San Carlos</t>
  </si>
  <si>
    <t>01/04/2025 17:12:50</t>
  </si>
  <si>
    <t>San Rafael Generación</t>
  </si>
  <si>
    <t>S/E Villares 12 kV (ex Nueva San Rafael)</t>
  </si>
  <si>
    <t>Salar Presente II</t>
  </si>
  <si>
    <t>S/E Andes 220 kV</t>
  </si>
  <si>
    <t>Santa Ana de Maipo</t>
  </si>
  <si>
    <t>SAN JUAN DE CURICO SpA</t>
  </si>
  <si>
    <t>S/E Isla de Maipo 23 kV</t>
  </si>
  <si>
    <t>Isla de Maipo</t>
  </si>
  <si>
    <t>15/04/2025 17:35:41</t>
  </si>
  <si>
    <t>San Nicolás del Parral</t>
  </si>
  <si>
    <t>S/E Parral 13,8 kV</t>
  </si>
  <si>
    <t>04/08/2025 00:00:00</t>
  </si>
  <si>
    <t>Polcura Generación</t>
  </si>
  <si>
    <t>198</t>
  </si>
  <si>
    <t>S/E Portezuelo 66 kV</t>
  </si>
  <si>
    <t>B7</t>
  </si>
  <si>
    <t>Quilaco Solar</t>
  </si>
  <si>
    <t>Quilaco Solar SpA</t>
  </si>
  <si>
    <t>S/E Los Notros 220 kV</t>
  </si>
  <si>
    <t>Quilaco</t>
  </si>
  <si>
    <t>24/07/2025 12:52:37</t>
  </si>
  <si>
    <t>Parque Rigel</t>
  </si>
  <si>
    <t>S/E Pelequén 66 kV</t>
  </si>
  <si>
    <t>Valle Grande Generación (Ex-Lampa Generación)</t>
  </si>
  <si>
    <t>13/08/2025 11:39:20</t>
  </si>
  <si>
    <t>Proyecto Híbrido Las Pataguas</t>
  </si>
  <si>
    <t>S/E Las Arañas 110 kV</t>
  </si>
  <si>
    <t>15/07/2025 16:44:13</t>
  </si>
  <si>
    <t>Hijuela Solar (Ex Parque Solar La Ligua)</t>
  </si>
  <si>
    <t>S/E Doña Carmen 23 kV</t>
  </si>
  <si>
    <t>Switchgear, celda 4</t>
  </si>
  <si>
    <t>Parque Solar La Ligua</t>
  </si>
  <si>
    <t>S/E Doña Carmen</t>
  </si>
  <si>
    <t>Nuevo Alimentador C4 en 13,8 kV desde SE Monterrico</t>
  </si>
  <si>
    <t>S/E Monterrico 13,8 kV</t>
  </si>
  <si>
    <t>C4 o C3</t>
  </si>
  <si>
    <t>14/05/2025 12:20:40</t>
  </si>
  <si>
    <t>Nuevo Alimentador C2 en 13,8 kV desde SE Monterrico</t>
  </si>
  <si>
    <t>14/05/2025 12:14:47</t>
  </si>
  <si>
    <t>Nuevo Alimentador C1 en 13,8 kV desde SE Monterrico</t>
  </si>
  <si>
    <t>14/05/2025 12:03:10</t>
  </si>
  <si>
    <t>La Totora</t>
  </si>
  <si>
    <t>Parsosy Sunna SpA</t>
  </si>
  <si>
    <t>Linea Sarco-Maitencillo 1x220kV</t>
  </si>
  <si>
    <t>Tap-off</t>
  </si>
  <si>
    <t>T-172</t>
  </si>
  <si>
    <t>17/02/2025 08:37:07</t>
  </si>
  <si>
    <t>Alupar SE1 Ana María 220 kV</t>
  </si>
  <si>
    <t>Alupar Chile Inversiones SpA.</t>
  </si>
  <si>
    <t>16/05/2025 16:57:37</t>
  </si>
  <si>
    <t>BESS Coo Energía</t>
  </si>
  <si>
    <t>Coo Energía SpA</t>
  </si>
  <si>
    <t>S/E Nueva La Ligua 23 kV</t>
  </si>
  <si>
    <t>16/01/2026 15:22:20</t>
  </si>
  <si>
    <t>Parque Eólico Rodolmo Sur</t>
  </si>
  <si>
    <t>PFV Beta Solar</t>
  </si>
  <si>
    <t>S/E Crucero 220 kV</t>
  </si>
  <si>
    <t>J</t>
  </si>
  <si>
    <t>29/08/2025 13:17:43</t>
  </si>
  <si>
    <t>Tamarugo Solar</t>
  </si>
  <si>
    <t>Tamarugo Solar SpA</t>
  </si>
  <si>
    <t>Línea 1x220 kV Lagunas - Matillas</t>
  </si>
  <si>
    <t>Aumento de Inyección Bolero y retiro de red</t>
  </si>
  <si>
    <t>Bolero SpA</t>
  </si>
  <si>
    <t>7.8</t>
  </si>
  <si>
    <t>Subestación Bolero 220 kV</t>
  </si>
  <si>
    <t>BESS Anteros</t>
  </si>
  <si>
    <t>S/E Punta Sierra 220 kV</t>
  </si>
  <si>
    <t>Barra Principal 1, Diagonal N°5, Posición Norte</t>
  </si>
  <si>
    <t>Entre interruptores J13 y J14</t>
  </si>
  <si>
    <t>28/03/2025 16:47:12</t>
  </si>
  <si>
    <t>Inclusión Sistema BESS Parque Eólico Totoral</t>
  </si>
  <si>
    <t>Norvind S.A.</t>
  </si>
  <si>
    <t>SE Totoral 1 23</t>
  </si>
  <si>
    <t>Inclusión Sistema BESS San Juan</t>
  </si>
  <si>
    <t>38</t>
  </si>
  <si>
    <t>S/E San Juan</t>
  </si>
  <si>
    <t>BESS Leonidas</t>
  </si>
  <si>
    <t>Diagonal 4. Posición sur</t>
  </si>
  <si>
    <t>Ampliación del Parque Eólico Horizonte</t>
  </si>
  <si>
    <t>S/E Horizonte Norte</t>
  </si>
  <si>
    <t>BESS Kronos</t>
  </si>
  <si>
    <t>S/E Agua Amarga 220 kV</t>
  </si>
  <si>
    <t>Barra Principal 1, Diagonal 4, Posición Norte</t>
  </si>
  <si>
    <t>28/03/2025 14:19:21</t>
  </si>
  <si>
    <t>BESS QM3</t>
  </si>
  <si>
    <t>Línea Alto Norte 110 - Tap Off La Negra 110 kV</t>
  </si>
  <si>
    <t>110kV</t>
  </si>
  <si>
    <t>SP Hikari</t>
  </si>
  <si>
    <t>S/E Los Tilos Bulnes 66 kV</t>
  </si>
  <si>
    <t>52B3</t>
  </si>
  <si>
    <t>BESS Libelula</t>
  </si>
  <si>
    <t>S/E Elevadora Libelula 33 kV</t>
  </si>
  <si>
    <t xml:space="preserve">Barra 1 y Barra 2 </t>
  </si>
  <si>
    <t>Siroco</t>
  </si>
  <si>
    <t>97</t>
  </si>
  <si>
    <t>Línea 1x220 kV Rucatayo - Pichirrahue</t>
  </si>
  <si>
    <t>16/10/2024 14:15:13</t>
  </si>
  <si>
    <t>S/E Costanera 12 kV</t>
  </si>
  <si>
    <t>Barra N°1 y barra N°2</t>
  </si>
  <si>
    <t>12BP1 4 y 12BP2 9</t>
  </si>
  <si>
    <t>Hornillo Generación (Ex Punitaqui Generación)</t>
  </si>
  <si>
    <t>15/07/2025 16:43:52</t>
  </si>
  <si>
    <t>BESS Granja Solar</t>
  </si>
  <si>
    <t>105</t>
  </si>
  <si>
    <t>03/2025</t>
  </si>
  <si>
    <t>PV Sol Poniente</t>
  </si>
  <si>
    <t>BESS PFV Qanqiña</t>
  </si>
  <si>
    <t>QANQINA SpA</t>
  </si>
  <si>
    <t>S/E Elevadora Qanqiña 33 kV</t>
  </si>
  <si>
    <t>barra de 33kV</t>
  </si>
  <si>
    <t>ETAPA 2 PLANTA DESALINIZADORA ACONCAGUA EN LA S/E PUCHUNCAVÍ 110 KV</t>
  </si>
  <si>
    <t>Aguas Pacífico SpA</t>
  </si>
  <si>
    <t>S/E Puchuncaví 110 kV</t>
  </si>
  <si>
    <t>BESS Águila Andina</t>
  </si>
  <si>
    <t>barra doble</t>
  </si>
  <si>
    <t>j11,j12</t>
  </si>
  <si>
    <t>16/05/2025 16:54:48</t>
  </si>
  <si>
    <t>BESS Picaflor Azul</t>
  </si>
  <si>
    <t>S/E Pozo Almonte 66 kV</t>
  </si>
  <si>
    <t>18/06/2025 17:10:29</t>
  </si>
  <si>
    <t xml:space="preserve">BESS Gaia						</t>
  </si>
  <si>
    <t>S/E Verbena 220 kV</t>
  </si>
  <si>
    <t>Entre interruptores J4 y J5</t>
  </si>
  <si>
    <t>PF Cristaria Solar + BESS</t>
  </si>
  <si>
    <t>Cristaria Solar SpA</t>
  </si>
  <si>
    <t>S/E Nueva Maitencillo 500 kV</t>
  </si>
  <si>
    <t>31/07/2025 15:04:43</t>
  </si>
  <si>
    <t>BESS Atlas</t>
  </si>
  <si>
    <t>S/E La Manga 66 kV</t>
  </si>
  <si>
    <t>Condensadores Síncronos en S/E Ana María</t>
  </si>
  <si>
    <t>Barra prinicipal 1</t>
  </si>
  <si>
    <t>09/04/2025 10:15:47</t>
  </si>
  <si>
    <t>Arica Solar III</t>
  </si>
  <si>
    <t>Arica Solar Generación 2 Limitada</t>
  </si>
  <si>
    <t>Nueva S/E Seccionadora Alto de Ramírez 220 kV</t>
  </si>
  <si>
    <t>02/01/2026 00:00:00</t>
  </si>
  <si>
    <t>Nuevo Alimentador T3 Alameda</t>
  </si>
  <si>
    <t>52C12</t>
  </si>
  <si>
    <t>Santa Regina</t>
  </si>
  <si>
    <t>69.5</t>
  </si>
  <si>
    <t>S/E Central Los Pinos 220 kV</t>
  </si>
  <si>
    <t>20/01/2026 08:51:19</t>
  </si>
  <si>
    <t>Subestación el Arenal y Parque Eólico Peñasco Ventoso</t>
  </si>
  <si>
    <t>Quilleco SpA</t>
  </si>
  <si>
    <t>288</t>
  </si>
  <si>
    <t>Líneas 220kV Charrúa-Rucúe y Charrúa-Quilleco</t>
  </si>
  <si>
    <t>NO APLICA</t>
  </si>
  <si>
    <t>Ampliación Proyecto Fehaciente Parque Solar Nuevo Quillagua Fase 2</t>
  </si>
  <si>
    <t>Ampliación Proyecto Fehaciente Sistema de Almacenamiento Quillagua</t>
  </si>
  <si>
    <t>S/E PEQ 23 kV</t>
  </si>
  <si>
    <t>BESS BOLDO</t>
  </si>
  <si>
    <t>S/E Buin 110 kV</t>
  </si>
  <si>
    <t>A7</t>
  </si>
  <si>
    <t>BESS Los Aromos</t>
  </si>
  <si>
    <t>BESS Pullalli SpA</t>
  </si>
  <si>
    <t>S/E Salamanca 23 kV</t>
  </si>
  <si>
    <t>E9</t>
  </si>
  <si>
    <t>05/03/2025 12:41:35</t>
  </si>
  <si>
    <t>BESS Halcón 1</t>
  </si>
  <si>
    <t>S/E El Manzano 23 kV</t>
  </si>
  <si>
    <t>BESS Naos</t>
  </si>
  <si>
    <t>S/E Quinta de Tilcoco 66 kV</t>
  </si>
  <si>
    <t>05/03/2025 12:50:38</t>
  </si>
  <si>
    <t>BESS BELTRÁN</t>
  </si>
  <si>
    <t>S/E LA PÓLVORA 110 kV</t>
  </si>
  <si>
    <t xml:space="preserve">Doble barra </t>
  </si>
  <si>
    <t>H9</t>
  </si>
  <si>
    <t>26/02/2025 09:58:05</t>
  </si>
  <si>
    <t>BESS Cajón</t>
  </si>
  <si>
    <t>San Pedro (CTNG) 110 kV</t>
  </si>
  <si>
    <t>H8 o alternativa disponible</t>
  </si>
  <si>
    <t>Parque Eólico Quilanto</t>
  </si>
  <si>
    <t>Andes Mainstream SpA</t>
  </si>
  <si>
    <t>122.4</t>
  </si>
  <si>
    <t>Línea 1x220 kV Frutillar Norte - Puelche Sur</t>
  </si>
  <si>
    <t>Línea 23 kV Molynor</t>
  </si>
  <si>
    <t>Complejo Industrial Molynor S.A.</t>
  </si>
  <si>
    <t>S/E Mejillones 23 kV</t>
  </si>
  <si>
    <t>28/03/2025 17:18:04</t>
  </si>
  <si>
    <t>Bess Fortaleza</t>
  </si>
  <si>
    <t>Fortaleza Energía SpA.</t>
  </si>
  <si>
    <t>S/E Pan de Azucar, 13,2</t>
  </si>
  <si>
    <t>Transformador T11</t>
  </si>
  <si>
    <t>T11</t>
  </si>
  <si>
    <t>SE Mulchen 220 kV</t>
  </si>
  <si>
    <t>Barra 110kV</t>
  </si>
  <si>
    <t>Paño H4</t>
  </si>
  <si>
    <t>06/08/2025 14:21:52</t>
  </si>
  <si>
    <t>AR-SEG Eólico Capilla</t>
  </si>
  <si>
    <t>AR-SEG Terral Spa</t>
  </si>
  <si>
    <t>101</t>
  </si>
  <si>
    <t>LAT Rahue - Antillanca 220 kV</t>
  </si>
  <si>
    <t>Tap Off LAT</t>
  </si>
  <si>
    <t>26/11/2024 15:15:10</t>
  </si>
  <si>
    <t>Ampliación BESS PFV Domeyko</t>
  </si>
  <si>
    <t>PFV Domeyko SpA</t>
  </si>
  <si>
    <t>SE Elevadora PFV Domeyko 23kV</t>
  </si>
  <si>
    <t>celda de 23kV</t>
  </si>
  <si>
    <t>Nuevo Alimentador Catemu 3</t>
  </si>
  <si>
    <t>S/E Catemu 12 kV</t>
  </si>
  <si>
    <t>CT2</t>
  </si>
  <si>
    <t>BESS Radecal</t>
  </si>
  <si>
    <t>Paño H5</t>
  </si>
  <si>
    <t>01/07/2025 15:12:44</t>
  </si>
  <si>
    <t xml:space="preserve">Nuevo Alimentador 12 kV Rodas en S/E Pudahuel              </t>
  </si>
  <si>
    <t>Barra 12 kV N°4 (celdas)</t>
  </si>
  <si>
    <t>18/02/2025 20:03:09</t>
  </si>
  <si>
    <t>BESS Kaus</t>
  </si>
  <si>
    <t>S/E Pargua 23 kV</t>
  </si>
  <si>
    <t>Barra Principal y Barra de Transferencia</t>
  </si>
  <si>
    <t>28/05/2025 11:56:19</t>
  </si>
  <si>
    <t>BESS Koel</t>
  </si>
  <si>
    <t>S/E Machalí 15 kV</t>
  </si>
  <si>
    <t>Machalí</t>
  </si>
  <si>
    <t>Kunko BESS</t>
  </si>
  <si>
    <t>San Fabián - Ancoa 220 kV</t>
  </si>
  <si>
    <t>Seccionamiento en derivación</t>
  </si>
  <si>
    <t>Entre estructuras 80 y 81</t>
  </si>
  <si>
    <t>San Fabián</t>
  </si>
  <si>
    <t>29/08/2024 12:37:50</t>
  </si>
  <si>
    <t>BESS Guayaba</t>
  </si>
  <si>
    <t>BESS Del Salitre SpA</t>
  </si>
  <si>
    <t>S/E Duqueco 23 kV</t>
  </si>
  <si>
    <t>EX (Por Definir)</t>
  </si>
  <si>
    <t>26/02/2026 22:03:30</t>
  </si>
  <si>
    <t>BESS Los Ficus</t>
  </si>
  <si>
    <t>BESS Jardin Oriente SpA</t>
  </si>
  <si>
    <t>S/E El Peñon 13 kV</t>
  </si>
  <si>
    <t>EX1 y EX2 (Por Definir)</t>
  </si>
  <si>
    <t>08/10/2025 17:17:56</t>
  </si>
  <si>
    <t>Aumento de Demanda en Subestación Los Vilos</t>
  </si>
  <si>
    <t>Minera Los Pelambres</t>
  </si>
  <si>
    <t>Subestación Los Vilos 23kV</t>
  </si>
  <si>
    <t>Swtichgear 0587-SG-6001</t>
  </si>
  <si>
    <t>Ampliación de Barra en 220 KV en Subestación El Mauro</t>
  </si>
  <si>
    <t>22</t>
  </si>
  <si>
    <t>S/E El Mauro 220 kV</t>
  </si>
  <si>
    <t>Barra Subestación tranque Mauro 220kV</t>
  </si>
  <si>
    <t>Sistema Prime I</t>
  </si>
  <si>
    <t>S/E Central Termopacífico 23 kV</t>
  </si>
  <si>
    <t>Sub-barra 23 kV Nave 4</t>
  </si>
  <si>
    <t>E-4C (Nuevo Paño Barra 23 kV Nave 4)</t>
  </si>
  <si>
    <t>Versalles II</t>
  </si>
  <si>
    <t>2x220 kV Nueva Ventanas - Nogales</t>
  </si>
  <si>
    <t>Seccionamiento en Interruptor y Medio</t>
  </si>
  <si>
    <t>11 km a S/E Nueva Ventanas</t>
  </si>
  <si>
    <t>23/08/2024 15:07:01</t>
  </si>
  <si>
    <t>S/E Central Termopacífico</t>
  </si>
  <si>
    <t>BESS "EL SOL"</t>
  </si>
  <si>
    <t>Electrica Nogales SpA</t>
  </si>
  <si>
    <t>BESS Águila Mora</t>
  </si>
  <si>
    <t>S/E Ana Maria 220 kV</t>
  </si>
  <si>
    <t>Barra Numero 2</t>
  </si>
  <si>
    <t>J20,J21</t>
  </si>
  <si>
    <t>18/02/2025 19:59:23</t>
  </si>
  <si>
    <t>BESS Caleta Buena</t>
  </si>
  <si>
    <t>S/E Orcoma 220 kV</t>
  </si>
  <si>
    <t>Barra 220kV</t>
  </si>
  <si>
    <t>Paño J4</t>
  </si>
  <si>
    <t>Alto Hospicio</t>
  </si>
  <si>
    <t>Parque Eólico Viena (Ex-Parque Eólico San Pablo)</t>
  </si>
  <si>
    <t>AustriaEnergy Chile Trece SpA</t>
  </si>
  <si>
    <t>S/E La Misión 66 kV</t>
  </si>
  <si>
    <t>B5-6</t>
  </si>
  <si>
    <t>San Pablo</t>
  </si>
  <si>
    <t>29/05/2025 18:47:20</t>
  </si>
  <si>
    <t>Reconversion U15 Tocopilla</t>
  </si>
  <si>
    <t>Reconversión U14 Tocopilla</t>
  </si>
  <si>
    <t>JG14</t>
  </si>
  <si>
    <t>BESS Algol</t>
  </si>
  <si>
    <t>S/E Puquillay 66 kV</t>
  </si>
  <si>
    <t>Nancagua</t>
  </si>
  <si>
    <t>BESS Moreras</t>
  </si>
  <si>
    <t>Alto Jahuel 110 kV</t>
  </si>
  <si>
    <t>Barra principal, seccion 1</t>
  </si>
  <si>
    <t>H7 u alternativa disponible</t>
  </si>
  <si>
    <t>23/04/2025 10:44:39</t>
  </si>
  <si>
    <t>BESS Yeco</t>
  </si>
  <si>
    <t>Barra Principal Seccionadora 2</t>
  </si>
  <si>
    <t>10/02/2025 22:10:43</t>
  </si>
  <si>
    <t>SE 417 y Línea de 69 kV “Tap Off 416 – Tap Off 417”</t>
  </si>
  <si>
    <t>Línea 69 kV “Tap Off 416 – Tap Off 417</t>
  </si>
  <si>
    <t>Laguna Seca 69 kV</t>
  </si>
  <si>
    <t>Paños H3 y H6 SE Secc. Enea 110 kV</t>
  </si>
  <si>
    <t>Seccionadora Enea 110 kV</t>
  </si>
  <si>
    <t>IM B1 y B2</t>
  </si>
  <si>
    <t>H5 y H6</t>
  </si>
  <si>
    <t>09/02/2026 15:10:14</t>
  </si>
  <si>
    <t>NUEVO ALIMENTADOR 23KV LAS NIEVES – COOPELAN</t>
  </si>
  <si>
    <t>Cooperativa Eléctrica Los Angeles LTDA</t>
  </si>
  <si>
    <t>S/E El Avellano 23 kV</t>
  </si>
  <si>
    <t>03/01/2025 00:00:00</t>
  </si>
  <si>
    <t>BESS Estepa</t>
  </si>
  <si>
    <t>S/E Estepa Solar 33 kV</t>
  </si>
  <si>
    <t>BESS del Desierto SpA</t>
  </si>
  <si>
    <t>anillo</t>
  </si>
  <si>
    <t xml:space="preserve">Sistema Almacenamiento BESS Atacama II						</t>
  </si>
  <si>
    <t>S/E Atacama II</t>
  </si>
  <si>
    <t>Barra principal 33 kV en S/E Atacama Solar II, secciones 1 y 2</t>
  </si>
  <si>
    <t>E17 y E18, nuevo por definir</t>
  </si>
  <si>
    <t>Arica Solar II</t>
  </si>
  <si>
    <t>Media diagonal interruptor y medio</t>
  </si>
  <si>
    <t>Por definir J4-J5</t>
  </si>
  <si>
    <t>07/10/2025 16:16:33</t>
  </si>
  <si>
    <t>Santa Remedios MC (ex Santa Emilia MC)</t>
  </si>
  <si>
    <t>SANTA EMILIA DE MACHALI SpA</t>
  </si>
  <si>
    <t>29/01/2025 17:18:14</t>
  </si>
  <si>
    <t>Santa Amelia TU</t>
  </si>
  <si>
    <t>SANTA AMELIA DE TUNICHE SpA</t>
  </si>
  <si>
    <t>S/E Tuniche 15 kV</t>
  </si>
  <si>
    <t>03/02/2025 09:05:50</t>
  </si>
  <si>
    <t>San Ramón GR</t>
  </si>
  <si>
    <t>SAN RAMON DE GRANEROS SpA</t>
  </si>
  <si>
    <t>S/E Graneros 15 kV</t>
  </si>
  <si>
    <t>Graneros</t>
  </si>
  <si>
    <t>03/07/2025 19:10:26</t>
  </si>
  <si>
    <t>Santa Paloma CU</t>
  </si>
  <si>
    <t>S/E Curicó 13,2 kV</t>
  </si>
  <si>
    <t>11/02/2026 17:55:21</t>
  </si>
  <si>
    <t>San Agustín MP</t>
  </si>
  <si>
    <t>SAN AGUSTIN DE MELIPILLA SpA</t>
  </si>
  <si>
    <t>S/E Bajo Melipilla 13,2 kV</t>
  </si>
  <si>
    <t>26/09/2025 13:27:03</t>
  </si>
  <si>
    <t>Parque Eolico Los Cerezos</t>
  </si>
  <si>
    <t>AustriaEnergy Chile Doce SpA</t>
  </si>
  <si>
    <t>S/E Mataquito 220 kV</t>
  </si>
  <si>
    <t>J2-J3, por definir</t>
  </si>
  <si>
    <t>Sagrada Familia</t>
  </si>
  <si>
    <t>Nuevo Alimentador 23 kV Cirion en S/E Quilicura</t>
  </si>
  <si>
    <t>13</t>
  </si>
  <si>
    <t>Barra 23 kV N°1 (Celdas)</t>
  </si>
  <si>
    <t>10/02/2025 09:50:49</t>
  </si>
  <si>
    <t>H2V Punta Patache</t>
  </si>
  <si>
    <t>H2V Patache SpA</t>
  </si>
  <si>
    <t>Línea 1x220kV Tarapacá - CMDIC Puerto</t>
  </si>
  <si>
    <t>BESS Lile (Ex-BESS Mejillones)</t>
  </si>
  <si>
    <t>S/E TEN GIS 220 kV</t>
  </si>
  <si>
    <t>Barras N°1 y N°2</t>
  </si>
  <si>
    <t>01/10/2024 21:11:04</t>
  </si>
  <si>
    <t>BESS Kulfún</t>
  </si>
  <si>
    <t xml:space="preserve">Línea 1x220 kV Colbún - Procart </t>
  </si>
  <si>
    <t>Entre estructuras 11 y 12</t>
  </si>
  <si>
    <t>23/08/2024 09:26:23</t>
  </si>
  <si>
    <t>PE Viento Bravo</t>
  </si>
  <si>
    <t xml:space="preserve">Eólica Viento Bravo SpA </t>
  </si>
  <si>
    <t>BESS Estela Solar (Ex BESS Tamarugal)</t>
  </si>
  <si>
    <t>Tamarugal Solar SpA.</t>
  </si>
  <si>
    <t>187</t>
  </si>
  <si>
    <t>S/E Tamarugal Solar</t>
  </si>
  <si>
    <t>22/05/2025 00:00:00</t>
  </si>
  <si>
    <t>SIMPLE</t>
  </si>
  <si>
    <t>PE Cumbres del Maule</t>
  </si>
  <si>
    <t>347</t>
  </si>
  <si>
    <t>S/E Nueva Nirivilo 220 kV</t>
  </si>
  <si>
    <t>SAE Calle Calle 2 a Paño E8 SE Valdivia</t>
  </si>
  <si>
    <t>S/E Valdivia 23 kV</t>
  </si>
  <si>
    <t>Barra principal, sección Nº 2</t>
  </si>
  <si>
    <t>E8</t>
  </si>
  <si>
    <t>SAE Calle Calle 1 a Paño E7 SE Valdivia</t>
  </si>
  <si>
    <t>BESS ENWAY</t>
  </si>
  <si>
    <t>S/E El Manzano (STM) 220 kV</t>
  </si>
  <si>
    <t>Barra Principal, Sección N°2</t>
  </si>
  <si>
    <t>Corniglia</t>
  </si>
  <si>
    <t>S/E Puchuncaví 12 kV</t>
  </si>
  <si>
    <t>Celda de Media Tensión, asociada al Transformador Nº2</t>
  </si>
  <si>
    <t xml:space="preserve">SAE Volcán Michinmahuida </t>
  </si>
  <si>
    <t>S/E Pichirropulli 66 kV</t>
  </si>
  <si>
    <t>16/05/2025 17:01:36</t>
  </si>
  <si>
    <t>BESS El Molino</t>
  </si>
  <si>
    <t>Tranque Solar (ex BESS Tranque)</t>
  </si>
  <si>
    <t>J7B</t>
  </si>
  <si>
    <t>08/10/2025 17:09:25</t>
  </si>
  <si>
    <t>Ríos de Pedraza</t>
  </si>
  <si>
    <t>Ríos Chile San Fernando SpA</t>
  </si>
  <si>
    <t>S/E Las Cabras 66 kV</t>
  </si>
  <si>
    <t>Peumo</t>
  </si>
  <si>
    <t>21/01/2025 11:33:56</t>
  </si>
  <si>
    <t>Conexión Alimentador N°5 a Paño C5 SE Lota</t>
  </si>
  <si>
    <t>S/E Lota 13 kV</t>
  </si>
  <si>
    <t>Lota</t>
  </si>
  <si>
    <t>BESS Los Ñisñiles</t>
  </si>
  <si>
    <t>S/E La Ruca 110 kV</t>
  </si>
  <si>
    <t>13/08/2025 11:42:43</t>
  </si>
  <si>
    <t>PE San Lorenzo</t>
  </si>
  <si>
    <t>S/E Angol 66 kV</t>
  </si>
  <si>
    <t>05/06/2025 08:14:41</t>
  </si>
  <si>
    <t>PE Cerro Los Loros</t>
  </si>
  <si>
    <t>03/02/2025 17:02:59</t>
  </si>
  <si>
    <t>BESS Catemito (Ex-BESS Las Acacias)</t>
  </si>
  <si>
    <t>Solar Uno SpA</t>
  </si>
  <si>
    <t>S/E Las Acacias 23 kV</t>
  </si>
  <si>
    <t>BA S/E LAS ACACIAS 23KV BP3</t>
  </si>
  <si>
    <t>D20</t>
  </si>
  <si>
    <t>17/02/2025 19:41:19</t>
  </si>
  <si>
    <t>PFV Los Llanos</t>
  </si>
  <si>
    <t>CMS SPVIII SPA</t>
  </si>
  <si>
    <t>7.5</t>
  </si>
  <si>
    <t>S/E EB2 4,16 kV</t>
  </si>
  <si>
    <t>D5</t>
  </si>
  <si>
    <t>12/09/2024 20:50:12</t>
  </si>
  <si>
    <t>BESS Siete Ríos</t>
  </si>
  <si>
    <t>S/E Los Varones 220 kV</t>
  </si>
  <si>
    <t>27/12/2024 16:52:27</t>
  </si>
  <si>
    <t>BESS Quillota</t>
  </si>
  <si>
    <t>S/E Quillota 110 kV</t>
  </si>
  <si>
    <t>Alimentador 23 KV Salida 2 S/E Melipulli</t>
  </si>
  <si>
    <t>Cooperativa Regional Eléctrica Llanquihue Ltda</t>
  </si>
  <si>
    <t>S/E Melipulli 23 kV</t>
  </si>
  <si>
    <t>22/12/2025 17:23:21</t>
  </si>
  <si>
    <t>BESS Cerro Sur</t>
  </si>
  <si>
    <t>S/E Cerros de Huichahue 220 kV</t>
  </si>
  <si>
    <t>BESS Fumarel</t>
  </si>
  <si>
    <t>S/E Quinquimo 23 kV</t>
  </si>
  <si>
    <t>11/09/2025 18:24:48</t>
  </si>
  <si>
    <t>BESS Halcón 32</t>
  </si>
  <si>
    <t>S/E Rosario 15 kV</t>
  </si>
  <si>
    <t>23/01/2025 10:00:51</t>
  </si>
  <si>
    <t>BESS Megrez</t>
  </si>
  <si>
    <t>S/E Codegua 110 kV</t>
  </si>
  <si>
    <t>BESS Tocopilla</t>
  </si>
  <si>
    <t>116</t>
  </si>
  <si>
    <t>Barra N˚1 y Barra N˚2</t>
  </si>
  <si>
    <t>02/08/2024 10:31:01</t>
  </si>
  <si>
    <t>BESS Fundadores</t>
  </si>
  <si>
    <t>SE Seccionadora Codegua 110 kV</t>
  </si>
  <si>
    <t>Barra principal seccionada con barra de transferencia</t>
  </si>
  <si>
    <t>29/05/2025 16:58:36</t>
  </si>
  <si>
    <t>BESS Hamal</t>
  </si>
  <si>
    <t>Flor de Llano</t>
  </si>
  <si>
    <t>Fotovoltaica Flor del Llano SpA</t>
  </si>
  <si>
    <t>S/E Maule 154 kV</t>
  </si>
  <si>
    <t>03/01/2025 13:14:07</t>
  </si>
  <si>
    <t>SP Farone</t>
  </si>
  <si>
    <t>S/E Retiro 66 kV</t>
  </si>
  <si>
    <t>Ampliación barra SE Tap Oeste</t>
  </si>
  <si>
    <t>Albemarle Limitada</t>
  </si>
  <si>
    <t>S/E Tap Oeste 220 kV</t>
  </si>
  <si>
    <t>29/07/2025 10:52:28</t>
  </si>
  <si>
    <t>BESS Halcón 33</t>
  </si>
  <si>
    <t>S/E Longavi 13.2 kV</t>
  </si>
  <si>
    <t>13/06/2025 12:43:33</t>
  </si>
  <si>
    <t>BESS Halcón 22</t>
  </si>
  <si>
    <t>BESS Alto Valle (Ex Parque Eólico Alto Valle)</t>
  </si>
  <si>
    <t>23/06/2025 18:22:17</t>
  </si>
  <si>
    <t>PF El Pellin</t>
  </si>
  <si>
    <t>Parque Fotovoltaico El Pellín SpA</t>
  </si>
  <si>
    <t>S/E Los Angeles 15 kV</t>
  </si>
  <si>
    <t xml:space="preserve">Barra principal </t>
  </si>
  <si>
    <t>24/07/2025 15:52:12</t>
  </si>
  <si>
    <t>BESS Nova</t>
  </si>
  <si>
    <t>S/E Andes (AES ANDES) 220 kV</t>
  </si>
  <si>
    <t>SP Umbrella</t>
  </si>
  <si>
    <t>S/E GRANEROS 66 kV</t>
  </si>
  <si>
    <t>21/10/2025 12:10:19</t>
  </si>
  <si>
    <t>Parque Eólico Nuvien (ex Parque Eólico Santa Rosa)</t>
  </si>
  <si>
    <t>Innergex Energía Renovable SpA</t>
  </si>
  <si>
    <t>517.5</t>
  </si>
  <si>
    <t>S/E Mulchen 220 kV</t>
  </si>
  <si>
    <t>doble</t>
  </si>
  <si>
    <t>12/02/2026 10:45:41</t>
  </si>
  <si>
    <t>BESS Flamenco</t>
  </si>
  <si>
    <t>BESS Flamenco SpA</t>
  </si>
  <si>
    <t>26/12/2024 12:30:21</t>
  </si>
  <si>
    <t>Parque Fotovoltaico La Verdiona Solar</t>
  </si>
  <si>
    <t>Central Eléctrica El Peumo SpA</t>
  </si>
  <si>
    <t>S/E La Ruca 220 kV</t>
  </si>
  <si>
    <t>Diagonal N°3</t>
  </si>
  <si>
    <t>Polos de Desarrollo</t>
  </si>
  <si>
    <t>Nightowl 5</t>
  </si>
  <si>
    <t>Mejillones - El Lince 110 kV</t>
  </si>
  <si>
    <t>SP El Destello</t>
  </si>
  <si>
    <t>16/12/2024 08:44:37</t>
  </si>
  <si>
    <t>BESS Halcón 11</t>
  </si>
  <si>
    <t>S/E Marchigue 13 kV</t>
  </si>
  <si>
    <t>21/10/2025 11:32:37</t>
  </si>
  <si>
    <t>SAE Volcán Chiliques</t>
  </si>
  <si>
    <t>Parque Fotovoltaico Sol de Algarrobal (ex Parque Fotovoltaico La Jaula)</t>
  </si>
  <si>
    <t>BESS Mehuín</t>
  </si>
  <si>
    <t>S/E Ciruelos 220 kV</t>
  </si>
  <si>
    <t>Mariquina</t>
  </si>
  <si>
    <t>BESS Halcón 34 (Ex BESS Halcón 29)</t>
  </si>
  <si>
    <t>S/E Quinta de Tilcoco 15kV</t>
  </si>
  <si>
    <t>24/06/2025 15:03:24</t>
  </si>
  <si>
    <t>BESS Marenostrum</t>
  </si>
  <si>
    <t>BP 2 - BT</t>
  </si>
  <si>
    <t>J8</t>
  </si>
  <si>
    <t>SP Iris</t>
  </si>
  <si>
    <t>S/E San Francisco de Mostazal 66kV</t>
  </si>
  <si>
    <t>Mostazal</t>
  </si>
  <si>
    <t>PV Mineru</t>
  </si>
  <si>
    <t>S/E Santa Isabel 220kV</t>
  </si>
  <si>
    <t>Barra principal Nº1-220kV</t>
  </si>
  <si>
    <t>Pelarco</t>
  </si>
  <si>
    <t>SP Argus</t>
  </si>
  <si>
    <t>S/E Nirivilo 66 kV</t>
  </si>
  <si>
    <t>Parra Principal</t>
  </si>
  <si>
    <t>BESS Abanto</t>
  </si>
  <si>
    <t>Nueva S/E La Ligua 220 kV</t>
  </si>
  <si>
    <t>10/02/2025 22:22:49</t>
  </si>
  <si>
    <t>Bess Guarro</t>
  </si>
  <si>
    <t>ALBATROSS RENEWABLES SPA</t>
  </si>
  <si>
    <t>S/E Centella 220 kV</t>
  </si>
  <si>
    <t>06/08/2025 10:47:57</t>
  </si>
  <si>
    <t>BESS Teba</t>
  </si>
  <si>
    <t>Barra principal, seccion 1 - 110kV</t>
  </si>
  <si>
    <t>BESS PFV Domeyko</t>
  </si>
  <si>
    <t>S/E Elevadora PFV Domeyko 23 kV</t>
  </si>
  <si>
    <t>Celda de media tensión</t>
  </si>
  <si>
    <t>BESS CATALPA</t>
  </si>
  <si>
    <t>Nueva S/E El Pimiento 110 kV</t>
  </si>
  <si>
    <t>BESS Chagual</t>
  </si>
  <si>
    <t>Teba Solar SpA</t>
  </si>
  <si>
    <t>Nueva S/E Pachacama 110 kV</t>
  </si>
  <si>
    <t>SAE Volcán Aucanquilcha</t>
  </si>
  <si>
    <t>24/07/2025 12:35:19</t>
  </si>
  <si>
    <t>Parque Eólico El Alba</t>
  </si>
  <si>
    <t>45.6</t>
  </si>
  <si>
    <t>S/E Tolpan Sur 33 kV</t>
  </si>
  <si>
    <t>BESS Solution 1</t>
  </si>
  <si>
    <t>ENACCESS SPA</t>
  </si>
  <si>
    <t>27/03/2025 22:30:59</t>
  </si>
  <si>
    <t>Sandstone BESS IV</t>
  </si>
  <si>
    <t>S/E Puerto Patache 220 kV</t>
  </si>
  <si>
    <t>08/07/2025 14:20:25</t>
  </si>
  <si>
    <t>Santa Ema Solar</t>
  </si>
  <si>
    <t>S/E Chimbarongo 66 kV</t>
  </si>
  <si>
    <t>Barra Principal + Barra transferencia</t>
  </si>
  <si>
    <t>Ampliación BESS Halcón 4</t>
  </si>
  <si>
    <t>S/E BESS Halcón 4 110 kV</t>
  </si>
  <si>
    <t>Sistema de almacenamiento del PF Sol de Lila II</t>
  </si>
  <si>
    <t>BESS Halcón 27</t>
  </si>
  <si>
    <t>Nightowl 6</t>
  </si>
  <si>
    <t>S/E Caldera 23 kV</t>
  </si>
  <si>
    <t>Sol de Choapa</t>
  </si>
  <si>
    <t>Línea Salamanca - Minera Tres Valles 23 kV</t>
  </si>
  <si>
    <t>BESS Anémona (ex BESS Antucoya)</t>
  </si>
  <si>
    <t>82</t>
  </si>
  <si>
    <t>S/E Antucoya 220 kV</t>
  </si>
  <si>
    <t>BESS El Cobre</t>
  </si>
  <si>
    <t>S/E El Cobre 220 kV</t>
  </si>
  <si>
    <t>BESS Herrerillo</t>
  </si>
  <si>
    <t>S/E Codegua 66 kV</t>
  </si>
  <si>
    <t>26/11/2024 19:08:33</t>
  </si>
  <si>
    <t>SAE Volcán Ollahue</t>
  </si>
  <si>
    <t>S/E Rosario 66 kV</t>
  </si>
  <si>
    <t>Bess Tocopilla</t>
  </si>
  <si>
    <t>G12</t>
  </si>
  <si>
    <t>BESS PFV Cachiyuyo</t>
  </si>
  <si>
    <t>Parque Solar Cachiyuyo SpA</t>
  </si>
  <si>
    <t>S/E Cachiyuyo 23 kV</t>
  </si>
  <si>
    <t>Celda media tensión</t>
  </si>
  <si>
    <t>BESS Halcón 30</t>
  </si>
  <si>
    <t>27</t>
  </si>
  <si>
    <t>S/E Las Compañías 13 kV</t>
  </si>
  <si>
    <t>Subestación Agrosuper</t>
  </si>
  <si>
    <t>111.6</t>
  </si>
  <si>
    <t>S/E Maitencillo 220 kV</t>
  </si>
  <si>
    <t>BP2 + BT</t>
  </si>
  <si>
    <t>Arena BESS</t>
  </si>
  <si>
    <t>CI NMF I Arena ProjectCo SpA</t>
  </si>
  <si>
    <t>LT 220 kV Parinas - Lalackama</t>
  </si>
  <si>
    <t>17/07/2024 09:01:57</t>
  </si>
  <si>
    <t>BESS Parque Fotovoltaico Usya</t>
  </si>
  <si>
    <t>BESS Parque Fotovoltaico Malgarida II</t>
  </si>
  <si>
    <t>BESS Parque Fotovoltaico El Romero</t>
  </si>
  <si>
    <t>S/E El Romero 33 kV</t>
  </si>
  <si>
    <t>BESS Parque Fotovoltaico Almeyda</t>
  </si>
  <si>
    <t>BESS Freirina</t>
  </si>
  <si>
    <t>Linea Guacolda Maitencillo Linea 1 - Cto 1</t>
  </si>
  <si>
    <t>Estructura 78 - Cto 1</t>
  </si>
  <si>
    <t>Parque Eólico Luanco</t>
  </si>
  <si>
    <t>Parque Eólico Luanco SpA</t>
  </si>
  <si>
    <t>275</t>
  </si>
  <si>
    <t>S/E Santa Clara 220 kV</t>
  </si>
  <si>
    <t>Ampliación Parque San Pedro</t>
  </si>
  <si>
    <t>S/E Central San Pedro de Dalcahue 110 kV - LT 1x110 kV S/E Central San Pedro de Dalcahue - Chiloé</t>
  </si>
  <si>
    <t>Barra Principal 110 kV</t>
  </si>
  <si>
    <t>TR1</t>
  </si>
  <si>
    <t>Dalcahue</t>
  </si>
  <si>
    <t>03/02/2025 16:56:39</t>
  </si>
  <si>
    <t>LDES Mirlo</t>
  </si>
  <si>
    <t>S/E Las Piedras 23kV</t>
  </si>
  <si>
    <t>BESS Halcón 29</t>
  </si>
  <si>
    <t>S/E Liqcau (ex Nueva La Negra) 220 kV</t>
  </si>
  <si>
    <t>Barra principal, N°1</t>
  </si>
  <si>
    <t>BESS Triguero</t>
  </si>
  <si>
    <t>Doble barra principal más barra transferencia</t>
  </si>
  <si>
    <t>A6</t>
  </si>
  <si>
    <t>BESS Lo Prado</t>
  </si>
  <si>
    <t>J5/J6</t>
  </si>
  <si>
    <t>12/05/2025 16:07:23</t>
  </si>
  <si>
    <t>BESS Arica I</t>
  </si>
  <si>
    <t>Arica Solar Generación 1 SpA</t>
  </si>
  <si>
    <t>S/E Arica I 33 kV</t>
  </si>
  <si>
    <t>BS1</t>
  </si>
  <si>
    <t>52F3</t>
  </si>
  <si>
    <t>BESS Alianza</t>
  </si>
  <si>
    <t>Barra primcipal con barra de transferencia</t>
  </si>
  <si>
    <t>HT4</t>
  </si>
  <si>
    <t>06/11/2024 16:33:37</t>
  </si>
  <si>
    <t>Parque Eólico Vientos del Pinar (ex PE Santa Rosa)</t>
  </si>
  <si>
    <t>S/E Central Los Guindos 220 kV</t>
  </si>
  <si>
    <t>BESS Guanaco Solar 50 MW</t>
  </si>
  <si>
    <t>Fotovoltáica Norte Grande 5 SpA</t>
  </si>
  <si>
    <t>S/E Guanaco Solar 33 kV</t>
  </si>
  <si>
    <t>Barra de media tension 33kv</t>
  </si>
  <si>
    <t>15/10/2025 10:16:20</t>
  </si>
  <si>
    <t>Sistema de almacenamiento del PF Valle del Sol II</t>
  </si>
  <si>
    <t>S/E Valle del Sol 33 kV</t>
  </si>
  <si>
    <t>BESS ALOE NUEVA ENERGÍA 4</t>
  </si>
  <si>
    <t>JINKO POWER CHILE IV SPA</t>
  </si>
  <si>
    <t>S/E Nueva Cardones 500 kV</t>
  </si>
  <si>
    <t>K10-K11</t>
  </si>
  <si>
    <t>26/11/2024 18:38:00</t>
  </si>
  <si>
    <t>Comahue</t>
  </si>
  <si>
    <t>S/E Capricornio  13,8 KV</t>
  </si>
  <si>
    <t>Barra 2, 13,8kV</t>
  </si>
  <si>
    <t>BESS Amanecer Nueva Energía 3 ( ex BESS Cumbre Nueva Energía 3)</t>
  </si>
  <si>
    <t>JINKO POWER CHILE III SPA</t>
  </si>
  <si>
    <t>S/E Cumbre 500 kV</t>
  </si>
  <si>
    <t>16/10/2024 18:17:29</t>
  </si>
  <si>
    <t>Sandstone BESS II</t>
  </si>
  <si>
    <t>CI GMF II FRONTERA PROJECTCO SPA</t>
  </si>
  <si>
    <t>S/E Frontera 220</t>
  </si>
  <si>
    <t>J23-J24</t>
  </si>
  <si>
    <t>S/E Nueva El Arriero 33 kV</t>
  </si>
  <si>
    <t>Barra 1 - Barra 4</t>
  </si>
  <si>
    <t>Santiago Solar BESS</t>
  </si>
  <si>
    <t>E8 - EBC</t>
  </si>
  <si>
    <t>BESS Alcedo</t>
  </si>
  <si>
    <t>24/10/2024 15:56:36</t>
  </si>
  <si>
    <t>BESS NUEVA CHUQUICAMATA NUEVA ENERGÍA 5</t>
  </si>
  <si>
    <t>JINKO POWER CHILE V SPA</t>
  </si>
  <si>
    <t>S/E Nueva Chuquicamata 220 kV</t>
  </si>
  <si>
    <t>J8 y J9</t>
  </si>
  <si>
    <t>22/10/2024 20:08:59</t>
  </si>
  <si>
    <t>BESS La Cruz Solar 50 MW</t>
  </si>
  <si>
    <t>Fotovoltaica Norte Grande 1 SpA</t>
  </si>
  <si>
    <t>S/E La Cruz Solar</t>
  </si>
  <si>
    <t>barra de media tension</t>
  </si>
  <si>
    <t>BESS Tamarico</t>
  </si>
  <si>
    <t>Tamarico Solar Dos SpA</t>
  </si>
  <si>
    <t>S/E Tamarico 33 kV</t>
  </si>
  <si>
    <t>F9, F10</t>
  </si>
  <si>
    <t xml:space="preserve">Bess Taira </t>
  </si>
  <si>
    <t xml:space="preserve">Planta Solar Tocopilla SpA </t>
  </si>
  <si>
    <t>124</t>
  </si>
  <si>
    <t>S/E Taira 33 kV</t>
  </si>
  <si>
    <t>FBESS1, FBESS2</t>
  </si>
  <si>
    <t>BESS Doña Antonia</t>
  </si>
  <si>
    <t>Doña Antonia Solar SpA</t>
  </si>
  <si>
    <t>S/E Doña Antonia 33 kV</t>
  </si>
  <si>
    <t>Parque eólico Las Parcelas</t>
  </si>
  <si>
    <t>S/E Rahue 220 kV</t>
  </si>
  <si>
    <t>Parque Eólico Morros</t>
  </si>
  <si>
    <t>Morros SpA.</t>
  </si>
  <si>
    <t>172.8</t>
  </si>
  <si>
    <t>línea 1x220 kV O'Higgins - Llanos del Viento.</t>
  </si>
  <si>
    <t>Seccionadora Navidad</t>
  </si>
  <si>
    <t>19/06/2024 17:02:39</t>
  </si>
  <si>
    <t>Sandstone BESS</t>
  </si>
  <si>
    <t>BESS Uribe Solar 50 MW</t>
  </si>
  <si>
    <t>S/E Uribe Solar 33 kV</t>
  </si>
  <si>
    <t>Barra de media tension</t>
  </si>
  <si>
    <t>BESS Matilde</t>
  </si>
  <si>
    <t>15/10/2024 21:27:27</t>
  </si>
  <si>
    <t>Barra Principal, Diagonal 1</t>
  </si>
  <si>
    <t>Quilpué</t>
  </si>
  <si>
    <t>Apatitas (Ex-PFV El Tambillo)</t>
  </si>
  <si>
    <t>El Tambillo SpA.</t>
  </si>
  <si>
    <t>S/E El Peñon 110 kV</t>
  </si>
  <si>
    <t>11/08/2025 18:28:18</t>
  </si>
  <si>
    <t>SGS+BESS Dual (ex Patillos +BESS Dual)</t>
  </si>
  <si>
    <t>S/E Patillos</t>
  </si>
  <si>
    <t>J07 (52E6)</t>
  </si>
  <si>
    <t>SAE Volcán Fueguino</t>
  </si>
  <si>
    <t>S/E Río Negro 66 kV</t>
  </si>
  <si>
    <t>19/03/2025 23:19:27</t>
  </si>
  <si>
    <t>SAE Volcán Palomo</t>
  </si>
  <si>
    <t>S/E San Vicente de Tagua Tagua 66 kV</t>
  </si>
  <si>
    <t>Barra N ° 2</t>
  </si>
  <si>
    <t>SAE Volcán Yate</t>
  </si>
  <si>
    <t>S/E San Javier 66 kV</t>
  </si>
  <si>
    <t>29/05/2025 10:05:15</t>
  </si>
  <si>
    <t>Parque Eólico Monterrey</t>
  </si>
  <si>
    <t>104.7</t>
  </si>
  <si>
    <t>Nuevo paño J3</t>
  </si>
  <si>
    <t>18/06/2024 15:05:23</t>
  </si>
  <si>
    <t>Parque Fotovoltaico Pulin</t>
  </si>
  <si>
    <t>Agrícola Santa Lucía Limitada</t>
  </si>
  <si>
    <t>03/12/2025 09:27:44</t>
  </si>
  <si>
    <t>BESS Halcón 28</t>
  </si>
  <si>
    <t>Diego de Almagro - Llanta 2x110 kV</t>
  </si>
  <si>
    <t>En Derivación</t>
  </si>
  <si>
    <t>BESS Cronos</t>
  </si>
  <si>
    <t>S/E Nueva Cardones 220kV</t>
  </si>
  <si>
    <t>BESS Altair (Ex BESS Antara)</t>
  </si>
  <si>
    <t>S/E Itahue 220 kV</t>
  </si>
  <si>
    <t>Bess Garuma</t>
  </si>
  <si>
    <t>01/10/2024 20:12:26</t>
  </si>
  <si>
    <t>BESS WILLKA 33 kV</t>
  </si>
  <si>
    <t>Inversiones Fotovoltaicas SpA</t>
  </si>
  <si>
    <t>61</t>
  </si>
  <si>
    <t>S/E Willka 33 kV</t>
  </si>
  <si>
    <t>09/09/2024 18:37:16</t>
  </si>
  <si>
    <t>BESS Lucero (Ex Lucero Solar)</t>
  </si>
  <si>
    <t>S/E Lucero 66 kV</t>
  </si>
  <si>
    <t>21/08/2025 17:10:56</t>
  </si>
  <si>
    <t>SAE Volcán Isluga</t>
  </si>
  <si>
    <t>S/E Pelequen 66kV</t>
  </si>
  <si>
    <t>141.0</t>
  </si>
  <si>
    <t>BESS Queldón</t>
  </si>
  <si>
    <t>S/E Los Maquis 66 kV</t>
  </si>
  <si>
    <t>B9</t>
  </si>
  <si>
    <t>San Rafael</t>
  </si>
  <si>
    <t>Alimentador Pueblo Colbún</t>
  </si>
  <si>
    <t>S/E Ancoa 13,8 kV</t>
  </si>
  <si>
    <t xml:space="preserve">Barra Principal 13,8kV N°2 </t>
  </si>
  <si>
    <t>14/11/2025 13:43:36</t>
  </si>
  <si>
    <t>Sistema BESS Virtual Reservoir</t>
  </si>
  <si>
    <t>S/E Alfalfal 220 kV</t>
  </si>
  <si>
    <t>por definir nombre</t>
  </si>
  <si>
    <t>BESS Halcón 26</t>
  </si>
  <si>
    <t>Línea 66 kV Santa Rosa - Alhué</t>
  </si>
  <si>
    <t>Tap-Off</t>
  </si>
  <si>
    <t>Alhué</t>
  </si>
  <si>
    <t>12/04/2024 15:18:17</t>
  </si>
  <si>
    <t>BESS Rayador</t>
  </si>
  <si>
    <t>S/E Pan de Azúcar 220 kV</t>
  </si>
  <si>
    <t>BESS DHE</t>
  </si>
  <si>
    <t>Don Héctor 220 kV</t>
  </si>
  <si>
    <t>BESS VAL</t>
  </si>
  <si>
    <t>Valdivia 220 kV</t>
  </si>
  <si>
    <t>25/11/2024 17:12:03</t>
  </si>
  <si>
    <t>BESS Zapiga (EX - BESS Dolores)</t>
  </si>
  <si>
    <t>S/E Dolores 110 kV</t>
  </si>
  <si>
    <t>Paño Conexión Barra 110 kV</t>
  </si>
  <si>
    <t>BESS Los Alerces</t>
  </si>
  <si>
    <t>BESS Los Alerces SpA</t>
  </si>
  <si>
    <t>S/E Puerto Montt 23 kV</t>
  </si>
  <si>
    <t>Barra 23kV N°1 y N°2</t>
  </si>
  <si>
    <t>52E8 y 52E9</t>
  </si>
  <si>
    <t>26/09/2024 09:48:46</t>
  </si>
  <si>
    <t>BESS CPI</t>
  </si>
  <si>
    <t>Carrera Pinto 220 kV</t>
  </si>
  <si>
    <t>Zapaleri del Verano Solar</t>
  </si>
  <si>
    <t>Valle de los Vientos - Calama Nueva 110 kV C1</t>
  </si>
  <si>
    <t>Torre 45</t>
  </si>
  <si>
    <t>BESS PAZ</t>
  </si>
  <si>
    <t>03/02/2025 09:47:33</t>
  </si>
  <si>
    <t xml:space="preserve">Nuevo Alimentador 12 kV Placilla en S/E San José       </t>
  </si>
  <si>
    <t>29/11/2024 13:31:27</t>
  </si>
  <si>
    <t xml:space="preserve">Nuevo Alimentador 12 kV Queule en S/E Lo Valledor        </t>
  </si>
  <si>
    <t>S/E Lo Valledor 12 kV</t>
  </si>
  <si>
    <t>Barra 12 kV N°4 (celda)</t>
  </si>
  <si>
    <t>Estación Central</t>
  </si>
  <si>
    <t>24/09/2024 08:58:31</t>
  </si>
  <si>
    <t xml:space="preserve">Nuevo Alimentador 12 kV Borgoño en S/E Pajaritos        </t>
  </si>
  <si>
    <t>24/05/2024 12:53:26</t>
  </si>
  <si>
    <t xml:space="preserve">Nuevo Alimentador 12 kV Gtd Conchalí en S/E Altamirano </t>
  </si>
  <si>
    <t>C25</t>
  </si>
  <si>
    <t>11/09/2024 19:49:04</t>
  </si>
  <si>
    <t>BESS Nuco</t>
  </si>
  <si>
    <t>25/11/2024 17:53:59</t>
  </si>
  <si>
    <t>Actualización Fehaciente Parque Solar Nuevo Quillagua Fase 2</t>
  </si>
  <si>
    <t>S/E PEQ 220 kV</t>
  </si>
  <si>
    <t>BESS Halcón 16</t>
  </si>
  <si>
    <t>19/01/2026 18:35:30</t>
  </si>
  <si>
    <t>Domo Tiltil</t>
  </si>
  <si>
    <t>S/E Rucasol 110 kV</t>
  </si>
  <si>
    <t xml:space="preserve">Reconversión Central Termoeléctrica Nueva Tocopilla </t>
  </si>
  <si>
    <t>117</t>
  </si>
  <si>
    <t>Norgener</t>
  </si>
  <si>
    <t>Paños Existentes</t>
  </si>
  <si>
    <t>J1 y J2</t>
  </si>
  <si>
    <t>BESS Peteroa</t>
  </si>
  <si>
    <t>Planta MDP Teno - Teno 1x154 kV</t>
  </si>
  <si>
    <t>13/05/2025 17:37:58</t>
  </si>
  <si>
    <t>Parque Eólico Junquillos 2</t>
  </si>
  <si>
    <t>S/E Mulchén 220kV</t>
  </si>
  <si>
    <t>Barra Principal N°1.</t>
  </si>
  <si>
    <t>Ríos de Ribagorda (ex Los Mejillones LCH)</t>
  </si>
  <si>
    <t>Ríos Chile Machalí SpA</t>
  </si>
  <si>
    <t>225</t>
  </si>
  <si>
    <t>Línea 2x220 kV TEN GIS - Changos</t>
  </si>
  <si>
    <t>01/10/2024 20:39:47</t>
  </si>
  <si>
    <t>Mejora Operacional sistema de Impulsión Agua de Mar</t>
  </si>
  <si>
    <t>nuevo paño adyacente a 52JT2</t>
  </si>
  <si>
    <t>Parque Solar Fotovoltaico La Esperanza</t>
  </si>
  <si>
    <t>La Esperanza Solar SpA</t>
  </si>
  <si>
    <t>S/E Fuentecilla 154 kV</t>
  </si>
  <si>
    <t>Parque Solar Fotovoltaico Pedro de Valdivia</t>
  </si>
  <si>
    <t>102</t>
  </si>
  <si>
    <t>Línea 1x220 kV Chacaya-Crucero</t>
  </si>
  <si>
    <t>BP + BT</t>
  </si>
  <si>
    <t>Seccionamiento LT 1x220 kV Chacaya-Crucero</t>
  </si>
  <si>
    <t>07/02/2025 10:33:00</t>
  </si>
  <si>
    <t>Ampliación PE Alena</t>
  </si>
  <si>
    <t>AR Alena SpA.</t>
  </si>
  <si>
    <t>S/E Alena 33 kV</t>
  </si>
  <si>
    <t>Celdas de 33 kV</t>
  </si>
  <si>
    <t>F1 a F5</t>
  </si>
  <si>
    <t>17/07/2024 09:09:52</t>
  </si>
  <si>
    <t xml:space="preserve"> Ríos de Tudela (ex Ríos Centinela del Tesoro)</t>
  </si>
  <si>
    <t>Ríos Centinela SpA</t>
  </si>
  <si>
    <t>S/E El Tesoro 220 kV</t>
  </si>
  <si>
    <t>26/03/2024 10:54:05</t>
  </si>
  <si>
    <t xml:space="preserve">Nuevo Alimentador 23 kV Gaudí en S/E Lo Boza        </t>
  </si>
  <si>
    <t>Barra 23 kV N°6 (celda)</t>
  </si>
  <si>
    <t>E44</t>
  </si>
  <si>
    <t>28/08/2024 16:28:40</t>
  </si>
  <si>
    <t xml:space="preserve">Nuevo Alimentador 12 kV Zamora en S/E Macul        </t>
  </si>
  <si>
    <t>04/06/2024 06:58:44</t>
  </si>
  <si>
    <t>Ríos de Segovia (Ex La Quinta de Fuentecilla)</t>
  </si>
  <si>
    <t>S/E Fuentecilla 66 kV</t>
  </si>
  <si>
    <t>Santa Teresa Solar</t>
  </si>
  <si>
    <t>S/E Itahue 66 kV</t>
  </si>
  <si>
    <t>Barra principal más barra de transferencia, sección 2</t>
  </si>
  <si>
    <t>PE Entre Ríos</t>
  </si>
  <si>
    <t>NR Entre Ríos SpA</t>
  </si>
  <si>
    <t>310.5</t>
  </si>
  <si>
    <t>Barra Principal más transferencia</t>
  </si>
  <si>
    <t>07/11/2024 14:22:50</t>
  </si>
  <si>
    <t>BESS PORTA</t>
  </si>
  <si>
    <t>S/E Nueva Lagunas 220 kV</t>
  </si>
  <si>
    <t>Plantas - Seccionadora LLano de LLampos 1x220 kV</t>
  </si>
  <si>
    <t>07/02/2025 13:12:31</t>
  </si>
  <si>
    <t>Central Fotovoltaica Lucas</t>
  </si>
  <si>
    <t>Nueva S/E Seccionadora Las Delicias 66 kV</t>
  </si>
  <si>
    <t>Barra principal y barra de transferencia</t>
  </si>
  <si>
    <t>B4, por definir</t>
  </si>
  <si>
    <t>BESS Halcón 23</t>
  </si>
  <si>
    <t>Línea Lagunas - Challacollo 220 kV</t>
  </si>
  <si>
    <t>Seccionadora</t>
  </si>
  <si>
    <t>SE Seccionadora</t>
  </si>
  <si>
    <t>Lolol</t>
  </si>
  <si>
    <t>Las Mellizas Generación SpA.</t>
  </si>
  <si>
    <t>S/E Ranguili 66 kV</t>
  </si>
  <si>
    <t>19/03/2025 23:25:50</t>
  </si>
  <si>
    <t>BESS Júpiter</t>
  </si>
  <si>
    <t>16/05/2025 16:30:02</t>
  </si>
  <si>
    <t>Alimentador 23 KV salida 2 S/E Puerto Varas</t>
  </si>
  <si>
    <t>S/E Puerto Varas 23 kV</t>
  </si>
  <si>
    <t>Puerto Varas</t>
  </si>
  <si>
    <t>06/08/2024 10:09:53</t>
  </si>
  <si>
    <t>Nuevo Transformador de Poder N°10 110/23 kV</t>
  </si>
  <si>
    <t>S/E Chacabuco 110 kV</t>
  </si>
  <si>
    <t>Barra N°2 - 110 kV</t>
  </si>
  <si>
    <t>AT10 (referencia)</t>
  </si>
  <si>
    <t>Kira Solar</t>
  </si>
  <si>
    <t>Parque Fotovoltaico Hualo SpA</t>
  </si>
  <si>
    <t>S/E Nueva Seccionadora El Pimiento 220 kV</t>
  </si>
  <si>
    <t>Nueva Seccionadora El Pimiento</t>
  </si>
  <si>
    <t>Ríos de Jerez (ex BESS La Palma del Lucero)</t>
  </si>
  <si>
    <t>Ríos Chile La Palma SpA</t>
  </si>
  <si>
    <t>13/08/2024 17:51:46</t>
  </si>
  <si>
    <t>Anselmo Solar (Ex San Felipe)</t>
  </si>
  <si>
    <t>S/E LINARES - 66KV</t>
  </si>
  <si>
    <t>Ríos de Mérida (ex El Nirivilo de Panguilemo)</t>
  </si>
  <si>
    <t>Ríos Chile Nirivilo SpA</t>
  </si>
  <si>
    <t>S/E Panguilemo 66 kV</t>
  </si>
  <si>
    <t>06/08/2025 10:07:47</t>
  </si>
  <si>
    <t>Ríos de Pedraza (Ex San Fernando de Las Cabras)</t>
  </si>
  <si>
    <t>Ríos de Talavera (Ex-BESS El Molino de Molina)</t>
  </si>
  <si>
    <t>Ríos Chile Molina SpA</t>
  </si>
  <si>
    <t>S/E Molina 15 kV</t>
  </si>
  <si>
    <t>C16</t>
  </si>
  <si>
    <t>PMG AGUILA PEREGRINO</t>
  </si>
  <si>
    <t>Tikuna Energía SpA.</t>
  </si>
  <si>
    <t>S/E Las Vegas 12kV</t>
  </si>
  <si>
    <t>barra 1</t>
  </si>
  <si>
    <t>14/08/2024 17:09:34</t>
  </si>
  <si>
    <t>BESS Confín</t>
  </si>
  <si>
    <t>27/06/2025 18:00:17</t>
  </si>
  <si>
    <t>BESS Abrazo</t>
  </si>
  <si>
    <t>S/E Seccionadora San Andrés 220 kV</t>
  </si>
  <si>
    <t>05/08/2024 09:26:31</t>
  </si>
  <si>
    <t>BESS HUAÑIL</t>
  </si>
  <si>
    <t>BESS Huañil SpA</t>
  </si>
  <si>
    <t>Nueva S/E Centella 220 kV</t>
  </si>
  <si>
    <t>25/11/2024 17:49:45</t>
  </si>
  <si>
    <t>BESS Clemencia</t>
  </si>
  <si>
    <t>Atlas Development Chile SpA</t>
  </si>
  <si>
    <t>10/10/2025 15:01:02</t>
  </si>
  <si>
    <t>BESS Dulcinea</t>
  </si>
  <si>
    <t>S/E Carrera Pinto 220 kV</t>
  </si>
  <si>
    <t>BESS Troya</t>
  </si>
  <si>
    <t>BESS Las Cañas (Ex - BESS El Peñon)</t>
  </si>
  <si>
    <t>BESS El Peñon SpA</t>
  </si>
  <si>
    <t>S/E Nueva Pan de Azúcar 220 kV</t>
  </si>
  <si>
    <t>Barra B</t>
  </si>
  <si>
    <t>01/12/2025 16:34:37</t>
  </si>
  <si>
    <t>BESS Halcón 19</t>
  </si>
  <si>
    <t>Angamos - Kapatur 220 kV</t>
  </si>
  <si>
    <t>Seccionadora al Circuito N°1</t>
  </si>
  <si>
    <t>03/02/2026 17:12:08</t>
  </si>
  <si>
    <t>BESS Boreal</t>
  </si>
  <si>
    <t>S/E Calama Nueva 220 kV</t>
  </si>
  <si>
    <t>Barra 1- Barra 2</t>
  </si>
  <si>
    <t>BESS San Agustin</t>
  </si>
  <si>
    <t>S/E Condores 220 kV</t>
  </si>
  <si>
    <t>Atacama Solar-BESS Fase III</t>
  </si>
  <si>
    <t>S/E Matilla</t>
  </si>
  <si>
    <t>JT3 (Nuevo modulo GIS)</t>
  </si>
  <si>
    <t>22/04/2024 13:44:53</t>
  </si>
  <si>
    <t>Amigos de Verano</t>
  </si>
  <si>
    <t>Nueva S/E Seccionadora Llullaillaco 500 kV</t>
  </si>
  <si>
    <t>k7, por definir</t>
  </si>
  <si>
    <t>BESS Alto Vultur</t>
  </si>
  <si>
    <t>S/E Cóndores 220 kV</t>
  </si>
  <si>
    <t>BESS Rey Cobre</t>
  </si>
  <si>
    <t>S/E Calama Nueva 110 kV</t>
  </si>
  <si>
    <t>Barra principal + barra de transferencia</t>
  </si>
  <si>
    <t>BESS Norte Claro</t>
  </si>
  <si>
    <t>S/E Lagunas 220 kV</t>
  </si>
  <si>
    <t>Barra principal sección 2 y barra de transferencia</t>
  </si>
  <si>
    <t>H17</t>
  </si>
  <si>
    <t>BESS Terral (Ex-BESS Duqueco)</t>
  </si>
  <si>
    <t>S/E Duqueco 66 kV</t>
  </si>
  <si>
    <t>05/11/2024 14:23:06</t>
  </si>
  <si>
    <t>Nuevo Horizonte</t>
  </si>
  <si>
    <t>BESS Llullaillaco</t>
  </si>
  <si>
    <t>K14-K15</t>
  </si>
  <si>
    <t>Horizonte II</t>
  </si>
  <si>
    <t>K9-K12</t>
  </si>
  <si>
    <t>Cerro Carnero</t>
  </si>
  <si>
    <t>K7-K8-K10-K11</t>
  </si>
  <si>
    <t>Parque Eólico Esmeralda</t>
  </si>
  <si>
    <t>S/E Seccionadora Las Delicias 220 kV</t>
  </si>
  <si>
    <t>Cobquecura</t>
  </si>
  <si>
    <t>PE Chanco</t>
  </si>
  <si>
    <t>Los Merengues</t>
  </si>
  <si>
    <t>Santa Elena</t>
  </si>
  <si>
    <t>K10-K11-K8-K7</t>
  </si>
  <si>
    <t>Yunobo Solar</t>
  </si>
  <si>
    <t>Barra principal Nº2</t>
  </si>
  <si>
    <t>Gregario</t>
  </si>
  <si>
    <t>Parque Eólico Quirihue Poniente</t>
  </si>
  <si>
    <t>Parque Eólico Culenco</t>
  </si>
  <si>
    <t>Ninhue</t>
  </si>
  <si>
    <t>Central Fotovoltaica Jaime</t>
  </si>
  <si>
    <t>J10, Por definir</t>
  </si>
  <si>
    <t>Ostro</t>
  </si>
  <si>
    <t>S/E Coiquén 66 kV</t>
  </si>
  <si>
    <t>Orinoco</t>
  </si>
  <si>
    <t>Parque Eólico Fariña</t>
  </si>
  <si>
    <t>151.2</t>
  </si>
  <si>
    <t>BESS Traro (Ex-Canastero)</t>
  </si>
  <si>
    <t>María Pinto</t>
  </si>
  <si>
    <t>PE Pucará</t>
  </si>
  <si>
    <t>Nueva S/E Litueche 110 kV</t>
  </si>
  <si>
    <t>Barra y Barra Transferencia</t>
  </si>
  <si>
    <t xml:space="preserve">H3, por definir </t>
  </si>
  <si>
    <t>Parque Eólico El Parrón</t>
  </si>
  <si>
    <t>AustriaEnergy Chile Diez SpA</t>
  </si>
  <si>
    <t>Por Definir, lado norte</t>
  </si>
  <si>
    <t>Central Fotovoltaica Camino al Sol</t>
  </si>
  <si>
    <t>Barra principal y transferencia</t>
  </si>
  <si>
    <t>PSF BESS Nogal</t>
  </si>
  <si>
    <t>Diagonal 2 entre paños J5/J6</t>
  </si>
  <si>
    <t>Central Fotovoltaica Marte</t>
  </si>
  <si>
    <t>H3, por definir</t>
  </si>
  <si>
    <t>Central Fotovoltaica Gabriel</t>
  </si>
  <si>
    <t>Nueva S/E Seccionadora El Guindal 110 kV</t>
  </si>
  <si>
    <t>Barra principal seccionada y transferencia</t>
  </si>
  <si>
    <t>Central Fotovoltaica Florencia</t>
  </si>
  <si>
    <t>Nueva S/E Coiquén 66kV</t>
  </si>
  <si>
    <t>PFV Pahuilmo</t>
  </si>
  <si>
    <t>S/E Seccionadora El Pimiento 110 kV</t>
  </si>
  <si>
    <t>Central Fotovoltaica Teodoro</t>
  </si>
  <si>
    <t>S/E Seccionadora Las Delicias 66 kV</t>
  </si>
  <si>
    <t>PFV Culenco</t>
  </si>
  <si>
    <t xml:space="preserve">TALHUAN CULENCO SOLAR SPA </t>
  </si>
  <si>
    <t>Barra principal N1 y N2</t>
  </si>
  <si>
    <t>Arena Generación</t>
  </si>
  <si>
    <t>WF Ambrosía</t>
  </si>
  <si>
    <t>Parque Eólico Cobquecura</t>
  </si>
  <si>
    <t>Paño J9</t>
  </si>
  <si>
    <t>Avestruz</t>
  </si>
  <si>
    <t>Parque Santa Bárbara</t>
  </si>
  <si>
    <t>Plantar Solar SPV I SpA</t>
  </si>
  <si>
    <t>Parque Eólico Los Cardos</t>
  </si>
  <si>
    <t>108</t>
  </si>
  <si>
    <t>Parque Eólico Las Delicias</t>
  </si>
  <si>
    <t>Lajuelas Solar</t>
  </si>
  <si>
    <t>S/E Quilmo II 66 kV</t>
  </si>
  <si>
    <t>PFV Litueche</t>
  </si>
  <si>
    <t>FV Prat</t>
  </si>
  <si>
    <t>Diagonal</t>
  </si>
  <si>
    <t>J9-J10 por definir</t>
  </si>
  <si>
    <t>PFV Prueba</t>
  </si>
  <si>
    <t>Parque Solar Viveros SpA</t>
  </si>
  <si>
    <t>PFV El Pato</t>
  </si>
  <si>
    <t>NUEVA S/E SECCIONADORA EL PIMIENTO 110 kV</t>
  </si>
  <si>
    <t>FV Canahuate</t>
  </si>
  <si>
    <t>S/E Montenegro 13,2 kV</t>
  </si>
  <si>
    <t>San Ignacio</t>
  </si>
  <si>
    <t>FV Los Pinos</t>
  </si>
  <si>
    <t xml:space="preserve">Habilitación Tansformador de Potencia Stand By </t>
  </si>
  <si>
    <t>Minera Valle Central S.A.</t>
  </si>
  <si>
    <t>23.5</t>
  </si>
  <si>
    <t>S/E Minera Valle Central 154 kV</t>
  </si>
  <si>
    <t>Requínoa</t>
  </si>
  <si>
    <t>08/2024</t>
  </si>
  <si>
    <t>BESS POLPAICO NUEVA ENERGÍA 2</t>
  </si>
  <si>
    <t>JINKO POWER CHILE II SPA</t>
  </si>
  <si>
    <t>Doble barra mas barra transferencia</t>
  </si>
  <si>
    <t>21/01/2025 18:21:17</t>
  </si>
  <si>
    <t xml:space="preserve"> Alimentador 23 kV Salida 1 S/E Puerto Varas</t>
  </si>
  <si>
    <t>06/08/2024 09:23:08</t>
  </si>
  <si>
    <t>BESS Halcón 18</t>
  </si>
  <si>
    <t>J21</t>
  </si>
  <si>
    <t>Chincolco</t>
  </si>
  <si>
    <t>Fotovoltaica San Miguel SpA</t>
  </si>
  <si>
    <t>65</t>
  </si>
  <si>
    <t>Circuito 2 de LTx 2x220 kV Los Piuquenes – Quillota</t>
  </si>
  <si>
    <t>Nueva S/E seccionadora</t>
  </si>
  <si>
    <t>Seccionamiento circuito 2 de la LTx 2x220 kV Los Piquenes – Quillota</t>
  </si>
  <si>
    <t>06/02/2024 10:41:58</t>
  </si>
  <si>
    <t>Fotovoltaica Itahue SpA.</t>
  </si>
  <si>
    <t>Circuito 2 de LTx 2x220 kV Los Piuquenes - Quillota</t>
  </si>
  <si>
    <t>Seccionamiento circuito 2 de la LTx 2x220 kV Los Piquenes - Quillota</t>
  </si>
  <si>
    <t>BESS Halcón 21</t>
  </si>
  <si>
    <t>Línea Chacaya - El Cobre 220 kV</t>
  </si>
  <si>
    <t>En seccionamiento al Circuito N°2</t>
  </si>
  <si>
    <t>AR San Nicolás Solar</t>
  </si>
  <si>
    <t>AR Ministro Hales Solar SpA.</t>
  </si>
  <si>
    <t>96</t>
  </si>
  <si>
    <t>LAT Colbún - Procart 220 kV</t>
  </si>
  <si>
    <t>LAT Colbún - Procart 220kV</t>
  </si>
  <si>
    <t>Jardín Solar</t>
  </si>
  <si>
    <t>J16-J19</t>
  </si>
  <si>
    <t>Solango</t>
  </si>
  <si>
    <t>Hidroenersur S.A.</t>
  </si>
  <si>
    <t>S/E Picoiquen 13,2 kV</t>
  </si>
  <si>
    <t>S/E Switchgear 13.2 kV</t>
  </si>
  <si>
    <t xml:space="preserve">Switchgear 13.2 conectado a SE Central Picoiquen </t>
  </si>
  <si>
    <t>PH Pedregal</t>
  </si>
  <si>
    <t>13/08/2025 19:37:25</t>
  </si>
  <si>
    <t>BESS Tambillo</t>
  </si>
  <si>
    <t>BESS El Salado SpA.</t>
  </si>
  <si>
    <t>405</t>
  </si>
  <si>
    <t>S/E Nueva Pozo Almonte 220kV</t>
  </si>
  <si>
    <t>JX</t>
  </si>
  <si>
    <t>BESS Pueblo Hundido SpA</t>
  </si>
  <si>
    <t>BESS ALTILIUM</t>
  </si>
  <si>
    <t>07/01/2026 11:43:22</t>
  </si>
  <si>
    <t>Molinillo</t>
  </si>
  <si>
    <t>29/08/2024 15:06:46</t>
  </si>
  <si>
    <t>BESS Saucache</t>
  </si>
  <si>
    <t>S/E Parinacota 220 kV</t>
  </si>
  <si>
    <t>Nuevo Alimentador SE Puerto Varas Paño E5</t>
  </si>
  <si>
    <t>6.2</t>
  </si>
  <si>
    <t>Nuevo Alimentador SE Puerto Varas Paño E4</t>
  </si>
  <si>
    <t>PFV Chilicauquén (ex PFV Quinteros)</t>
  </si>
  <si>
    <t>2x220 kV Nueva Ventana - Nogales</t>
  </si>
  <si>
    <t>Quintano</t>
  </si>
  <si>
    <t>S/E Puchuncavi 110 kV</t>
  </si>
  <si>
    <t>Barra Principal Sección 2</t>
  </si>
  <si>
    <t>13/09/2024 16:41:19</t>
  </si>
  <si>
    <t>BESS Volta (Ex BESS Don Ignacio I)</t>
  </si>
  <si>
    <t>BESS El Aparecido</t>
  </si>
  <si>
    <t>Loma Los Colorados - Tap Punta Peuco 110 kV</t>
  </si>
  <si>
    <t>13/02/2026 11:54:21</t>
  </si>
  <si>
    <t>Catalina del Verano</t>
  </si>
  <si>
    <t>41</t>
  </si>
  <si>
    <t>S/E Tuniche 66 kV</t>
  </si>
  <si>
    <t>29/08/2024 14:54:18</t>
  </si>
  <si>
    <t>ENAPAC DISTRIBUCION ESTE</t>
  </si>
  <si>
    <t>Trends Ingeniería S.A</t>
  </si>
  <si>
    <t>74.8</t>
  </si>
  <si>
    <t>S/E Luz del Norte 220 KV</t>
  </si>
  <si>
    <t>16/09/2024 17:55:40</t>
  </si>
  <si>
    <t>ENAPAC DISTRIBUCION NORTE</t>
  </si>
  <si>
    <t>S/E GALLEGUILLOS 110KV</t>
  </si>
  <si>
    <t>H4, POR DEFINIR</t>
  </si>
  <si>
    <t>ENAPAC</t>
  </si>
  <si>
    <t>64.8</t>
  </si>
  <si>
    <t>S/E Cenizas 110 kV</t>
  </si>
  <si>
    <t>BESS del Desierto</t>
  </si>
  <si>
    <t>S/E Sol del Desierto 33 kV</t>
  </si>
  <si>
    <t>Barra Principal, sección 1 y 2</t>
  </si>
  <si>
    <t xml:space="preserve">Nuevo Alimentador 12 kV Délano en S/E Pajaritos              </t>
  </si>
  <si>
    <t>Barra 12 kV N°3</t>
  </si>
  <si>
    <t>PMG Patache +BESS</t>
  </si>
  <si>
    <t>S/E Central Tarapacá 6 kV</t>
  </si>
  <si>
    <t>Barra 6.6 kV</t>
  </si>
  <si>
    <t>Circuito MT 1BBB14 en barra 6.6kV bajo trafo de arranque 1BCT10 de 28MVA</t>
  </si>
  <si>
    <t>Nuevo Alimentador 12 kV Traiguén en S/E Alonso de Córdova</t>
  </si>
  <si>
    <t>C27</t>
  </si>
  <si>
    <t>25/03/2024 00:00:00</t>
  </si>
  <si>
    <t>BESS Tres Puntas</t>
  </si>
  <si>
    <t>Diagonal Futura</t>
  </si>
  <si>
    <t>Solar Tres Puntas</t>
  </si>
  <si>
    <t>La Ruca 220 kV</t>
  </si>
  <si>
    <t>Diagonal futura</t>
  </si>
  <si>
    <t>PROYECTO ODATA ST01 EXPANSIÓN</t>
  </si>
  <si>
    <t>Ambas Barras (configuración interruptor y medio)</t>
  </si>
  <si>
    <t>06/2024</t>
  </si>
  <si>
    <t>Solar Oriente</t>
  </si>
  <si>
    <t>520</t>
  </si>
  <si>
    <t>Línea 220 kV Lagunas - Puquios</t>
  </si>
  <si>
    <t>27/02/2025 09:45:44</t>
  </si>
  <si>
    <t>Volcán Puntiagudo (Ex SAE Teno)</t>
  </si>
  <si>
    <t>S/E Teno 66 kV</t>
  </si>
  <si>
    <t>27/02/2026 10:46:53</t>
  </si>
  <si>
    <t>PE Ámbar</t>
  </si>
  <si>
    <t>S/E Don Héctor 220kV</t>
  </si>
  <si>
    <t>Banderita</t>
  </si>
  <si>
    <t>Línea 1x220 kV Centinela - Las Salinas</t>
  </si>
  <si>
    <t>Nuevo seccionamiento</t>
  </si>
  <si>
    <t>06/06/2025 23:16:24</t>
  </si>
  <si>
    <t>BESS ATARDECER NUEVA ENERGÍA 1 (Ex-BESS LA LIGUA ENERGIA 1)</t>
  </si>
  <si>
    <t>Barra principal No 1 y 2</t>
  </si>
  <si>
    <t>16/12/2024 08:35:54</t>
  </si>
  <si>
    <t>BESS Halcón 12</t>
  </si>
  <si>
    <t>Barra Principal Seccion 1</t>
  </si>
  <si>
    <t>09/07/2024 10:36:53</t>
  </si>
  <si>
    <t>SAE Volcán Sollipulli (Ex SAE Barro Blanco)</t>
  </si>
  <si>
    <t>S/E Barro Blanco 66 kV</t>
  </si>
  <si>
    <t>28/10/2025 00:00:00</t>
  </si>
  <si>
    <t>SAE Volcán Mentolat (Ex SAE Loreto)</t>
  </si>
  <si>
    <t>S/E Loreto 66 kV</t>
  </si>
  <si>
    <t>SAE Volcán Melimoyu (Ex SAE Itahue)</t>
  </si>
  <si>
    <t>Barra Sección N°2</t>
  </si>
  <si>
    <t>SAE Volcán Hudson (Ex SAE La Ronda)</t>
  </si>
  <si>
    <t>S/E La Ronda 66 kV</t>
  </si>
  <si>
    <t>SAE Volcán Tupungatito (ex La Palma)</t>
  </si>
  <si>
    <t>S/E La Palma 66 kV</t>
  </si>
  <si>
    <t>SAE Volcán Guallatiri (Ex SAE Paso Hondo)</t>
  </si>
  <si>
    <t>S/E Paso Hondo 66 kV</t>
  </si>
  <si>
    <t>SAE Volcán Lanín (Ex SAE Curacautin)</t>
  </si>
  <si>
    <t>S/E Curacautin 66 kV</t>
  </si>
  <si>
    <t>SAE Volcán Chaitén (Ex SAE Lautaro)</t>
  </si>
  <si>
    <t>S/E Lautaro 66 kV</t>
  </si>
  <si>
    <t>Nuevo Alimentador SE Alto Bonito Paño E5</t>
  </si>
  <si>
    <t>6.1</t>
  </si>
  <si>
    <t>S/E Alto Bonito 23 kV</t>
  </si>
  <si>
    <t>Nuevo Alimentador SE Alto Bonito Paño E4</t>
  </si>
  <si>
    <t>7.3</t>
  </si>
  <si>
    <t>PRAT SOLAR</t>
  </si>
  <si>
    <t>S/E Hualte 66 kV</t>
  </si>
  <si>
    <t>B5 (Norte)</t>
  </si>
  <si>
    <t>BESS Halcón de Almagro Etapa 1</t>
  </si>
  <si>
    <t>Línea 110 kV Diego de Almagro - Río Salado</t>
  </si>
  <si>
    <t>BESS Arica II</t>
  </si>
  <si>
    <t>S/E Arica 66 kV</t>
  </si>
  <si>
    <t>29/07/2024 17:42:00</t>
  </si>
  <si>
    <t>270</t>
  </si>
  <si>
    <t>Mejoramiento en Transporte y Distribución de Relaves Estanque Elevado Fase 1 y 2</t>
  </si>
  <si>
    <t>Barras 1 y 3, 33 kV</t>
  </si>
  <si>
    <t>H18 y H41</t>
  </si>
  <si>
    <t>14/08/2024 14:14:13</t>
  </si>
  <si>
    <t>BESS Tamarugal</t>
  </si>
  <si>
    <t>S/E Granja Solar 220 kV</t>
  </si>
  <si>
    <t>BESS Halcón de Almagro Etapa 2</t>
  </si>
  <si>
    <t>Ríos de Ondarreta (Ex - Ríos Nueva Pozo Almonte)</t>
  </si>
  <si>
    <t>Ríos Nueva Pozo Almonte SpA</t>
  </si>
  <si>
    <t>BESS Halcón de Almagro Etapa 3</t>
  </si>
  <si>
    <t>44</t>
  </si>
  <si>
    <t>Diego de Almagro - Minera Franke 110 kV</t>
  </si>
  <si>
    <t>en derivación</t>
  </si>
  <si>
    <t>FV Oro y Cielo</t>
  </si>
  <si>
    <t>96.2</t>
  </si>
  <si>
    <t>1x220 kV Polpaico-Santa Filomena</t>
  </si>
  <si>
    <t>Seccionamiento (BP+BT)</t>
  </si>
  <si>
    <t>Paño Nueva S/E Seccionadora Oro y Cielo</t>
  </si>
  <si>
    <t>06/11/2024 22:05:25</t>
  </si>
  <si>
    <t>Parque Eólico Joya del Pacífico</t>
  </si>
  <si>
    <t>S/E La Polvora 110 kV</t>
  </si>
  <si>
    <t>Solar Wing</t>
  </si>
  <si>
    <t>Desierto de Atacama 220 kV</t>
  </si>
  <si>
    <t>PMG San Benedicto (Ex PMG Santa Barbara II)</t>
  </si>
  <si>
    <t>Santa Barbara II SpA.</t>
  </si>
  <si>
    <t>SE Hualte 66kV</t>
  </si>
  <si>
    <t>PMG Santa Barbara II</t>
  </si>
  <si>
    <t>Sistema de Almacenamiento Central Desierto de Atacama</t>
  </si>
  <si>
    <t>S/E Desierto de Atacama 33 kV</t>
  </si>
  <si>
    <t>04/2024</t>
  </si>
  <si>
    <t>PF Cristaria Solar+ BESS (Etapa 1)</t>
  </si>
  <si>
    <t>S/E Nueva Maitencillo 220 kV</t>
  </si>
  <si>
    <t xml:space="preserve">Barra 220kV </t>
  </si>
  <si>
    <t>La Orquidea</t>
  </si>
  <si>
    <t>94.5</t>
  </si>
  <si>
    <t>J12 - J11</t>
  </si>
  <si>
    <t>Magnus Solaris</t>
  </si>
  <si>
    <t>750</t>
  </si>
  <si>
    <t>K9, K11</t>
  </si>
  <si>
    <t>Parque Fotovoltaico Sol de Piuchén</t>
  </si>
  <si>
    <t>S/E Portezuelo 110 kV</t>
  </si>
  <si>
    <t>LAS MELLIZAS GENERACIÓN</t>
  </si>
  <si>
    <t>K12</t>
  </si>
  <si>
    <t>26/09/2025 13:30:31</t>
  </si>
  <si>
    <t>Sistema de Almacenamiento del PF Sol de Lila</t>
  </si>
  <si>
    <t>Parque Fotovoltaico El Hualle</t>
  </si>
  <si>
    <t>Parque Fotovoltaico El Hualle SpA</t>
  </si>
  <si>
    <t>S/E Hualte</t>
  </si>
  <si>
    <t>Tropical</t>
  </si>
  <si>
    <t>S/E Candelaria 220 kV</t>
  </si>
  <si>
    <t>Merengues</t>
  </si>
  <si>
    <t>Parque Solar Fotovoltaico Tirana Oeste</t>
  </si>
  <si>
    <t>336</t>
  </si>
  <si>
    <t>18/06/2025 16:02:15</t>
  </si>
  <si>
    <t>Parque Eólico Yumbel</t>
  </si>
  <si>
    <t>FRV Services Chile SpA</t>
  </si>
  <si>
    <t>235</t>
  </si>
  <si>
    <t>S/E Hualqui 220kV</t>
  </si>
  <si>
    <t>BESS Halcón  20</t>
  </si>
  <si>
    <t>06/02/2026 12:43:17</t>
  </si>
  <si>
    <t>Pampa Solar del Tamarugal</t>
  </si>
  <si>
    <t>Electra SpA</t>
  </si>
  <si>
    <t>Interruptor y medio, barra principal 2</t>
  </si>
  <si>
    <t>Paño se ubicará en el extremo norte que es parte de la futura subestación</t>
  </si>
  <si>
    <t>23/09/2025 00:00:00</t>
  </si>
  <si>
    <t>147</t>
  </si>
  <si>
    <t>Proyecto Hortensias</t>
  </si>
  <si>
    <t>Florida</t>
  </si>
  <si>
    <t>Pita Solar</t>
  </si>
  <si>
    <t>136.4</t>
  </si>
  <si>
    <t>Ara Solar</t>
  </si>
  <si>
    <t>PFV Hemera (Ex PFV Bellavista Norte)</t>
  </si>
  <si>
    <t>Bellavista Solar SpA.</t>
  </si>
  <si>
    <t>S/E Los Maquis (CGE) 66 kV</t>
  </si>
  <si>
    <t>paño de 220kV, objeto de la ampliación de la S/E Nueva Pozo Almonte</t>
  </si>
  <si>
    <t>paño de 220kV, objeto de la ampliación de la SE</t>
  </si>
  <si>
    <t>FV Coihueco II</t>
  </si>
  <si>
    <t>S/E San Fabian 220 kV</t>
  </si>
  <si>
    <t>J5, por definir</t>
  </si>
  <si>
    <t>04/01/2024 18:01:15</t>
  </si>
  <si>
    <t>Parque Fotovoltaico Los Rastrojos</t>
  </si>
  <si>
    <t>La Serena Ocho SpA</t>
  </si>
  <si>
    <t>S/E La Huella 220 kV</t>
  </si>
  <si>
    <t>Parque Fotovoltaico Sol de Varas</t>
  </si>
  <si>
    <t>AustrianSolar Chile Tres SpA</t>
  </si>
  <si>
    <t>S/E Central Luz del Norte 220 kV</t>
  </si>
  <si>
    <t>16/09/2024 17:53:52</t>
  </si>
  <si>
    <t>Parque Fotovoltaico Sol de Atacama</t>
  </si>
  <si>
    <t>AustrianSolar Chile Dos SpA</t>
  </si>
  <si>
    <t>Línea 1x110 kV Mantoverde - Planta de Bombeo N°2</t>
  </si>
  <si>
    <t>Sistema de Almacenamiento Quillagua</t>
  </si>
  <si>
    <t>S/E PE Quillagua 23 kV</t>
  </si>
  <si>
    <t>Ramaditas (Ex-Tamarugal Solar 3)</t>
  </si>
  <si>
    <t>Circuito línea 2x220 kV Lagunas - Puquios</t>
  </si>
  <si>
    <t>09/08/2024 12:50:49</t>
  </si>
  <si>
    <t>Pampino (Ex-Tamarugal Solar 2)</t>
  </si>
  <si>
    <t>Primer circuito línea 2x220 kV Lagunas - Collahuasi</t>
  </si>
  <si>
    <t>Parque Eólico Cochento</t>
  </si>
  <si>
    <t>Parque Eólico Cochento SpA</t>
  </si>
  <si>
    <t>54</t>
  </si>
  <si>
    <t>San Gabriel - Mulchén 220kV C1</t>
  </si>
  <si>
    <t>Nueva subestación seccionadora</t>
  </si>
  <si>
    <t>06/03/2024 17:28:44</t>
  </si>
  <si>
    <t>PFV Los Boldos</t>
  </si>
  <si>
    <t>15/12/2025 00:00:00</t>
  </si>
  <si>
    <t>SAN GABRIEL - MULCHEN 220KV C1</t>
  </si>
  <si>
    <t>Futura subestación seccionadora PE Cochento</t>
  </si>
  <si>
    <t>BESS CHACA</t>
  </si>
  <si>
    <t>J5 y J6</t>
  </si>
  <si>
    <t>24/05/2024 15:23:25</t>
  </si>
  <si>
    <t>Parque Eólico Séneca 150 MW</t>
  </si>
  <si>
    <t xml:space="preserve">Nuevo Alimentador 12 kV Gales en S/E Andes       </t>
  </si>
  <si>
    <t>S/E Andes 12 kV</t>
  </si>
  <si>
    <t>Barra 12 kV N°1</t>
  </si>
  <si>
    <t>La Reina</t>
  </si>
  <si>
    <t>20/05/2024 14:58:44</t>
  </si>
  <si>
    <t>BESS Mirador</t>
  </si>
  <si>
    <t>S/E Hernan Fuentes 23 kV</t>
  </si>
  <si>
    <t>Tierruca del Verano</t>
  </si>
  <si>
    <t>83</t>
  </si>
  <si>
    <t>17/05/2024 17:10:10</t>
  </si>
  <si>
    <t>Nuevo Alimentador Santa Elena 13,2kV SE Panimávida 66/13,2kV, 5,0 (MVA)</t>
  </si>
  <si>
    <t>Luzlinares S.A.</t>
  </si>
  <si>
    <t>S/E Panimavida 13,2 kV</t>
  </si>
  <si>
    <t>06/03/2024 18:11:30</t>
  </si>
  <si>
    <t>Nuevo Alimentador Santa Ester 13,2kV SE Panimávida 66/13,2kV, 5,0 (MVA</t>
  </si>
  <si>
    <t>Parque Eólico Sierra Esperanza</t>
  </si>
  <si>
    <t>Sierra Esperanza SpA</t>
  </si>
  <si>
    <t>Deriv. Línea Punta Colorada - Tres Quebradas 220 kV</t>
  </si>
  <si>
    <t xml:space="preserve">Nuevo Alimentador 12 kV Alarcón de S/E San Joaquín    </t>
  </si>
  <si>
    <t>09/05/2024 15:16:35</t>
  </si>
  <si>
    <t>10/2024</t>
  </si>
  <si>
    <t>Sistema de almacenamiento del PF Valle del Sol</t>
  </si>
  <si>
    <t>Celdas 33kV</t>
  </si>
  <si>
    <t>Nuevo Alimentador 12 kV Puyehue en S/E Apoquindo</t>
  </si>
  <si>
    <t>Barra 12kV N°3</t>
  </si>
  <si>
    <t>C23</t>
  </si>
  <si>
    <t>25/03/2024 11:30:36</t>
  </si>
  <si>
    <t>PE Cancura</t>
  </si>
  <si>
    <t>S/E Cancura 23 kV</t>
  </si>
  <si>
    <t>Parque Fotovoltaico Lauca</t>
  </si>
  <si>
    <t>Arica Solar 1 S.A.</t>
  </si>
  <si>
    <t>Línea 1x220 kV Parinacota - Willka</t>
  </si>
  <si>
    <t>Central Hidroeléctrica Frontera</t>
  </si>
  <si>
    <t>Inversiones La Frontera Sur SpA</t>
  </si>
  <si>
    <t>109</t>
  </si>
  <si>
    <t>San Ezequiel</t>
  </si>
  <si>
    <t>Diego de Almagro Solar 2 S.A.</t>
  </si>
  <si>
    <t>S/E Leyda 110 kV</t>
  </si>
  <si>
    <t>Ampliación Parque Eólico Entre Ríos</t>
  </si>
  <si>
    <t>90.5</t>
  </si>
  <si>
    <t>S/E Munilque 33/220 kV y S/E Rapelco 33/220kV</t>
  </si>
  <si>
    <t>Proyecto BESS Huatacondo</t>
  </si>
  <si>
    <t>S/E Santa Rita 220 kV</t>
  </si>
  <si>
    <t>Barra Principal, seccion1 23kv</t>
  </si>
  <si>
    <t>Parque Eólico Tierras Nobles</t>
  </si>
  <si>
    <t>1x220kV Charrua - Celulosa Pacífico</t>
  </si>
  <si>
    <t>Wampo</t>
  </si>
  <si>
    <t>Tikuna SpA</t>
  </si>
  <si>
    <t>S/E Los Ángeles 15 kV</t>
  </si>
  <si>
    <t>Barra 15 kV</t>
  </si>
  <si>
    <t>10/10/2025 16:52:26</t>
  </si>
  <si>
    <t>Solar Delva</t>
  </si>
  <si>
    <t>1500</t>
  </si>
  <si>
    <t>S/E Nueva Maitencillo 500kV</t>
  </si>
  <si>
    <t>K3</t>
  </si>
  <si>
    <t>06/05/2024 16:10:57</t>
  </si>
  <si>
    <t>PMG Origami</t>
  </si>
  <si>
    <t>CVE Proyecto Trece SpA</t>
  </si>
  <si>
    <t>S/E Procart 13,2 kV</t>
  </si>
  <si>
    <t>Línea 1x13,2 kV Origami - Procart</t>
  </si>
  <si>
    <t>Parque Eólico La Montaña</t>
  </si>
  <si>
    <t>165</t>
  </si>
  <si>
    <t xml:space="preserve">Linea 1x220 Charrua - Celulosa Pacífico			</t>
  </si>
  <si>
    <t>Sistema BESS Arenales</t>
  </si>
  <si>
    <t>Punta del Sol SpA</t>
  </si>
  <si>
    <t>S/E Cochrane 220 kV</t>
  </si>
  <si>
    <t>BESS Halcón 15</t>
  </si>
  <si>
    <t>Línea Los Molles - Monte Patria 2x66 kV</t>
  </si>
  <si>
    <t>Conexión En Derivación</t>
  </si>
  <si>
    <t>Tap Off al Circuito N°2</t>
  </si>
  <si>
    <t>Monte Patria</t>
  </si>
  <si>
    <t>07/01/2026 08:55:07</t>
  </si>
  <si>
    <t>BESS Metropolitana</t>
  </si>
  <si>
    <t>BESS Metropolitana SpA</t>
  </si>
  <si>
    <t>S/E Maipo 220 kV</t>
  </si>
  <si>
    <t>Bahía GIS N°13</t>
  </si>
  <si>
    <t>24/07/2024 17:22:44</t>
  </si>
  <si>
    <t>BESS Charruana</t>
  </si>
  <si>
    <t>BESS Charruana SpA</t>
  </si>
  <si>
    <t>S/E Charrúa 220 kV</t>
  </si>
  <si>
    <t>Barra Principal Seccion 3 220kV</t>
  </si>
  <si>
    <t>J32</t>
  </si>
  <si>
    <t>17/04/2024 17:24:58</t>
  </si>
  <si>
    <t>Barra Principal 220 kV</t>
  </si>
  <si>
    <t xml:space="preserve">Bahia GIS N°13 </t>
  </si>
  <si>
    <t xml:space="preserve">Nuevo Alimentador 12 kV Rio Douro en S/E Pudahuel   </t>
  </si>
  <si>
    <t>04/06/2024 12:23:47</t>
  </si>
  <si>
    <t>Romeralcillo</t>
  </si>
  <si>
    <t>S/E Seccionadora La Ruca 220 kV</t>
  </si>
  <si>
    <t>Barra 2, diagonal 3</t>
  </si>
  <si>
    <t xml:space="preserve">J9 </t>
  </si>
  <si>
    <t>22/12/2025 17:33:45</t>
  </si>
  <si>
    <t xml:space="preserve">Nuevo Alimentador 23 kV Infante en S/E Lo Boza    </t>
  </si>
  <si>
    <t>E42</t>
  </si>
  <si>
    <t>25/03/2024 11:28:22</t>
  </si>
  <si>
    <t>Línea Charrúa - Celulosa Pacífico 220 kV</t>
  </si>
  <si>
    <t>ENSICOM</t>
  </si>
  <si>
    <t>S/E San Lorenzo de Diego de Almagro 11,5kV</t>
  </si>
  <si>
    <t xml:space="preserve">Nuevo Alimentador 23 kV Posición Celda E25 en S/E Lampa </t>
  </si>
  <si>
    <t>27/02/2024 17:33:34</t>
  </si>
  <si>
    <t xml:space="preserve">Nuevo Alimentador 23 kV Posición Celda E26 en S/E Batuco   </t>
  </si>
  <si>
    <t>E26</t>
  </si>
  <si>
    <t>23/02/2024 12:48:15</t>
  </si>
  <si>
    <t>Parque Eólico Pataguas</t>
  </si>
  <si>
    <t>19/02/2024 18:52:35</t>
  </si>
  <si>
    <t xml:space="preserve">Nuevo Alimentador 12 kV Sotero en S/E Santa Raquel         </t>
  </si>
  <si>
    <t>Barra 12 kV N°4 (patio intemperie)</t>
  </si>
  <si>
    <t>03/04/2024 18:37:56</t>
  </si>
  <si>
    <t>Acuyo Solar</t>
  </si>
  <si>
    <t>Fontus SCL I SpA</t>
  </si>
  <si>
    <t>S/E Nueva Casablanca 66 kV</t>
  </si>
  <si>
    <t>PE Vendaval</t>
  </si>
  <si>
    <t>B5 y B7</t>
  </si>
  <si>
    <t>18/06/2024 13:58:34</t>
  </si>
  <si>
    <t>BESS Pueblo Hundido</t>
  </si>
  <si>
    <t>18/06/2025 14:44:47</t>
  </si>
  <si>
    <t xml:space="preserve">Nuevo Alimentador 23 kV Pataguas en S/E Chicureo      </t>
  </si>
  <si>
    <t>S/E Chicureo 23 kV</t>
  </si>
  <si>
    <t>Barra 23 kV Nº3 (celdas)</t>
  </si>
  <si>
    <t>E18</t>
  </si>
  <si>
    <t>11/11/2025 11:58:38</t>
  </si>
  <si>
    <t xml:space="preserve">Nuevo Alimentador 23 kV Correa en S/E Chicureo         </t>
  </si>
  <si>
    <t>E17</t>
  </si>
  <si>
    <t>11/11/2025 11:57:33</t>
  </si>
  <si>
    <t>Nuevo Alimentador 23 kV Posición Celda E26 en S/E Lampa</t>
  </si>
  <si>
    <t>Barra 23 kV Nº4 (celdas)</t>
  </si>
  <si>
    <t>16/02/2024 20:54:12</t>
  </si>
  <si>
    <t>Sistema Eléctrico Tente en el Aire (TEA) - Agua de Mar Nueva Victoria</t>
  </si>
  <si>
    <t>17</t>
  </si>
  <si>
    <t>S/E Tap Off Nueva Victoria 66 kV</t>
  </si>
  <si>
    <t>Lemur Solar</t>
  </si>
  <si>
    <t>Chaquihue SpA</t>
  </si>
  <si>
    <t>BESS Halcón 7</t>
  </si>
  <si>
    <t>Central Chapiquiña - Arica 66 kV</t>
  </si>
  <si>
    <t>BESS Halcón 9</t>
  </si>
  <si>
    <t>El Peñon - Minera Teck 110 kV</t>
  </si>
  <si>
    <t xml:space="preserve">Nuevo Alimentador 23 kV Posición Celda E25 en S/E Batuco       </t>
  </si>
  <si>
    <t>Barra Principal Nº4 (celda)</t>
  </si>
  <si>
    <t>15/02/2024 17:41:31</t>
  </si>
  <si>
    <t>BESS Halcón 5</t>
  </si>
  <si>
    <t>Diego de Almagro - Río Salado 110 kV</t>
  </si>
  <si>
    <t>oEnergy Generación Solar Distribuida SpA</t>
  </si>
  <si>
    <t xml:space="preserve">Diego de Almagro - Río Salado </t>
  </si>
  <si>
    <t>BESS Halcón 13</t>
  </si>
  <si>
    <t>Vicuña - Baños del Toro 110 kV</t>
  </si>
  <si>
    <t>BESS Halcon 10</t>
  </si>
  <si>
    <t>Línea Diego de almagro - tap off chañares en 110 kV</t>
  </si>
  <si>
    <t>05/10/2023 15:12:20</t>
  </si>
  <si>
    <t>FV Coihueco</t>
  </si>
  <si>
    <t>Ampliación barra 220 kV de S/E San Fabián para la conexión del nuevo paño</t>
  </si>
  <si>
    <t>06/10/2023 14:45:49</t>
  </si>
  <si>
    <t>FV Cartago</t>
  </si>
  <si>
    <t>11/09/2025 08:17:58</t>
  </si>
  <si>
    <t>Nuevo Alimentador Santa Ester 13,2kV SE Panimávida 66/13,2kV, 5,0 (MVA)</t>
  </si>
  <si>
    <t>S/E Panimavida 13.2 kV</t>
  </si>
  <si>
    <t>Barras Principales 1 y 2</t>
  </si>
  <si>
    <t>C1 y C2</t>
  </si>
  <si>
    <t>06/03/2024 18:13:43</t>
  </si>
  <si>
    <t>Porvenir Solar I</t>
  </si>
  <si>
    <t>Las Vegas - Cristalerías Chile 110 kV</t>
  </si>
  <si>
    <t>25/01/2024 10:59:34</t>
  </si>
  <si>
    <t>El Retiro</t>
  </si>
  <si>
    <t>115.2</t>
  </si>
  <si>
    <t>S/E Pozo Almonte 220 kV</t>
  </si>
  <si>
    <t>Extremo Este</t>
  </si>
  <si>
    <t>Milano</t>
  </si>
  <si>
    <t>S/E Nueva Cauquenes 66 kV</t>
  </si>
  <si>
    <t>Pichaman</t>
  </si>
  <si>
    <t>S/E Nueva Nirivilo 66 kV</t>
  </si>
  <si>
    <t>Barra tendida</t>
  </si>
  <si>
    <t>16/05/2024 12:13:21</t>
  </si>
  <si>
    <t>S/E Monterrico 13 kV</t>
  </si>
  <si>
    <t>Barra principal C4</t>
  </si>
  <si>
    <t>Proyecto Continuidad Operacional Mina La Farola</t>
  </si>
  <si>
    <t>Cardones - Valle Escondido 220 kV</t>
  </si>
  <si>
    <t>Linea Indicada (cerca Estructura 115 a 10 KM de S/E Cardones</t>
  </si>
  <si>
    <t>Linea 220 kV Cardones -Valle Escondido (Paño J16 S/E Cardones/Pano J1 S/E valle Escondido)</t>
  </si>
  <si>
    <t>14/11/2023 14:56:39</t>
  </si>
  <si>
    <t>11/2023</t>
  </si>
  <si>
    <t>Nuevo Alimentador Belén (N°3) 13,2kV San Gregorio 66/13,2kV, 10,0 (MVA)</t>
  </si>
  <si>
    <t>Luzparral Transmisión S.A.</t>
  </si>
  <si>
    <t>S/E San Gregorio 13,2 kV</t>
  </si>
  <si>
    <t>Ñiquén</t>
  </si>
  <si>
    <t>05/04/2024 20:59:57</t>
  </si>
  <si>
    <t>Antuterra Paya</t>
  </si>
  <si>
    <t>Antuterra II SpA.</t>
  </si>
  <si>
    <t>Maitencillo - Tap Punta Toro 110kV</t>
  </si>
  <si>
    <t>Paño Sur</t>
  </si>
  <si>
    <t>Vientos de Atacama Interior</t>
  </si>
  <si>
    <t>Agrícola Konavle Ltda.</t>
  </si>
  <si>
    <t>73</t>
  </si>
  <si>
    <t>Sarco - Maitencillo 220 kV</t>
  </si>
  <si>
    <t>S/E Vientos de Atacama Interior</t>
  </si>
  <si>
    <t>BESS Halcón 6</t>
  </si>
  <si>
    <t>26</t>
  </si>
  <si>
    <t>25/09/2023 17:14:48</t>
  </si>
  <si>
    <t>PMG QM Tres +BESS</t>
  </si>
  <si>
    <t>S/E Alto Norte 13 kV</t>
  </si>
  <si>
    <t>Barra 13,2 kV</t>
  </si>
  <si>
    <t>Celda 13, Sala Eléctrica 1A</t>
  </si>
  <si>
    <t>Parque Eólico Las Nieves</t>
  </si>
  <si>
    <t>324</t>
  </si>
  <si>
    <t>S/E Mulchén 220 kV</t>
  </si>
  <si>
    <t>02/01/2025 08:19:36</t>
  </si>
  <si>
    <t>Central Carica</t>
  </si>
  <si>
    <t>Parque Eólico Carica SpA</t>
  </si>
  <si>
    <t>Linea 1 x 220 kV El Arrayán - Don Goyo</t>
  </si>
  <si>
    <t>linea</t>
  </si>
  <si>
    <t>05/10/2023 15:05:31</t>
  </si>
  <si>
    <t>Parque Eólico La Paz</t>
  </si>
  <si>
    <t>28/02/2024 09:28:50</t>
  </si>
  <si>
    <t>Llanos del Sol</t>
  </si>
  <si>
    <t>S/E San Simón 220 kV</t>
  </si>
  <si>
    <t>20/02/2024 18:37:39</t>
  </si>
  <si>
    <t>BESS La Solana (Ex BESS Las Terrazas)</t>
  </si>
  <si>
    <t>S/E La Cebada 220 kV</t>
  </si>
  <si>
    <t>20/02/2024 18:12:18</t>
  </si>
  <si>
    <t>Sendero Solar</t>
  </si>
  <si>
    <t>S/E Montenegro 66 kV</t>
  </si>
  <si>
    <t>24/07/2025 12:50:52</t>
  </si>
  <si>
    <t>Parque Eólico La Promesa</t>
  </si>
  <si>
    <t>19/02/2024 18:38:38</t>
  </si>
  <si>
    <t>Vientos de Aura</t>
  </si>
  <si>
    <t>Chagual Energía SpA</t>
  </si>
  <si>
    <t>S/E Nueva Cauquenes 220 kV</t>
  </si>
  <si>
    <t>Media diagonal 220 kV</t>
  </si>
  <si>
    <t>Ñiquen</t>
  </si>
  <si>
    <t>PSF BESS Cullipeumo</t>
  </si>
  <si>
    <t>S/E Fátima 154 kV</t>
  </si>
  <si>
    <t>Doble barra, barra de transferencia</t>
  </si>
  <si>
    <t>Barra N°2, AT5, barra de transferencia</t>
  </si>
  <si>
    <t>PF Pillancó</t>
  </si>
  <si>
    <t>S/E El Rosal 220kV</t>
  </si>
  <si>
    <t>El Trébol</t>
  </si>
  <si>
    <t>S/E Loica 220 kV</t>
  </si>
  <si>
    <t>Nuevo Alimentador Antonia Lopez 12 kV en S/E San Cristóbal</t>
  </si>
  <si>
    <t>13/12/2023 14:29:10</t>
  </si>
  <si>
    <t>BESS Stand Alone Muelle</t>
  </si>
  <si>
    <t>S/E Muelle 23 kV</t>
  </si>
  <si>
    <t>Celda CB06</t>
  </si>
  <si>
    <t>BESS Halcón 17</t>
  </si>
  <si>
    <t>28</t>
  </si>
  <si>
    <t>S/E Chacahuín 15 kV</t>
  </si>
  <si>
    <t>26/11/2024 00:00:00</t>
  </si>
  <si>
    <t>Conexión Alimentador N°5 a Paño E7 SE El Laurel</t>
  </si>
  <si>
    <t>S/E El Laurel 23 kV</t>
  </si>
  <si>
    <t>26/10/2023 14:27:58</t>
  </si>
  <si>
    <t>Conexión Alimentador N°4 a Paño E6 SE El Laurel</t>
  </si>
  <si>
    <t>26/10/2023 13:01:14</t>
  </si>
  <si>
    <t>Conexión Alimentador N°3 a Paño E5 SE El Laurel</t>
  </si>
  <si>
    <t>26/10/2023 13:00:54</t>
  </si>
  <si>
    <t>Conexión Alimentador N°2 a Paño E4 SE El Laurel</t>
  </si>
  <si>
    <t>26/10/2023 12:59:21</t>
  </si>
  <si>
    <t>Conexión Alimentador N°1 a Paño E3 SE El Laurel</t>
  </si>
  <si>
    <t>Barra principal, Sección 1</t>
  </si>
  <si>
    <t>26/10/2023 12:57:55</t>
  </si>
  <si>
    <t>Conexión Alimentador N°2 a Paño C2 - SE Laja</t>
  </si>
  <si>
    <t>S/E Laja 13,2 kV</t>
  </si>
  <si>
    <t>Laja</t>
  </si>
  <si>
    <t>24/05/2024 12:47:40</t>
  </si>
  <si>
    <t>S/E Don Humberto 33 kV</t>
  </si>
  <si>
    <t>Celdas 33 KV</t>
  </si>
  <si>
    <t>Celda 33 kV</t>
  </si>
  <si>
    <t>Línea El Peñon - Minera Teck 110 kV</t>
  </si>
  <si>
    <t>BESS Halcón 3</t>
  </si>
  <si>
    <t>Línea Cardones - Refugio 110 kV</t>
  </si>
  <si>
    <t>BESS Halcón 4</t>
  </si>
  <si>
    <t>S/E Galleguillos 110 kV</t>
  </si>
  <si>
    <t>14/11/2024 17:52:53</t>
  </si>
  <si>
    <t>Línea Ovalle - Tap Off Punitaqui 110 kV</t>
  </si>
  <si>
    <t>09/11/2023 21:43:11</t>
  </si>
  <si>
    <t>Quizapú Solar</t>
  </si>
  <si>
    <t>45</t>
  </si>
  <si>
    <t>Nuevo Alimentador 12 kV Dardignac en S/E San Cristóbal</t>
  </si>
  <si>
    <t>ENEL DISTRIBUCIÓN</t>
  </si>
  <si>
    <t>01/03/2024 09:04:30</t>
  </si>
  <si>
    <t>PE WAIWEN</t>
  </si>
  <si>
    <t>Asesorias del Maule SpA.</t>
  </si>
  <si>
    <t>S/E El Empalme 110 kV</t>
  </si>
  <si>
    <t>28/03/2025 17:17:28</t>
  </si>
  <si>
    <t>PE Baldur</t>
  </si>
  <si>
    <t>Energía Apoquindo SpA</t>
  </si>
  <si>
    <t>Línea Santa Maria - Charrua en 220 kV</t>
  </si>
  <si>
    <t>Línea Cardones - Planta Matta 110 kV</t>
  </si>
  <si>
    <t>01/12/2023 14:23:49</t>
  </si>
  <si>
    <t>12/2023</t>
  </si>
  <si>
    <t>BESS Halcon 2</t>
  </si>
  <si>
    <t>Línea Pozo Almonte - Cerro Colorado 1x110 kV</t>
  </si>
  <si>
    <t>04/08/2023 17:32:06</t>
  </si>
  <si>
    <t>BESS Alicanto</t>
  </si>
  <si>
    <t>1.2</t>
  </si>
  <si>
    <t>S/E San Lorenzo 11 kV</t>
  </si>
  <si>
    <t>Proyecto Eolico Lomas de Taltal - Fase 2 - BESS</t>
  </si>
  <si>
    <t>S/E Lomas de Taltal 33 kV</t>
  </si>
  <si>
    <t>Barras de 33 kV</t>
  </si>
  <si>
    <t>Proyecto Hibrido Pampa Fidelia</t>
  </si>
  <si>
    <t xml:space="preserve">Línea Lomas de Taltal - Parinas 1x220 kV </t>
  </si>
  <si>
    <t>Tapoff Estructuras 43-44</t>
  </si>
  <si>
    <t>Parque Fotovoltaico Maitén</t>
  </si>
  <si>
    <t>Maiten Solar SpA</t>
  </si>
  <si>
    <t>S/E Portezuelo 220 kV</t>
  </si>
  <si>
    <t>Estación de Bombeo San Isidro</t>
  </si>
  <si>
    <t>Línea San Luis - Central Quintero 220 kV</t>
  </si>
  <si>
    <t xml:space="preserve">Conexión en derivación </t>
  </si>
  <si>
    <t>28/09/2023 09:57:23</t>
  </si>
  <si>
    <t>Tulipanes</t>
  </si>
  <si>
    <t>214.5</t>
  </si>
  <si>
    <t>Barra 1, Barra 2</t>
  </si>
  <si>
    <t>J1, J2</t>
  </si>
  <si>
    <t>Alto Biobío</t>
  </si>
  <si>
    <t>Gardenia</t>
  </si>
  <si>
    <t>78</t>
  </si>
  <si>
    <t>J3, J2</t>
  </si>
  <si>
    <t>Petronila Solar</t>
  </si>
  <si>
    <t>Atacama Minerals Chile S.C.M.</t>
  </si>
  <si>
    <t>2.9</t>
  </si>
  <si>
    <t>29/08/2023 19:53:47</t>
  </si>
  <si>
    <t>BESS Halcón 14</t>
  </si>
  <si>
    <t>Línea Central Diesel Arica - Arica 66 kV</t>
  </si>
  <si>
    <t>27/07/2023 16:37:07</t>
  </si>
  <si>
    <t>BESS Halcon 7</t>
  </si>
  <si>
    <t>Línea Central Chapiquiña - Arica 66 kV</t>
  </si>
  <si>
    <t>07/09/2023 12:19:46</t>
  </si>
  <si>
    <t>BESS Halcón 8</t>
  </si>
  <si>
    <t>Línea Tap Punta Toro - Los Colorados 110 kV</t>
  </si>
  <si>
    <t>Estructura Sin Identificar</t>
  </si>
  <si>
    <t>Parque Solar Michigan</t>
  </si>
  <si>
    <t>Eléctrica Michigan SpA</t>
  </si>
  <si>
    <t>S/E Nueva Casablanca 220 kV</t>
  </si>
  <si>
    <t>Parque Fotovoltaico El Sobrante</t>
  </si>
  <si>
    <t>Circuito de la Línea 2x220 kV Los Piuquenes - Quillota</t>
  </si>
  <si>
    <t>S/E Seccionadora</t>
  </si>
  <si>
    <t>Seccionamiento de Circuito de la Línea 2x220 kV Los Piquenes - Quillota</t>
  </si>
  <si>
    <t>PARQUE EÓLICO VIENTO PACÍFICO VERDE</t>
  </si>
  <si>
    <t>Vientos Pacíficio Verde SpA.</t>
  </si>
  <si>
    <t>Barra principal / Sección 1</t>
  </si>
  <si>
    <t>Chanco</t>
  </si>
  <si>
    <t>Ampliación Central Gas Teno</t>
  </si>
  <si>
    <t>Innovación Energía S.A.</t>
  </si>
  <si>
    <t>S/E Aguas Claras 14 kV</t>
  </si>
  <si>
    <t>21/07/2023 12:57:50</t>
  </si>
  <si>
    <t>CONEXIÓN DE NUEVO ALIMENTADOR LONGAVI SUR EN SE LONGAVI 13,2KV</t>
  </si>
  <si>
    <t>S/E Longaví 13,2 kV</t>
  </si>
  <si>
    <t>BARRA SIMPLE</t>
  </si>
  <si>
    <t>27/12/2023 18:04:20</t>
  </si>
  <si>
    <t>Barra Principa, sección 1</t>
  </si>
  <si>
    <t>Transformador 80/100 MVA Respaldo Sistema Eléctrico AZA</t>
  </si>
  <si>
    <t>Aceros AZA S.A.</t>
  </si>
  <si>
    <t>S/E Lampa 220 kV</t>
  </si>
  <si>
    <t>Barra N°1 - 220kV</t>
  </si>
  <si>
    <t>Paño que se ubicará en el lado sur de la S/E Lampa</t>
  </si>
  <si>
    <t>Relaves Filtrados Planta Pellets</t>
  </si>
  <si>
    <t>Compañía Minera del Pacífico S.A.</t>
  </si>
  <si>
    <t>S/E Pellets 110 kV</t>
  </si>
  <si>
    <t>04/09/2023 12:23:51</t>
  </si>
  <si>
    <t>Nuevo Alimentador Indios 15kV SE La Fuentecilla</t>
  </si>
  <si>
    <t>S/E Fuentecilla 15 kV</t>
  </si>
  <si>
    <t>13/12/2023 14:50:05</t>
  </si>
  <si>
    <t>Nuevo Alimentador Tunca 15kV SE La Fuentecilla</t>
  </si>
  <si>
    <t>13/12/2023 14:42:24</t>
  </si>
  <si>
    <t>Actualización Software de Control Aerogeneradores e Incremento de Potencia Instalada de PE Canela II</t>
  </si>
  <si>
    <t>64</t>
  </si>
  <si>
    <t>S/E Central Elevadora Canela II 12 kV</t>
  </si>
  <si>
    <t>ET</t>
  </si>
  <si>
    <t>Ampliación Parque Eólico San Pedro</t>
  </si>
  <si>
    <t>252</t>
  </si>
  <si>
    <t>S/E Chiloé 220 kV</t>
  </si>
  <si>
    <t>PE Rupanco</t>
  </si>
  <si>
    <t>S/E Aihuapi 66 kV</t>
  </si>
  <si>
    <t>Barra SImple</t>
  </si>
  <si>
    <t>BT1</t>
  </si>
  <si>
    <t>11/02/2026 18:57:15</t>
  </si>
  <si>
    <t>PV Barros de Leyda</t>
  </si>
  <si>
    <t>103</t>
  </si>
  <si>
    <t>S/E San Antonio 110 kV</t>
  </si>
  <si>
    <t>Muelle Solar</t>
  </si>
  <si>
    <t>S/E El Lince 23 kV</t>
  </si>
  <si>
    <t>Reserva</t>
  </si>
  <si>
    <t>PMG Los Valientes</t>
  </si>
  <si>
    <t>S/E Punta de Cortes 15 kV</t>
  </si>
  <si>
    <t>PMG Punta de Rieles +BESS</t>
  </si>
  <si>
    <t>LA PIEDRA SOLAR</t>
  </si>
  <si>
    <t>S/E Curacaví 12 kV</t>
  </si>
  <si>
    <t>BARRA 4</t>
  </si>
  <si>
    <t>Acogida Solar</t>
  </si>
  <si>
    <t>Línea Charrúa - Tap María Dolores 220 kV</t>
  </si>
  <si>
    <t xml:space="preserve">Seccionamiento </t>
  </si>
  <si>
    <t>Ampliación PFV Domeyko</t>
  </si>
  <si>
    <t>Soventix Chile SpA</t>
  </si>
  <si>
    <t>S/E Elevadora PFV Domeyko 33 kV</t>
  </si>
  <si>
    <t>Celda 33kV</t>
  </si>
  <si>
    <t>Pucalan</t>
  </si>
  <si>
    <t>Parque Eólico Litueche SpA</t>
  </si>
  <si>
    <t>SE Cardonal 110 kV</t>
  </si>
  <si>
    <t xml:space="preserve">Barra Simple </t>
  </si>
  <si>
    <t>Paño HT1</t>
  </si>
  <si>
    <t>12/09/2023 21:08:27</t>
  </si>
  <si>
    <t xml:space="preserve">Villa Alegre Solar </t>
  </si>
  <si>
    <t>Línea Esperanza - Calera Centro 66 kV</t>
  </si>
  <si>
    <t>Circuito Simple</t>
  </si>
  <si>
    <t>na</t>
  </si>
  <si>
    <t>23/06/2023 13:24:24</t>
  </si>
  <si>
    <t>Llama</t>
  </si>
  <si>
    <t>S/E Río Aconcagua 220 kV</t>
  </si>
  <si>
    <t>Nuevo paño semi diagonal del interruptor J3</t>
  </si>
  <si>
    <t>24/07/2025 15:09:03</t>
  </si>
  <si>
    <t>Pingüino Solar</t>
  </si>
  <si>
    <t>1x110 kV La Calera - El Cobre</t>
  </si>
  <si>
    <t>sección 1</t>
  </si>
  <si>
    <t>13,9 km de S/E La Calera</t>
  </si>
  <si>
    <t>Nogales</t>
  </si>
  <si>
    <t>05/07/2023 15:50:11</t>
  </si>
  <si>
    <t>El Arroyo</t>
  </si>
  <si>
    <t>S/E Alto Melipilla 220 kV</t>
  </si>
  <si>
    <t>16/05/2025 17:05:58</t>
  </si>
  <si>
    <t>PMG Sol de Santa Bárbara</t>
  </si>
  <si>
    <t>S/E Santa Bárbara 13,8 kV</t>
  </si>
  <si>
    <t>Futuro Punto de Conexión MCH La Confianza</t>
  </si>
  <si>
    <t>Hidroconfianza SpA</t>
  </si>
  <si>
    <t>2.6</t>
  </si>
  <si>
    <t>S/E Las Juntas 23 kV</t>
  </si>
  <si>
    <t>09/02/2024 00:00:00</t>
  </si>
  <si>
    <t>Estación Pan de Azúcar</t>
  </si>
  <si>
    <t>Sonic BESS</t>
  </si>
  <si>
    <t>SONIC BESS SpA</t>
  </si>
  <si>
    <t>S/E Parinacota 13 kV</t>
  </si>
  <si>
    <t>Ampliación de barra al sur del patio de 13,8 kV</t>
  </si>
  <si>
    <t>Nueva Carbonato 220/110kV</t>
  </si>
  <si>
    <t>Barra 1 o 2</t>
  </si>
  <si>
    <t>06/08/2024 15:48:18</t>
  </si>
  <si>
    <t>Nuevo Alimentador Santa Rosa Sur 2</t>
  </si>
  <si>
    <t>STM II</t>
  </si>
  <si>
    <t>S/E Santa Rosa Sur 12 kV</t>
  </si>
  <si>
    <t>Barra principal N6</t>
  </si>
  <si>
    <t>C48</t>
  </si>
  <si>
    <t>Nuevo Alimentador Santa Rosa Sur 1</t>
  </si>
  <si>
    <t>Barra Principal n6</t>
  </si>
  <si>
    <t>C47</t>
  </si>
  <si>
    <t>PMG EMÚ</t>
  </si>
  <si>
    <t>S/E Trinidad 13 kV</t>
  </si>
  <si>
    <t>16/05/2025 17:11:32</t>
  </si>
  <si>
    <t>PF Andino Los Maitenes</t>
  </si>
  <si>
    <t>Andino Los Maitenes SpA</t>
  </si>
  <si>
    <t>S/E Trinidad 66 kV</t>
  </si>
  <si>
    <t>29/05/2025 18:18:59</t>
  </si>
  <si>
    <t>FRITTS SOLAR</t>
  </si>
  <si>
    <t>Aimara Fotovoltaica Spa</t>
  </si>
  <si>
    <t>J19/J20</t>
  </si>
  <si>
    <t>06/12/2023 16:55:16</t>
  </si>
  <si>
    <t>Minicentral Hidroeléctrica Las Nieves</t>
  </si>
  <si>
    <t>Hidroeléctrica Las Nieves SpA Hidroeléctrica Las Nieves SpA</t>
  </si>
  <si>
    <t>Línea Melipeuco - Carén Bajo 23 kV</t>
  </si>
  <si>
    <t>Tap off Linea Melipeuco - Carén Bajo</t>
  </si>
  <si>
    <t>Conexión Tap Off</t>
  </si>
  <si>
    <t>Melipeuco</t>
  </si>
  <si>
    <t>13/02/2024 17:07:39</t>
  </si>
  <si>
    <t>PE Quebrada Locayo</t>
  </si>
  <si>
    <t>S/E Central la cebada 220 kV</t>
  </si>
  <si>
    <t>barra principal, sección 2</t>
  </si>
  <si>
    <t>27/09/2023 15:20:52</t>
  </si>
  <si>
    <t>SE Movil 69/13.8 kV y Ampliación SE Hamburgo</t>
  </si>
  <si>
    <t>S/E Hamburgo 69 kV</t>
  </si>
  <si>
    <t>08/2023</t>
  </si>
  <si>
    <t>Planta Fotovoltaica Tórtolas 2</t>
  </si>
  <si>
    <t>39.8</t>
  </si>
  <si>
    <t>S/E Las Tórtolas 23 kV</t>
  </si>
  <si>
    <t>Nueva Barra 23 kV</t>
  </si>
  <si>
    <t>D11</t>
  </si>
  <si>
    <t>13/08/2024 16:54:47</t>
  </si>
  <si>
    <t>Planta Fotovoltaica Tórtolas 1</t>
  </si>
  <si>
    <t>47.3</t>
  </si>
  <si>
    <t>D6</t>
  </si>
  <si>
    <t xml:space="preserve">Proyecto Arqueros </t>
  </si>
  <si>
    <t>Compañía Minera Arqueros S.A.</t>
  </si>
  <si>
    <t>27.9</t>
  </si>
  <si>
    <t>S/E Seccionadora Damascal 110 kV</t>
  </si>
  <si>
    <t xml:space="preserve">Entre Barra principal N°2 y Barra de Transferencia </t>
  </si>
  <si>
    <t>01/03/2024 09:08:30</t>
  </si>
  <si>
    <t>AGROINDUSTRIAL VALLE DEL HUASCO</t>
  </si>
  <si>
    <t>S/E Agrosuper 220 kV</t>
  </si>
  <si>
    <t>H1 Y H2</t>
  </si>
  <si>
    <t>PV Damascal</t>
  </si>
  <si>
    <t>Deva, desarrollo, viabilidad, y activación de proyectos SpA.</t>
  </si>
  <si>
    <t>22/12/2025 00:00:00</t>
  </si>
  <si>
    <t>Parque Eólico Taiquemó</t>
  </si>
  <si>
    <t>AtlasRen</t>
  </si>
  <si>
    <t>GENERADORA ATACAMA</t>
  </si>
  <si>
    <t>Generadora Atacama SpA</t>
  </si>
  <si>
    <t>498</t>
  </si>
  <si>
    <t>Media Diagonal (J7 y J8)</t>
  </si>
  <si>
    <t>PFV SANTA EMILIA</t>
  </si>
  <si>
    <t>Santa Emilia SpA</t>
  </si>
  <si>
    <t>381</t>
  </si>
  <si>
    <t>Barra extendida, Paños J11/J12</t>
  </si>
  <si>
    <t>13/05/2025 18:04:23</t>
  </si>
  <si>
    <t>Prat Solar</t>
  </si>
  <si>
    <t>S/E Hualte 33 kV</t>
  </si>
  <si>
    <t>PV Los Castaños (Ex-PV Duqueco)</t>
  </si>
  <si>
    <t>30/01/2026 00:00:00</t>
  </si>
  <si>
    <t xml:space="preserve">Entre Barra Principal N°2 y Barra de transferencia </t>
  </si>
  <si>
    <t>PF Manantiales</t>
  </si>
  <si>
    <t>Wind 6 SpA</t>
  </si>
  <si>
    <t>340</t>
  </si>
  <si>
    <t xml:space="preserve">J7 por definir </t>
  </si>
  <si>
    <t>PV El Radal</t>
  </si>
  <si>
    <t>Eurus Energy Chile SpA</t>
  </si>
  <si>
    <t>Media Diagonal N°3</t>
  </si>
  <si>
    <t>J7 Y J8</t>
  </si>
  <si>
    <t>Cartagena</t>
  </si>
  <si>
    <t>21/03/2024 08:40:16</t>
  </si>
  <si>
    <t>59</t>
  </si>
  <si>
    <t>Parque Agrovoltaico Loncoche</t>
  </si>
  <si>
    <t>AUSTRAL POWER SERVICES SPA</t>
  </si>
  <si>
    <t>S/E Lastarria 220 kV</t>
  </si>
  <si>
    <t>Loncoche</t>
  </si>
  <si>
    <t>02/05/2025 00:00:00</t>
  </si>
  <si>
    <t>Parque Eólico Menque</t>
  </si>
  <si>
    <t>154</t>
  </si>
  <si>
    <t>08/08/2023 16:42:19</t>
  </si>
  <si>
    <t>Limari Solar</t>
  </si>
  <si>
    <t>Barra 1, diagonal 3</t>
  </si>
  <si>
    <t>03/10/2025 21:36:13</t>
  </si>
  <si>
    <t>Santa Elisa Solar</t>
  </si>
  <si>
    <t>Línea Santa Elvira - Nueva Aldea 66 kV</t>
  </si>
  <si>
    <t>Estructura 117</t>
  </si>
  <si>
    <t>PFV Limari Solar</t>
  </si>
  <si>
    <t>SE Seccionadora La Ruca</t>
  </si>
  <si>
    <t>Barra 1, Diagonal 3</t>
  </si>
  <si>
    <t>Villa Alegre Solar</t>
  </si>
  <si>
    <t>Estructura 303</t>
  </si>
  <si>
    <t>Parque Solar Las Frutillas</t>
  </si>
  <si>
    <t>Eléctrica Las Frutillas SpA.</t>
  </si>
  <si>
    <t>S/E Las Arañas 66 kV</t>
  </si>
  <si>
    <t>B6 y B7</t>
  </si>
  <si>
    <t>30/06/2025 00:00:00</t>
  </si>
  <si>
    <t>Conexión Alimentador N°3 a Paño E3 SE Aihuapi</t>
  </si>
  <si>
    <t>S/E Aihuapi 23 kV</t>
  </si>
  <si>
    <t>PV Purpurea</t>
  </si>
  <si>
    <t>Energias Renovables DSL SpA</t>
  </si>
  <si>
    <t>Línea Ancoa - San Fabian 220 kV</t>
  </si>
  <si>
    <t>Violeta Parra</t>
  </si>
  <si>
    <t>3 MW SpA</t>
  </si>
  <si>
    <t>S/E San Carlos 13,2 kV</t>
  </si>
  <si>
    <t>Barra Simple, Celda C7</t>
  </si>
  <si>
    <t>Paño N°2</t>
  </si>
  <si>
    <t>Punilla</t>
  </si>
  <si>
    <t>Barra Simple, Celda C8</t>
  </si>
  <si>
    <t>PE Rucaco</t>
  </si>
  <si>
    <t>310</t>
  </si>
  <si>
    <t>Doble barra más transferencia</t>
  </si>
  <si>
    <t>12/09/2025 00:00:00</t>
  </si>
  <si>
    <t>El Torreón</t>
  </si>
  <si>
    <t>29/10/2025 07:17:51</t>
  </si>
  <si>
    <t>PE El Sembrador</t>
  </si>
  <si>
    <t>03/08/2023 17:33:02</t>
  </si>
  <si>
    <t>PV+BESS Cenit (ex PFV Alwa II)</t>
  </si>
  <si>
    <t>PV Cenit SpA</t>
  </si>
  <si>
    <t>185</t>
  </si>
  <si>
    <t>Media diagonal 220 kV, configuración interruptor y medio</t>
  </si>
  <si>
    <t>18/06/2024 13:46:35</t>
  </si>
  <si>
    <t>Cochrane</t>
  </si>
  <si>
    <t>S/E Centinela 220 kV</t>
  </si>
  <si>
    <t>BESS Corcovado (Ex Corcovado Solar)</t>
  </si>
  <si>
    <t>S/E Santa Bárbara 66 kV</t>
  </si>
  <si>
    <t>26/05/2025 20:44:55</t>
  </si>
  <si>
    <t>San Ramón Solar</t>
  </si>
  <si>
    <t>J22</t>
  </si>
  <si>
    <t>03/08/2023 17:19:06</t>
  </si>
  <si>
    <t>Celdas de 23 kV</t>
  </si>
  <si>
    <t>Sala de celdas de media tensión</t>
  </si>
  <si>
    <t>Quebrada La Plata Solar</t>
  </si>
  <si>
    <t>Los Carpinteros Solar SpA</t>
  </si>
  <si>
    <t>01/02/2024 09:39:03</t>
  </si>
  <si>
    <t>Conexión Alimentador N°4 a Paño E7 SE Negrete</t>
  </si>
  <si>
    <t>STS</t>
  </si>
  <si>
    <t>1.6</t>
  </si>
  <si>
    <t>S/E Negrete 23 kV</t>
  </si>
  <si>
    <t>Relaves Filtrados Planta de Pellets</t>
  </si>
  <si>
    <t>S/E Nueva Pellets 110 kV</t>
  </si>
  <si>
    <t>Parque Fotovoltaico Corinto Solar</t>
  </si>
  <si>
    <t>Corinto Solar SpA.</t>
  </si>
  <si>
    <t>Barras A y B</t>
  </si>
  <si>
    <t>Diagonal 5</t>
  </si>
  <si>
    <t>Genesis</t>
  </si>
  <si>
    <t>Genesis SpA.</t>
  </si>
  <si>
    <t>134</t>
  </si>
  <si>
    <t>04/09/2024 00:00:00</t>
  </si>
  <si>
    <t>AR Ñiquen Solar</t>
  </si>
  <si>
    <t>CVE Proyecto Sesenta y Nueve SpA</t>
  </si>
  <si>
    <t>S/E Seccionadora Buli 66kV</t>
  </si>
  <si>
    <t>Posición MT para Nuevo Alimentador Peumo en S/E Lo Valledor</t>
  </si>
  <si>
    <t>Enel Transmisión Chile S.A.</t>
  </si>
  <si>
    <t>S/E Lo Valledor 12kV</t>
  </si>
  <si>
    <t>Barra Principal N°4 y Barra Auxiliar N°4</t>
  </si>
  <si>
    <t>C27 (52E27 en DUF)</t>
  </si>
  <si>
    <t>Pedro Aguirre Cerda</t>
  </si>
  <si>
    <t>Aumento de potencia consumo TEA SE Lagunas</t>
  </si>
  <si>
    <t>09/05/2023 17:08:45</t>
  </si>
  <si>
    <t>Aconcagua Solar</t>
  </si>
  <si>
    <t>CVE Proyecto Cincuenta y Dos SpA</t>
  </si>
  <si>
    <t>S/E Nueva Panquehue 12 kV</t>
  </si>
  <si>
    <t>26/05/2025 00:00:00</t>
  </si>
  <si>
    <t>Distribución Electrica Patio de Contratistas</t>
  </si>
  <si>
    <t>Arauco Bioenergía S.A.</t>
  </si>
  <si>
    <t>0.5</t>
  </si>
  <si>
    <t>S/E Planta MDP Teno 154 kV</t>
  </si>
  <si>
    <t>Planta MDP Teno 13.2 kV</t>
  </si>
  <si>
    <t>CB14</t>
  </si>
  <si>
    <t>Uso Maderas Recicladas para Tableros</t>
  </si>
  <si>
    <t>S/E Planta MDP Teno 13,2 kV</t>
  </si>
  <si>
    <t>CB13</t>
  </si>
  <si>
    <t>PSF La Aguada</t>
  </si>
  <si>
    <t>Orion Power S.A.</t>
  </si>
  <si>
    <t>S/E La Palma 15 kV</t>
  </si>
  <si>
    <t>Barra MT 15 kV</t>
  </si>
  <si>
    <t>T2, Celda 6. Interruptor 52C7</t>
  </si>
  <si>
    <t>PFV Los LLanos</t>
  </si>
  <si>
    <t>D4/5</t>
  </si>
  <si>
    <t>12/10/2023 00:00:00</t>
  </si>
  <si>
    <t>10/2023</t>
  </si>
  <si>
    <t>Alimentador N1 en 13,2 kV SE Puquillay</t>
  </si>
  <si>
    <t>S/E Puquillay 13,2 KV</t>
  </si>
  <si>
    <t>Barra N1</t>
  </si>
  <si>
    <t>29/06/2023 18:42:47</t>
  </si>
  <si>
    <t>PE Belen</t>
  </si>
  <si>
    <t>S/E Seccionadora Buli 154 kV</t>
  </si>
  <si>
    <t>Paño A3</t>
  </si>
  <si>
    <t>Alimentador N2 en 13,2 kV SE Santa Cruz</t>
  </si>
  <si>
    <t>S/E Santa Cruz 13,2 kV</t>
  </si>
  <si>
    <t>29/06/2023 18:49:39</t>
  </si>
  <si>
    <t>Alimentador N1 en 13,2 kV SE Santa Cruz</t>
  </si>
  <si>
    <t>29/06/2023 18:48:08</t>
  </si>
  <si>
    <t>PARQUE SOLAR QANQIÑA</t>
  </si>
  <si>
    <t>Línea Pozo Almonte - Cerro Colorado 110 kV</t>
  </si>
  <si>
    <t>EN DERIVACION</t>
  </si>
  <si>
    <t>SUBESTACION TAP OFF QANQIÑA</t>
  </si>
  <si>
    <t>30/03/2023 18:03:25</t>
  </si>
  <si>
    <t>Bocanueva</t>
  </si>
  <si>
    <t>S/E Central Bocamina 18 kV</t>
  </si>
  <si>
    <t>52ET1</t>
  </si>
  <si>
    <t>Agustina Solar 2</t>
  </si>
  <si>
    <t>CVE Proyecto Cuarenta y Uno SpA</t>
  </si>
  <si>
    <t>E10</t>
  </si>
  <si>
    <t>29/05/2025 18:29:13</t>
  </si>
  <si>
    <t>Agustina Solar 1</t>
  </si>
  <si>
    <t>29/05/2025 18:27:44</t>
  </si>
  <si>
    <t>Pradera Larga</t>
  </si>
  <si>
    <t>S/E San Jerónimo 66 kV</t>
  </si>
  <si>
    <t>33.6</t>
  </si>
  <si>
    <t>S/E Seccionadora Cancura 66 kV</t>
  </si>
  <si>
    <t>19/05/2023 09:58:59</t>
  </si>
  <si>
    <t>08/09/2023 00:00:00</t>
  </si>
  <si>
    <t>Parque Eolico El Almendro Etapa 3</t>
  </si>
  <si>
    <t>S/E PAPELES RIO VERGARA (PRV - EX Inforsa)</t>
  </si>
  <si>
    <t>Parque Eólico El Almendro Etapa 2</t>
  </si>
  <si>
    <t>PE El Almendro Etapa 1</t>
  </si>
  <si>
    <t>79</t>
  </si>
  <si>
    <t>S/E PLANTA RIO VERGARA (PRV)</t>
  </si>
  <si>
    <t>Parque Eólico San Carlos</t>
  </si>
  <si>
    <t>Wind 5 SpA</t>
  </si>
  <si>
    <t>Barra para proyecto</t>
  </si>
  <si>
    <t>PV Tipaume</t>
  </si>
  <si>
    <t>Vientos de Ovalle</t>
  </si>
  <si>
    <t>Totihue Solar</t>
  </si>
  <si>
    <t>S/E Totihue 220 kV</t>
  </si>
  <si>
    <t>PFV Buenavista</t>
  </si>
  <si>
    <t>GR Araucaria SpA</t>
  </si>
  <si>
    <t>S/E Seccionadora Buenavista 154 kV</t>
  </si>
  <si>
    <t>K9</t>
  </si>
  <si>
    <t>PV Rancho (ex Buenavista Solar)</t>
  </si>
  <si>
    <t>Sol de Ovalle</t>
  </si>
  <si>
    <t>Eloise Solar</t>
  </si>
  <si>
    <t>CVE PROYECTO CINCUENTA Y SEIS SPA</t>
  </si>
  <si>
    <t>S/E Seccionadora Buli 66 kV</t>
  </si>
  <si>
    <t>Barra principal más transferencia</t>
  </si>
  <si>
    <t>Bastian Solar</t>
  </si>
  <si>
    <t>Media diagonal adyacente a transformador</t>
  </si>
  <si>
    <t>Sofía Solar</t>
  </si>
  <si>
    <t>Doble barra principal más transferencia</t>
  </si>
  <si>
    <t>A5, por definir</t>
  </si>
  <si>
    <t>Parque Eólico San Nicolás</t>
  </si>
  <si>
    <t>214.2</t>
  </si>
  <si>
    <t>Barra principal N°1</t>
  </si>
  <si>
    <t>A3 (por definir)</t>
  </si>
  <si>
    <t>Parque Eólico Hornitos</t>
  </si>
  <si>
    <t>88.5</t>
  </si>
  <si>
    <t>Parque Solar Don Goyo</t>
  </si>
  <si>
    <t>Soles del Norte SpA</t>
  </si>
  <si>
    <t>103.5</t>
  </si>
  <si>
    <t>Barra Principal Seccion N°1</t>
  </si>
  <si>
    <t>PE La Unión</t>
  </si>
  <si>
    <t>Eólica La Unión SpA</t>
  </si>
  <si>
    <t>Parque Solar Soles del Norte (ex Parque Solar Don Goyo)</t>
  </si>
  <si>
    <t>Barra principal n°1</t>
  </si>
  <si>
    <t>PE ANDINO SUIZA</t>
  </si>
  <si>
    <t>SE Seccionadora Buli</t>
  </si>
  <si>
    <t>PE Andino Suiza</t>
  </si>
  <si>
    <t>15/01/2026 11:48:42</t>
  </si>
  <si>
    <t>Híbrido La Manda</t>
  </si>
  <si>
    <t>410</t>
  </si>
  <si>
    <t>Los Olmos (Capacidad Adicional)</t>
  </si>
  <si>
    <t>Energía Eólica Los Olmos SpA</t>
  </si>
  <si>
    <t>S/E Los Olmos 220 kV</t>
  </si>
  <si>
    <t>07/09/2023 17:25:35</t>
  </si>
  <si>
    <t>PE Andino Huichahue</t>
  </si>
  <si>
    <t>224</t>
  </si>
  <si>
    <t>05/04/2024 21:02:41</t>
  </si>
  <si>
    <t>Tierra del Sol (Ex Tarapacá PV)</t>
  </si>
  <si>
    <t>93</t>
  </si>
  <si>
    <t>S/E Central Tarapacá 220 kV</t>
  </si>
  <si>
    <t>JT2.1</t>
  </si>
  <si>
    <t>PV El Chiringuito</t>
  </si>
  <si>
    <t>Línea Teno - Aguas Negras 66 kV</t>
  </si>
  <si>
    <t>Ritoque solar</t>
  </si>
  <si>
    <t>Luz de Sol 5 SpA.</t>
  </si>
  <si>
    <t>Línea Central Quintero - San Luis 220 kV</t>
  </si>
  <si>
    <t>03/10/2023 11:30:37</t>
  </si>
  <si>
    <t>02/2024</t>
  </si>
  <si>
    <t>PV Leonor</t>
  </si>
  <si>
    <t>Línea Central Ancoa - Tap Putagán 66 kV</t>
  </si>
  <si>
    <t>Morros</t>
  </si>
  <si>
    <t>192</t>
  </si>
  <si>
    <t>Línea 1x220 kV Llanos del Viento - O'Higgins</t>
  </si>
  <si>
    <t>por definir en Nueva S/E Seccionadora Navidad</t>
  </si>
  <si>
    <t>Línea Ancoa - San Fabian en 220 kV</t>
  </si>
  <si>
    <t>PV Dietil</t>
  </si>
  <si>
    <t>Línea Los Notros - Tap Zona de Caída en 220 kV</t>
  </si>
  <si>
    <t>FEBOS</t>
  </si>
  <si>
    <t>1x220 kV Pan de Azúcar – Minera Teck CDA</t>
  </si>
  <si>
    <t>PLUTON</t>
  </si>
  <si>
    <t>2x220 kV Candelaria-Minero</t>
  </si>
  <si>
    <t>Circuito norte</t>
  </si>
  <si>
    <t>Parque FV Marte</t>
  </si>
  <si>
    <t>1x220 kV Los Vilos – Central Chagual</t>
  </si>
  <si>
    <t>06/10/2025 11:18:44</t>
  </si>
  <si>
    <t>Urano</t>
  </si>
  <si>
    <t>114</t>
  </si>
  <si>
    <t>1x220 kV Colbún – Procart</t>
  </si>
  <si>
    <t>NEPTUNO</t>
  </si>
  <si>
    <t>1x220 kV Colbun- Machicura</t>
  </si>
  <si>
    <t>CIRCUITO 1</t>
  </si>
  <si>
    <t>DERIVACION</t>
  </si>
  <si>
    <t>02/02/2023 19:35:08</t>
  </si>
  <si>
    <t>Solar Baco</t>
  </si>
  <si>
    <t xml:space="preserve">Línea 1x220 kV Cardones – Minera La Candelaria			</t>
  </si>
  <si>
    <t>15/02/2024 16:43:43</t>
  </si>
  <si>
    <t xml:space="preserve">Línea 2x220kV Puente Negro –La Higuera	</t>
  </si>
  <si>
    <t>Circuito Norte</t>
  </si>
  <si>
    <t>Nuevo Alimentador N2 - SE Panamericana</t>
  </si>
  <si>
    <t>S/E Panamericana 12 kV</t>
  </si>
  <si>
    <t>Barra N4</t>
  </si>
  <si>
    <t>Sol de Achibueno</t>
  </si>
  <si>
    <t>Nuevo Alimentador N°1 - SE Panamericana</t>
  </si>
  <si>
    <t>c18</t>
  </si>
  <si>
    <t>Construcción electrificación Valle de Chaca, comuna de Arica</t>
  </si>
  <si>
    <t>Distribuidora Eléctrica S.A.</t>
  </si>
  <si>
    <t>0.2</t>
  </si>
  <si>
    <t>S/E Vitor 23 kV</t>
  </si>
  <si>
    <t>Línea AAAC 2/0 Fuera de la Subestación</t>
  </si>
  <si>
    <t>PE Santa Ana</t>
  </si>
  <si>
    <t>15/09/2023 11:11:24</t>
  </si>
  <si>
    <t>Posición MT para Nuevo Alimentador ODATA N°2 en S/E Panamericana</t>
  </si>
  <si>
    <t>Posición MT para Nuevo Alimentador ODATA N°1 en S/E Panamericana</t>
  </si>
  <si>
    <t xml:space="preserve">barra principal N°3 c17y barra auxiliar </t>
  </si>
  <si>
    <t>PE Dicao</t>
  </si>
  <si>
    <t>17/07/2024 00:00:00</t>
  </si>
  <si>
    <t>Alimentador Valle Lluta</t>
  </si>
  <si>
    <t>2.4</t>
  </si>
  <si>
    <t>S/E Quiani 13,8 kV</t>
  </si>
  <si>
    <t>Barra 1 13,8 kV</t>
  </si>
  <si>
    <t>Parque Eolico Atenas</t>
  </si>
  <si>
    <t xml:space="preserve">Línea 220 kV Puelche Sur - Frutillar Norte </t>
  </si>
  <si>
    <t>Solar Ray 1</t>
  </si>
  <si>
    <t>Solar Ray 1 SpA.</t>
  </si>
  <si>
    <t>25/02/2026 00:00:00</t>
  </si>
  <si>
    <t>Barra Principal Sección 1 conexión configuración interruptor y medio</t>
  </si>
  <si>
    <t>J19 y J20</t>
  </si>
  <si>
    <t>19/06/2023 10:52:28</t>
  </si>
  <si>
    <t>Proyecto Solar Fotovoltaico Elena – Primera Etapa, Fase 2</t>
  </si>
  <si>
    <t>202.5</t>
  </si>
  <si>
    <t>S/E IberElena 33 kV</t>
  </si>
  <si>
    <t>Barra en 33 kV</t>
  </si>
  <si>
    <t>Solar Ortega Negrete</t>
  </si>
  <si>
    <t>Línea 23 kV Eólica La Esperanza - Negrete</t>
  </si>
  <si>
    <t>20/12/2022 10:58:25</t>
  </si>
  <si>
    <t>Solar Millán</t>
  </si>
  <si>
    <t>J10/J11</t>
  </si>
  <si>
    <t>Maitencillo +BESS</t>
  </si>
  <si>
    <t>10/09/2025 16:23:16</t>
  </si>
  <si>
    <t>Ampliación Sierra Gorda S.C.M.</t>
  </si>
  <si>
    <t>67.7</t>
  </si>
  <si>
    <t>Barras 1, 2 y 3 en 33 kV</t>
  </si>
  <si>
    <t xml:space="preserve">H-03, H-08, H-16, H-17, H-28, H-45, H-47, H-55, H-54 </t>
  </si>
  <si>
    <t>14/08/2024 14:16:02</t>
  </si>
  <si>
    <t>CENTRAL_TERMICA_NOGALES</t>
  </si>
  <si>
    <t>S/E El Cobre 110 kV</t>
  </si>
  <si>
    <t>Costa Fuego (ex Productora)</t>
  </si>
  <si>
    <t>Sociedad Minera El Águila SpA</t>
  </si>
  <si>
    <t>Barra Principal, sección 5</t>
  </si>
  <si>
    <t>Parque Fotovoltaico El Colorado</t>
  </si>
  <si>
    <t>Energía Renovable Topacio SpA</t>
  </si>
  <si>
    <t>Barra Seccion N°2</t>
  </si>
  <si>
    <t>01/02/2024 14:22:57</t>
  </si>
  <si>
    <t>Traslado Alimentador Las Rejas en S/E San José</t>
  </si>
  <si>
    <t>Barra principal y auxiliar N°3</t>
  </si>
  <si>
    <t>22/07/2022 00:00:00</t>
  </si>
  <si>
    <t>Traslado Alimentador J.J. Pérez en S/E San José</t>
  </si>
  <si>
    <t>Barra Principal y Barra Auxiliar N°3</t>
  </si>
  <si>
    <t>Traslado Alimentador Neptuno en S/E Pudahuel</t>
  </si>
  <si>
    <t>Barra principal y auxiliar N°4</t>
  </si>
  <si>
    <t>22/06/2022 00:00:00</t>
  </si>
  <si>
    <t>Flexibilidad Operacional Suministro de Energía en SE LS - SE OGP1</t>
  </si>
  <si>
    <t xml:space="preserve">S/E OGP1 33 kV </t>
  </si>
  <si>
    <t>E38</t>
  </si>
  <si>
    <t>Parque Eólico Pidenco</t>
  </si>
  <si>
    <t>Parque Eólico Kumleufú.</t>
  </si>
  <si>
    <t>Parque Eólico Clara SpA.</t>
  </si>
  <si>
    <t>J20 - J21</t>
  </si>
  <si>
    <t>Parque Eólico Pichirropulli Alto</t>
  </si>
  <si>
    <t>J20</t>
  </si>
  <si>
    <t>29/10/2025 07:24:09</t>
  </si>
  <si>
    <t>Ovejera Sur</t>
  </si>
  <si>
    <t>Parque eólico Mata de Caña</t>
  </si>
  <si>
    <t>132</t>
  </si>
  <si>
    <t xml:space="preserve">Paño se ubicara en el extremo sur oriente que es parte de la futura ampliación licitada </t>
  </si>
  <si>
    <t>Cotrilla</t>
  </si>
  <si>
    <t>PE Peñasmo</t>
  </si>
  <si>
    <t>Atlas Energía SpA</t>
  </si>
  <si>
    <t>S/E Colaco 110 kV</t>
  </si>
  <si>
    <t>08/08/2025 00:00:00</t>
  </si>
  <si>
    <t>Línea Pozo Almonte-Junín 66 kV</t>
  </si>
  <si>
    <t>Sociedad Contractual Minera Copiapó</t>
  </si>
  <si>
    <t>12.7</t>
  </si>
  <si>
    <t>BA-66kV</t>
  </si>
  <si>
    <t>CSFV Las Mesetas III</t>
  </si>
  <si>
    <t>Parsosy Vallenar 1 SpA</t>
  </si>
  <si>
    <t>Línea Guacolda-Maitencillo 220 kV L1 C2</t>
  </si>
  <si>
    <t>Estructura T-46</t>
  </si>
  <si>
    <t>28/10/2022 12:45:58</t>
  </si>
  <si>
    <t>El Coipo Solar</t>
  </si>
  <si>
    <t>Mariquina Solar I SpA</t>
  </si>
  <si>
    <t>S/E Teno Empalme 154 kV</t>
  </si>
  <si>
    <t>23/03/2023 12:36:47</t>
  </si>
  <si>
    <t>18.2</t>
  </si>
  <si>
    <t>S/E La Coipa 220 kV</t>
  </si>
  <si>
    <t>Nuevo paño 220kV proyectado, este</t>
  </si>
  <si>
    <t>05/04/2023 11:13:42</t>
  </si>
  <si>
    <t>BESS Nuevo San Rafael</t>
  </si>
  <si>
    <t>S/E Villares 110 kV (ex Nueva San Rafael)</t>
  </si>
  <si>
    <t>H7 (por definir)</t>
  </si>
  <si>
    <t>06/03/2025 18:21:19</t>
  </si>
  <si>
    <t>San Alfonso</t>
  </si>
  <si>
    <t>Flux Solar Energías Renovables SpA</t>
  </si>
  <si>
    <t>Nueva barra</t>
  </si>
  <si>
    <t>A2, futuro</t>
  </si>
  <si>
    <t>Los Robles I</t>
  </si>
  <si>
    <t>Línea Central Cipreses - Itahue</t>
  </si>
  <si>
    <t>Estructura N°295</t>
  </si>
  <si>
    <t>21/03/2023 22:01:26</t>
  </si>
  <si>
    <t>PV Puchuncaví</t>
  </si>
  <si>
    <t>Adwen Consultoría Energética SpA</t>
  </si>
  <si>
    <t>PFV Palmillas</t>
  </si>
  <si>
    <t>S/E Montenegro 154 kV</t>
  </si>
  <si>
    <t>Barra principal 154 kV</t>
  </si>
  <si>
    <t>Nuevo Alimentador El Arcángel en S/E Alonso de Córdova</t>
  </si>
  <si>
    <t>barra principal y barra auxiliar N°4</t>
  </si>
  <si>
    <t>Parque Solar Fotovoltaico Dédalo</t>
  </si>
  <si>
    <t>S/E Laberinto 220 kV</t>
  </si>
  <si>
    <t>19/06/2023 18:11:16</t>
  </si>
  <si>
    <t>S/E Pozo Almonte 110kV</t>
  </si>
  <si>
    <t>H5 (Por definir)</t>
  </si>
  <si>
    <t>Conexión Alimentador N°3 a Paño E3 SE Pichil</t>
  </si>
  <si>
    <t>6.6</t>
  </si>
  <si>
    <t>S/E Pichil 23 kV</t>
  </si>
  <si>
    <t>Parque Eólico Los Colonos</t>
  </si>
  <si>
    <t>Barra de transferencia AR</t>
  </si>
  <si>
    <t xml:space="preserve"> paño disponible AT2</t>
  </si>
  <si>
    <t>Sistema de Almacenamiento Lo Rojas"</t>
  </si>
  <si>
    <t>S/E Central Bocamina I 154 kV</t>
  </si>
  <si>
    <t>15/09/2022 09:24:48</t>
  </si>
  <si>
    <t>La Cabrería del Verano (Ex PFV Santa Emilia)</t>
  </si>
  <si>
    <t>Tamarugal del Verano SpA</t>
  </si>
  <si>
    <t>S/E Pozo Almonte 110 kV</t>
  </si>
  <si>
    <t>25/09/2024 17:04:50</t>
  </si>
  <si>
    <t>Los Robles II</t>
  </si>
  <si>
    <t>Sección 2</t>
  </si>
  <si>
    <t>B7, por definir</t>
  </si>
  <si>
    <t>08/09/2023 10:29:27</t>
  </si>
  <si>
    <t>Vallenar Solar</t>
  </si>
  <si>
    <t>S/E Vallenar 110 kV</t>
  </si>
  <si>
    <t>Parque Fotovoltaico Pauna Solar</t>
  </si>
  <si>
    <t>Pauna Solar SpA</t>
  </si>
  <si>
    <t>640</t>
  </si>
  <si>
    <t>barra principal seccion 1</t>
  </si>
  <si>
    <t>30/07/2025 00:00:00</t>
  </si>
  <si>
    <t>Nuevo Alimentador Camila en S/E Alonso de Córdova</t>
  </si>
  <si>
    <t>Barra principal N°4 y Barra auxiliar N°4</t>
  </si>
  <si>
    <t>S/E Móvil 69/13,8 kV y Ampliación S/E Hamburgo.</t>
  </si>
  <si>
    <t>Hamburgo</t>
  </si>
  <si>
    <t>Alimentador N°2 en 13,8 KV SE Guardiamarina</t>
  </si>
  <si>
    <t>S/E Guardiamarina 13,8 kV</t>
  </si>
  <si>
    <t>02/02/2023 16:39:32</t>
  </si>
  <si>
    <t>Alimentador N°1 en 13,8 KV SE Guardiamarina</t>
  </si>
  <si>
    <t>5.9</t>
  </si>
  <si>
    <t>02/02/2023 16:35:43</t>
  </si>
  <si>
    <t>Alimentador N°3 en 23 KV SE Guardiamarina</t>
  </si>
  <si>
    <t>S/E Guardiamarina 23 kV</t>
  </si>
  <si>
    <t>52E3</t>
  </si>
  <si>
    <t>02/02/2023 16:33:29</t>
  </si>
  <si>
    <t>Alimentador N°2 en 23 KV SE Guardiamarina</t>
  </si>
  <si>
    <t>52E2</t>
  </si>
  <si>
    <t>02/02/2023 16:31:20</t>
  </si>
  <si>
    <t>Alimentador N°1 en 23 KV SE Guardiamarina</t>
  </si>
  <si>
    <t>02/02/2023 16:28:43</t>
  </si>
  <si>
    <t>Tomeco</t>
  </si>
  <si>
    <t>Línea 2x220 Santa María - Charrúa</t>
  </si>
  <si>
    <t>Seccionadora Interruptor y Medio</t>
  </si>
  <si>
    <t>24/04/2023 15:48:18</t>
  </si>
  <si>
    <t>Parque Eólico El Rancho (Ex- Parque Eólico Pidenco)</t>
  </si>
  <si>
    <t>Parque Eólico Pidenco SpA</t>
  </si>
  <si>
    <t>j21 o por definir</t>
  </si>
  <si>
    <t>13/08/2025 11:34:24</t>
  </si>
  <si>
    <t>PFV Gran Teno</t>
  </si>
  <si>
    <t>S/E Seccionadora Solís 154 kV</t>
  </si>
  <si>
    <t>Nueva Barra</t>
  </si>
  <si>
    <t>06/12/2022 16:45:17</t>
  </si>
  <si>
    <t>Habilitación Transformador N°2 50MVA 220/23kV S/E Mantos Blancos</t>
  </si>
  <si>
    <t>Mantos Copper S.A.</t>
  </si>
  <si>
    <t xml:space="preserve">S/E Mantos Blancos 220/23 kV </t>
  </si>
  <si>
    <t>Barra pricipal</t>
  </si>
  <si>
    <t>Paño Mantos Blancos</t>
  </si>
  <si>
    <t xml:space="preserve">Parque Eólico Dañicalqui </t>
  </si>
  <si>
    <t>Eólica Dañicalqui SpA</t>
  </si>
  <si>
    <t>95.2</t>
  </si>
  <si>
    <t xml:space="preserve">Barra principal, 1 </t>
  </si>
  <si>
    <t>Repotenciamiento Eléctrico SAR</t>
  </si>
  <si>
    <t>S/E Santa Filomena 22O kV</t>
  </si>
  <si>
    <t>JT2, por definir</t>
  </si>
  <si>
    <t>19/04/2023 11:00:27</t>
  </si>
  <si>
    <t>REPOTENCIAMIENTO ELÉCTRICO SAR</t>
  </si>
  <si>
    <t>S/E SANTA FILOMENA 220KV</t>
  </si>
  <si>
    <t>Pampa Orcoma</t>
  </si>
  <si>
    <t>13/12/2022 12:14:52</t>
  </si>
  <si>
    <t>Alimentador N°3 a Paño E3 SE Pargua</t>
  </si>
  <si>
    <t>SOLANGO</t>
  </si>
  <si>
    <t>S/E Central Picoiquen 13,2 kV</t>
  </si>
  <si>
    <t>S/E Switchgear 13,2 kV</t>
  </si>
  <si>
    <t>Switchgear 13,2 kV conectado a la S/E Central Picoiquen</t>
  </si>
  <si>
    <t>08/09/2022 12:39:04</t>
  </si>
  <si>
    <t>Parque Eólico Puente</t>
  </si>
  <si>
    <t>Puente SpA.</t>
  </si>
  <si>
    <t>S/E Tres Pinos 66 kV</t>
  </si>
  <si>
    <t>Lebu</t>
  </si>
  <si>
    <t>27/06/2025 00:00:00</t>
  </si>
  <si>
    <t>Lajuela Solar</t>
  </si>
  <si>
    <t>Vientos de Atacama</t>
  </si>
  <si>
    <t>380</t>
  </si>
  <si>
    <t>Diagonales</t>
  </si>
  <si>
    <t>06/07/2023 17:10:28</t>
  </si>
  <si>
    <t>CSFV Las Mesetas II</t>
  </si>
  <si>
    <t>Linea Guacolda-Maitencillo Cto 2</t>
  </si>
  <si>
    <t>T-46</t>
  </si>
  <si>
    <t>Orcoma</t>
  </si>
  <si>
    <t>Nuevo Alimentador Lazo en S/E Cisterna</t>
  </si>
  <si>
    <t>S/E Cisterna 12 kV</t>
  </si>
  <si>
    <t>Barra principal N°3 y barra auxiliar</t>
  </si>
  <si>
    <t>La Cisterna</t>
  </si>
  <si>
    <t>Línea 1x23 kV Punta del Viento - Corrales</t>
  </si>
  <si>
    <t>Se construirá una nueva S/E llamada S/E Seccionadora Don Eugenio que seccionará la línea 1x23 kV Punta del Viento - Corrales</t>
  </si>
  <si>
    <t>E3 (de la nueva S/E Seccionadora Don Eugenio</t>
  </si>
  <si>
    <t>16/12/2022 12:36:40</t>
  </si>
  <si>
    <t>Data Center Padre Hurtado Fase 1</t>
  </si>
  <si>
    <t>S/E Padre Hurtado 23 kV</t>
  </si>
  <si>
    <t>E6 y E7 (o por definir)</t>
  </si>
  <si>
    <t>31/01/2023 15:50:39</t>
  </si>
  <si>
    <t>Terrazas</t>
  </si>
  <si>
    <t>Línea 1x220 Tchamma - Pallata</t>
  </si>
  <si>
    <t>JL3</t>
  </si>
  <si>
    <t>09/09/2025 11:37:13</t>
  </si>
  <si>
    <t>Parque Eólico Coyanco</t>
  </si>
  <si>
    <t>S/E Santa Clara en 220 kV</t>
  </si>
  <si>
    <t>26/07/2022 09:25:49</t>
  </si>
  <si>
    <t>REEMPLAZO GIS 66 KV S/E LOS BRONCES</t>
  </si>
  <si>
    <t>S/E Los Bronces en 66 kV</t>
  </si>
  <si>
    <t>B1, B2, B3, B4 y B5</t>
  </si>
  <si>
    <t>05/2022</t>
  </si>
  <si>
    <t>Eólico Pilmaiquén</t>
  </si>
  <si>
    <t>Derivación Línea Rahue - Antillanca en 220 kV</t>
  </si>
  <si>
    <t>Pampa Norte 2</t>
  </si>
  <si>
    <t xml:space="preserve">S/E Central Pampa Norte 220 kV </t>
  </si>
  <si>
    <t xml:space="preserve">Barra Prinicipal </t>
  </si>
  <si>
    <t>Parque Solar Colina</t>
  </si>
  <si>
    <t>Derivación Línea Polpaico - Las Tortolas 220 kV</t>
  </si>
  <si>
    <t>Barra Principal y transferencia</t>
  </si>
  <si>
    <t xml:space="preserve">300 m S/E Las Tortolas				</t>
  </si>
  <si>
    <t>Línea Quillota - Los Piuquenes 220 kV</t>
  </si>
  <si>
    <t>Ampliación Data Center Cuarta Etapa</t>
  </si>
  <si>
    <t>S/E Seccionadora Colina 110 kV</t>
  </si>
  <si>
    <t xml:space="preserve">Por definir </t>
  </si>
  <si>
    <t>20/12/2022 11:37:24</t>
  </si>
  <si>
    <t>Sistema de Almacenamiento PF Las Salinas</t>
  </si>
  <si>
    <t>Nuevo Alimentador La Dormida en S/E El Manzano</t>
  </si>
  <si>
    <t>Barra principal N°3 y barra auxiliar 23 kV</t>
  </si>
  <si>
    <t>11/2022</t>
  </si>
  <si>
    <t>PMG AltoNorte</t>
  </si>
  <si>
    <t>S/E Alto Norte 23 kV</t>
  </si>
  <si>
    <t>Paño MT</t>
  </si>
  <si>
    <t>Nuevo Alimentador Aguilucho en S/E Santa Elena</t>
  </si>
  <si>
    <t>S/E Santa Elena 12 kV</t>
  </si>
  <si>
    <t>Barra principal N°4 y barra auxiliar N°4</t>
  </si>
  <si>
    <t>Ñuñoa</t>
  </si>
  <si>
    <t>Nuevo Alimentador Quilicura Bus 1 en S/E Lo Boza</t>
  </si>
  <si>
    <t>11.9</t>
  </si>
  <si>
    <t>barra principal N°6 y barra auxiliar N°6</t>
  </si>
  <si>
    <t>E41</t>
  </si>
  <si>
    <t xml:space="preserve">Sistema de Almacenamiento del PF Guanchoi </t>
  </si>
  <si>
    <t>S/E Bella Mónica 33 kV</t>
  </si>
  <si>
    <t>Barras 1 a 4</t>
  </si>
  <si>
    <t>Celdas en 33 kV</t>
  </si>
  <si>
    <t>01/2023</t>
  </si>
  <si>
    <t>37.2</t>
  </si>
  <si>
    <t>S/E Nahuelbuta 23 kV</t>
  </si>
  <si>
    <t>06/01/2023 13:29:50</t>
  </si>
  <si>
    <t>PV Lamida</t>
  </si>
  <si>
    <t>LT Ralco - Charrúa 220 kV</t>
  </si>
  <si>
    <t>Longos Solar</t>
  </si>
  <si>
    <t>S/E Quinquimo 110 kV</t>
  </si>
  <si>
    <t>Barra principal N2</t>
  </si>
  <si>
    <t>05/02/2025 00:00:00</t>
  </si>
  <si>
    <t>PMG Muelle</t>
  </si>
  <si>
    <t>01/12/2022 17:39:23</t>
  </si>
  <si>
    <t>Parque Solar El Estero</t>
  </si>
  <si>
    <t>S/E Alto Melipilla 110 kV</t>
  </si>
  <si>
    <t>17/03/2025 15:17:46</t>
  </si>
  <si>
    <t>Sistema de almacenamiento del PF El Manzano</t>
  </si>
  <si>
    <t>Celdas MT en 33 kV</t>
  </si>
  <si>
    <t>FASE 2. AR PANIMAVIDA SOLAR</t>
  </si>
  <si>
    <t>Colbún-Procart 220 kV</t>
  </si>
  <si>
    <t>Cristales (Ex-Likanantai)</t>
  </si>
  <si>
    <t>Cristales SpA</t>
  </si>
  <si>
    <t>S/E Monte Mina 220 kV (Likanantai)</t>
  </si>
  <si>
    <t>17/03/2025 15:12:28</t>
  </si>
  <si>
    <t>BESS Tagua</t>
  </si>
  <si>
    <t>EBCO Energía S.A.</t>
  </si>
  <si>
    <t>S/E Agua Santa 110 kV</t>
  </si>
  <si>
    <t>H17-H18</t>
  </si>
  <si>
    <t>Viña del Mar</t>
  </si>
  <si>
    <t>16/09/2025 00:00:00</t>
  </si>
  <si>
    <t>PV Jicuri Solar 90 MW</t>
  </si>
  <si>
    <t>LT Central Los Cipreses - Itahue 154 kV</t>
  </si>
  <si>
    <t>ENAPAC Ruta Este</t>
  </si>
  <si>
    <t>S/E Luz del Norte 220 kV</t>
  </si>
  <si>
    <t>Tamarugal del Verano Solar</t>
  </si>
  <si>
    <t>SE Pozo Almonte 66kV</t>
  </si>
  <si>
    <t>Barra 66kV</t>
  </si>
  <si>
    <t>Parque Fotovoltaico Crucero</t>
  </si>
  <si>
    <t>J6A</t>
  </si>
  <si>
    <t>Milla Quince</t>
  </si>
  <si>
    <t>Barra Principal B</t>
  </si>
  <si>
    <t>J14/J15-J17/J18</t>
  </si>
  <si>
    <t>Actualización PE Calama</t>
  </si>
  <si>
    <t>Tap Off Oasis</t>
  </si>
  <si>
    <t>Cerro de Roco</t>
  </si>
  <si>
    <t>Cerro Negro Norte - Totoralillo C1</t>
  </si>
  <si>
    <t xml:space="preserve">Conexión en Derivación </t>
  </si>
  <si>
    <t>J1, por definir</t>
  </si>
  <si>
    <t>Nuevo Alimentador Consistorial en S/E Macul</t>
  </si>
  <si>
    <t>S/E Macul 110/12kV</t>
  </si>
  <si>
    <t>Barra principal N°3 y Barra auxiliar</t>
  </si>
  <si>
    <t>C22</t>
  </si>
  <si>
    <t>Guanay (ex PSF San Juan)</t>
  </si>
  <si>
    <t>Sección 1 y 2</t>
  </si>
  <si>
    <t>H3 (Nuevo Paño en 110 kV)</t>
  </si>
  <si>
    <t>14/01/2026 00:00:00</t>
  </si>
  <si>
    <t>Parque Eólico Alpes</t>
  </si>
  <si>
    <t>Empresa Eléctrica Alpes SpA</t>
  </si>
  <si>
    <t>S/E Celulosa Pacífico 220 kV</t>
  </si>
  <si>
    <t>74</t>
  </si>
  <si>
    <t>LAT Rahue - Antillanca 220kV</t>
  </si>
  <si>
    <t>Tap off LAT</t>
  </si>
  <si>
    <t>Tap off Linea</t>
  </si>
  <si>
    <t>28/06/2022 15:15:38</t>
  </si>
  <si>
    <t>Llanos de Chulo</t>
  </si>
  <si>
    <t>S/E Seccionadora San Andrés</t>
  </si>
  <si>
    <t>Paño J12 y J13</t>
  </si>
  <si>
    <t>29/08/2024 13:13:04</t>
  </si>
  <si>
    <t>Central Ovalle Solar</t>
  </si>
  <si>
    <t>Central Eléctrica El Naranjillo SpA</t>
  </si>
  <si>
    <t>SE La Ruca 110 kV</t>
  </si>
  <si>
    <t>Barra Principal 1 y Barra de Transferencia</t>
  </si>
  <si>
    <t>Playa Maqui</t>
  </si>
  <si>
    <t>115</t>
  </si>
  <si>
    <t>29/11/2023 11:03:01</t>
  </si>
  <si>
    <t>Parque eólico Las Ánimas</t>
  </si>
  <si>
    <t>186.3</t>
  </si>
  <si>
    <t>Línea Punta Colorada - Tres Quebradas 220 kV</t>
  </si>
  <si>
    <t>Barra simple y barra de transferencia</t>
  </si>
  <si>
    <t>Subestación</t>
  </si>
  <si>
    <t>26/04/2024 10:44:10</t>
  </si>
  <si>
    <t>ODATA SAN BERNARDO ST02</t>
  </si>
  <si>
    <t>S/E PANAMERICANA 110 kV</t>
  </si>
  <si>
    <t>BARRA 1, SECCION 1 Y SECCION 2</t>
  </si>
  <si>
    <t>NUEVOS PAÑOS H3 Y H4</t>
  </si>
  <si>
    <t>03/02/2023 14:21:00</t>
  </si>
  <si>
    <t>Conexión Alimentador N°2 a Paño E3 SE Pueblo Seco</t>
  </si>
  <si>
    <t>Empresa Eléctrica de la Frontera S.A.</t>
  </si>
  <si>
    <t>S/E Pueblo Seco 23 kV</t>
  </si>
  <si>
    <t>04/04/2022 00:00:00</t>
  </si>
  <si>
    <t>Conexión Alimentador N°1 a paño E2 SE Pueblo Seco</t>
  </si>
  <si>
    <t>Barra  principal tubo de cobre 1"</t>
  </si>
  <si>
    <t>01/04/2022 00:00:00</t>
  </si>
  <si>
    <t>Aumento de potencia de Parque Eólico Calama</t>
  </si>
  <si>
    <t>1x220kV Jama-Calama</t>
  </si>
  <si>
    <t>j1</t>
  </si>
  <si>
    <t>08/2022</t>
  </si>
  <si>
    <t>CSFV El Mollar</t>
  </si>
  <si>
    <t>Parsosy Ra SpA</t>
  </si>
  <si>
    <t>Línea Central Espinos-Los Vilos</t>
  </si>
  <si>
    <t>J6 Los Vilos</t>
  </si>
  <si>
    <t>Nuevo paño H2</t>
  </si>
  <si>
    <t>PFV Michilla</t>
  </si>
  <si>
    <t>Michilla Solar SpA</t>
  </si>
  <si>
    <t>SE Lince</t>
  </si>
  <si>
    <t>E04</t>
  </si>
  <si>
    <t>Nuevo Alimentador Maitencillo</t>
  </si>
  <si>
    <t>S/E Agrosuper</t>
  </si>
  <si>
    <t>13/02/2023 14:22:02</t>
  </si>
  <si>
    <t>Parque Eólico Guanaquiana</t>
  </si>
  <si>
    <t>Guanaquiana SpA</t>
  </si>
  <si>
    <t>334</t>
  </si>
  <si>
    <t>J10, J11</t>
  </si>
  <si>
    <t>28/12/2022 23:40:39</t>
  </si>
  <si>
    <t>EB2</t>
  </si>
  <si>
    <t>29/09/2022 16:15:35</t>
  </si>
  <si>
    <t>Nuevo Alimentador Rio Salar en S/E San Pablo</t>
  </si>
  <si>
    <t>S/E San Pablo 110/23 kV</t>
  </si>
  <si>
    <t>Barra principal N°2 y barra auxiliar</t>
  </si>
  <si>
    <t>Alimentador N°7 (52D7)</t>
  </si>
  <si>
    <t>Nuevo Alimentador Claro Liray en S/E Batuco</t>
  </si>
  <si>
    <t>S/E Batuco 110/23 kV</t>
  </si>
  <si>
    <t>Barra principal N°1 y barra auxiliar</t>
  </si>
  <si>
    <t>Alimentador N°6 (52E6)</t>
  </si>
  <si>
    <t>SE Doña Carmen 23 kV</t>
  </si>
  <si>
    <t>Switchgear 23 kV</t>
  </si>
  <si>
    <t>27/06/2023 18:44:58</t>
  </si>
  <si>
    <t>Normalizacion Tap Off Quillagua</t>
  </si>
  <si>
    <t>06/01/2023 14:39:30</t>
  </si>
  <si>
    <t>Las Cardas Solar</t>
  </si>
  <si>
    <t>Nueva Pan de Azucar</t>
  </si>
  <si>
    <t>15/12/2025 09:49:48</t>
  </si>
  <si>
    <t>Traspaso Cabecea Alimentador Gabriela</t>
  </si>
  <si>
    <t>SE Santa Rosa Sur  110/12</t>
  </si>
  <si>
    <t>Barra n°6 , sección 42</t>
  </si>
  <si>
    <t>Ventana del Sol II</t>
  </si>
  <si>
    <t>Ventana del Sol SpA</t>
  </si>
  <si>
    <t>Linea Nueva Ventana Nogales</t>
  </si>
  <si>
    <t>Alimentador Yobilo</t>
  </si>
  <si>
    <t>SE Coronel 15kV</t>
  </si>
  <si>
    <t xml:space="preserve">La Aguada </t>
  </si>
  <si>
    <t xml:space="preserve">Portezuelo 220 kV </t>
  </si>
  <si>
    <t xml:space="preserve">Interruptor y Medio </t>
  </si>
  <si>
    <t>Media diagonal J7 y J8 (Referencial)</t>
  </si>
  <si>
    <t>PH Curauma I</t>
  </si>
  <si>
    <t>Agua Santa</t>
  </si>
  <si>
    <t>Parque Híbrido Pupuya (ex-Parque Eólico Litueche)</t>
  </si>
  <si>
    <t>PFV Domeyko</t>
  </si>
  <si>
    <t>Barra 1 y 2, Diagonal 3</t>
  </si>
  <si>
    <t>J8 y J7</t>
  </si>
  <si>
    <t>27/07/2022 17:02:02</t>
  </si>
  <si>
    <t>Lalackama III</t>
  </si>
  <si>
    <t>205</t>
  </si>
  <si>
    <t>S/E Central Lalackama 220 kV</t>
  </si>
  <si>
    <t>21/03/2024 08:53:54</t>
  </si>
  <si>
    <t>Nuevo Alimentador Quitalmahue</t>
  </si>
  <si>
    <t>S/E La Pintana 12 kV</t>
  </si>
  <si>
    <t>E11</t>
  </si>
  <si>
    <t>Nuevo Alimentador Rodrigo Valenzuela</t>
  </si>
  <si>
    <t>S/E Illapel 23 kV</t>
  </si>
  <si>
    <t>Parque Solar Casablanca</t>
  </si>
  <si>
    <t>Litoral Central (Doble Barra Tap algarrobo)</t>
  </si>
  <si>
    <t>B8</t>
  </si>
  <si>
    <t>Meseta de Los Andes II</t>
  </si>
  <si>
    <t>S/E Elevadora Meseta de Los Andes en 33 kV</t>
  </si>
  <si>
    <t>Barra 33 kV, SE Elevadora Meseta de Los Andes</t>
  </si>
  <si>
    <t>PV_EL_NAVIO</t>
  </si>
  <si>
    <t>S/E EL MELON</t>
  </si>
  <si>
    <t>F3</t>
  </si>
  <si>
    <t>S/E El Manzano 23kV</t>
  </si>
  <si>
    <t>Barra Principal N°3 y Barra Auxiliar N°3</t>
  </si>
  <si>
    <t>Ampliación Data Center – Tercera Etapa</t>
  </si>
  <si>
    <t>20/12/2022 11:15:25</t>
  </si>
  <si>
    <t>TENO SOLAR II</t>
  </si>
  <si>
    <t>S/E PLANTA MDP TENO</t>
  </si>
  <si>
    <t>Barra de 13,2 kV</t>
  </si>
  <si>
    <t>Nuevo Alimentador Nororiente en S/E Chicureo</t>
  </si>
  <si>
    <t>Barra Principal y Barra Auxiliar N°1</t>
  </si>
  <si>
    <t>52D4 (ALIMENTADOR N°4)</t>
  </si>
  <si>
    <t>Picazo Solar</t>
  </si>
  <si>
    <t>Hidroeléctrica Providencia S.A.</t>
  </si>
  <si>
    <t>S/E Central Providencia 6,9 kV</t>
  </si>
  <si>
    <t>Módulo nuevo Switchgear MT, por definir</t>
  </si>
  <si>
    <t>CSFV La Totora</t>
  </si>
  <si>
    <t>T-171</t>
  </si>
  <si>
    <t>04/10/2022 11:16:03</t>
  </si>
  <si>
    <t>EDF Renewable Services SpA</t>
  </si>
  <si>
    <t>Versalles</t>
  </si>
  <si>
    <t>Versalles SpA</t>
  </si>
  <si>
    <t>Ventanas-Nogales 220 Kv</t>
  </si>
  <si>
    <t>derivacion</t>
  </si>
  <si>
    <t>Parque Híbrido Cartagena (Fase 1)</t>
  </si>
  <si>
    <t>CSFV Las Mesetas</t>
  </si>
  <si>
    <t>PFV Cachiyuyo</t>
  </si>
  <si>
    <t>Línea 1x110 kV S/E Dos Amigos – S/E Pajonales</t>
  </si>
  <si>
    <t>Parque Fotovoltaico Pullalli (Ex-Parque Fotovoltaico Cerro Blanco)</t>
  </si>
  <si>
    <t>Cerro Blanco SpA</t>
  </si>
  <si>
    <t>16/05/2025 16:49:24</t>
  </si>
  <si>
    <t>Ventana del Sol</t>
  </si>
  <si>
    <t>Santa Isabel II</t>
  </si>
  <si>
    <t>barra 1 y barra 2</t>
  </si>
  <si>
    <t>24/09/2024 00:00:00</t>
  </si>
  <si>
    <t>Sol de Caone (ex Mataquito Solar)</t>
  </si>
  <si>
    <t xml:space="preserve">ITAHUE ENERGY SPA </t>
  </si>
  <si>
    <t>420</t>
  </si>
  <si>
    <t>Hualañé</t>
  </si>
  <si>
    <t>Ampliación Parque Fotovoltaico Pedro de Valdivia</t>
  </si>
  <si>
    <t>Línea Chacaya-Crucero</t>
  </si>
  <si>
    <t>Parque Doña Carmen RM</t>
  </si>
  <si>
    <t>Solek Desarrollo SpA</t>
  </si>
  <si>
    <t>Parque Fotovoltaico Collawara 2</t>
  </si>
  <si>
    <t>Minera Teck CDA 220 kV</t>
  </si>
  <si>
    <t>Parque Fotovoltaico Collawara 1</t>
  </si>
  <si>
    <t>Parque Eólico El Rosal</t>
  </si>
  <si>
    <t>24/05/2024 13:23:34</t>
  </si>
  <si>
    <t>Alimentador Alto Molle</t>
  </si>
  <si>
    <t>Alto Hospicio 13,8 kV</t>
  </si>
  <si>
    <t>52CT2</t>
  </si>
  <si>
    <t>Verbena Solar</t>
  </si>
  <si>
    <t xml:space="preserve">Verbena Solar SpA </t>
  </si>
  <si>
    <t>S/E Illapel 110 kV</t>
  </si>
  <si>
    <t>Cu 3/0 AWG</t>
  </si>
  <si>
    <t>30/08/2022 10:24:58</t>
  </si>
  <si>
    <t>Parque Solar Fotovoltaico Alwa</t>
  </si>
  <si>
    <t xml:space="preserve">S/E Seccionadora Roncacho </t>
  </si>
  <si>
    <t>J10-J11 (Referencial, a definir en Hito 1)</t>
  </si>
  <si>
    <t>18/06/2024 12:13:12</t>
  </si>
  <si>
    <t>Proyecto Eólico Achiras</t>
  </si>
  <si>
    <t>PSF Don Dario</t>
  </si>
  <si>
    <t>PSF Don Dario SpA</t>
  </si>
  <si>
    <t>Polpaico 220</t>
  </si>
  <si>
    <t>Barra principal, 1 y 2</t>
  </si>
  <si>
    <t>Ampliación Patio 220 kV</t>
  </si>
  <si>
    <t>NUEVO TRANSFORMADOR N°3 EN S/E DESALANT 110/6,3 KV, 15/20 MVA</t>
  </si>
  <si>
    <t>Aguas Antofagasta S.A.</t>
  </si>
  <si>
    <t>S/E Desalant</t>
  </si>
  <si>
    <t xml:space="preserve">S/E Desalant </t>
  </si>
  <si>
    <t>Nuevo Alimentador Laguna Sur en S/E San José</t>
  </si>
  <si>
    <t>6.3</t>
  </si>
  <si>
    <t>Barra principal N°3 y barra auxiliar N°3</t>
  </si>
  <si>
    <t>Parque Eolico Carica</t>
  </si>
  <si>
    <t>Linea 1x220 KV Don Goyo - El Arrayan</t>
  </si>
  <si>
    <t>Barra Principal + Transferencia</t>
  </si>
  <si>
    <t>Elec Sta Teresa - Mega Data Center Lampa</t>
  </si>
  <si>
    <t>Ambas Barras 220 kV</t>
  </si>
  <si>
    <t>J7 y J8 por definir</t>
  </si>
  <si>
    <t>19/04/2023 18:29:10</t>
  </si>
  <si>
    <t>Nuevo alimentador El Damasco en S/E Chicureo</t>
  </si>
  <si>
    <t>Alimentador N°5 (52D5)</t>
  </si>
  <si>
    <t>SE EB2 4.16 kV</t>
  </si>
  <si>
    <t>Parque Renovable Entre Cerros</t>
  </si>
  <si>
    <t>68.2</t>
  </si>
  <si>
    <t>Portezuelo</t>
  </si>
  <si>
    <t>21/04/2025 00:00:00</t>
  </si>
  <si>
    <t>Nuevo Alimentador Otoñal en S/E Los Dominicos</t>
  </si>
  <si>
    <t>S/E Los Dominicos 110/12 kV</t>
  </si>
  <si>
    <t>S/E Luz del Norte en 220 kV</t>
  </si>
  <si>
    <t>Nuevo alimentador SE Montenegro</t>
  </si>
  <si>
    <t>SE Montenegro</t>
  </si>
  <si>
    <t>239</t>
  </si>
  <si>
    <t>Nueva Nirivilo 220 kV</t>
  </si>
  <si>
    <t>Nuevo Alimentador Nogales en S/E Lo Valledor</t>
  </si>
  <si>
    <t>S/E Lo Valledor 110/12kV</t>
  </si>
  <si>
    <t>Barra principal N°4 y barra auxiliar</t>
  </si>
  <si>
    <t>Alimentador 26 (E26)</t>
  </si>
  <si>
    <t>Nuevo Alimentador 12kV</t>
  </si>
  <si>
    <t>S/E Mariscal 110/12 kV</t>
  </si>
  <si>
    <t>Nuevo Alimentador Metro Línea 7 en S/E Lo Boza</t>
  </si>
  <si>
    <t>7.7</t>
  </si>
  <si>
    <t>S/E Lo Boza 110/12kV</t>
  </si>
  <si>
    <t>E23</t>
  </si>
  <si>
    <t>Nuevo Alimentador Cacique en S/E Batuco</t>
  </si>
  <si>
    <t>S/E Batuco 110/23kV</t>
  </si>
  <si>
    <t>Barra principal N°2 y barra transferencia</t>
  </si>
  <si>
    <t>D12</t>
  </si>
  <si>
    <t>San Bárbara</t>
  </si>
  <si>
    <t>Santa Barbara SpA</t>
  </si>
  <si>
    <t>Hualte 66 kV</t>
  </si>
  <si>
    <t>Barra 66 kV</t>
  </si>
  <si>
    <t>Polcura</t>
  </si>
  <si>
    <t>155</t>
  </si>
  <si>
    <t>Barras de 220 kV</t>
  </si>
  <si>
    <t>18/06/2024 12:24:36</t>
  </si>
  <si>
    <t>PFV El Valle</t>
  </si>
  <si>
    <t>Loica 220 kV</t>
  </si>
  <si>
    <t>Arica II</t>
  </si>
  <si>
    <t>Línea Cóndores - Parinacota</t>
  </si>
  <si>
    <t>Conductor AAAC Flint, Sección 374.52 mm²</t>
  </si>
  <si>
    <t>Nuevo Alimentador Vizcaya en S/E San Pablo</t>
  </si>
  <si>
    <t>Barra principal N°3 y Barra Auxiliar</t>
  </si>
  <si>
    <t>E13</t>
  </si>
  <si>
    <t>Parque Eólico Achiras</t>
  </si>
  <si>
    <t>Barras principales</t>
  </si>
  <si>
    <t>PFV_EL_MELON</t>
  </si>
  <si>
    <t>El Melon Renovables SpA</t>
  </si>
  <si>
    <t>LINEA CEMENTO MELON – PRINCIPAL MINA NAVIO 1 x 44</t>
  </si>
  <si>
    <t>CONEXIÓN A EXTREMO DE LINEA</t>
  </si>
  <si>
    <t>POSTE 115 DE LA LINEA</t>
  </si>
  <si>
    <t>03/10/2022 13:08:40</t>
  </si>
  <si>
    <t>Parque Eólico Pampa Fidelia (Ex Pampa Yolanda)</t>
  </si>
  <si>
    <t>336.6</t>
  </si>
  <si>
    <t>Barra N˚2</t>
  </si>
  <si>
    <t>17/12/2024 13:04:38</t>
  </si>
  <si>
    <t>Parque Híbrido Pampa Fidelia</t>
  </si>
  <si>
    <t>535</t>
  </si>
  <si>
    <t>K18</t>
  </si>
  <si>
    <t>Parque Eólico Lomas de Taltal</t>
  </si>
  <si>
    <t>353.4</t>
  </si>
  <si>
    <t>25/11/2022 22:31:20</t>
  </si>
  <si>
    <t>05/2023</t>
  </si>
  <si>
    <t>Parque Híbrido Pampa Yolanda</t>
  </si>
  <si>
    <t>Parque Eólico Ramadilla</t>
  </si>
  <si>
    <t>260.4</t>
  </si>
  <si>
    <t>Don Goyo 220 kV</t>
  </si>
  <si>
    <t xml:space="preserve">Barra Principal N˚2 </t>
  </si>
  <si>
    <t>Parque Eólico Tablaruca</t>
  </si>
  <si>
    <t>168</t>
  </si>
  <si>
    <t>S/E Chonchi 110kV</t>
  </si>
  <si>
    <t>Nuevo Paño H3</t>
  </si>
  <si>
    <t>Chonchi</t>
  </si>
  <si>
    <t>S/E Muelle</t>
  </si>
  <si>
    <t>PFV Miscanti</t>
  </si>
  <si>
    <t>Concorde Solar SpA</t>
  </si>
  <si>
    <t>El Arriero - Sierra Gorda</t>
  </si>
  <si>
    <t>Patache SOlar</t>
  </si>
  <si>
    <t>142</t>
  </si>
  <si>
    <t>Tarapacá 220 kV</t>
  </si>
  <si>
    <t>Doble Barra más barra de transferencia</t>
  </si>
  <si>
    <t>Covadonga Solar</t>
  </si>
  <si>
    <t>Sol de Huasco</t>
  </si>
  <si>
    <t>Guacolda-Maitencillo</t>
  </si>
  <si>
    <t>PMG Aurora</t>
  </si>
  <si>
    <t>Rungue 23 kV</t>
  </si>
  <si>
    <t>S/E Parinacota</t>
  </si>
  <si>
    <t>PV Bubblegum</t>
  </si>
  <si>
    <t>Barra Principal Nº1 - Barra Principal Nº2</t>
  </si>
  <si>
    <t>J13, J14 y J15</t>
  </si>
  <si>
    <t>Nuevo Alimentador Mallermo</t>
  </si>
  <si>
    <t>SE Alcones 23kV</t>
  </si>
  <si>
    <t>S/E Coronel 15 kV</t>
  </si>
  <si>
    <t>Parque Eólico Los Lagos</t>
  </si>
  <si>
    <t>J18, Diagonal 6</t>
  </si>
  <si>
    <t>PV Pineapple</t>
  </si>
  <si>
    <t>S/E Nueva Codegua 66 kV</t>
  </si>
  <si>
    <t>PV Blueberry</t>
  </si>
  <si>
    <t>S/E Punta de Cortes 66 kV</t>
  </si>
  <si>
    <t>Sección Nº2</t>
  </si>
  <si>
    <t>Nuevo Alimentador Huechuraba Bus 6, en S/E Recoleta</t>
  </si>
  <si>
    <t>Nuevo Alimentador Huechuraba Bus 4, en S/E Recoleta</t>
  </si>
  <si>
    <t>Nuevo Alimentador Huechuraba Bus 3, en S/E Recoleta</t>
  </si>
  <si>
    <t>Nuevo Alimentador Huechuraba Bus 1, en S/E Recoleta</t>
  </si>
  <si>
    <t>S/E Diego de Almagro 110 kV</t>
  </si>
  <si>
    <t>A</t>
  </si>
  <si>
    <t>nuevo</t>
  </si>
  <si>
    <t>12/12/2022 17:14:15</t>
  </si>
  <si>
    <t>Parque Fotovoltaico Parina Solar</t>
  </si>
  <si>
    <t>Calama Nueva 220</t>
  </si>
  <si>
    <t>1 y 2</t>
  </si>
  <si>
    <t>J13 / J14</t>
  </si>
  <si>
    <t>04/01/2023 20:03:05</t>
  </si>
  <si>
    <t>PMG Ouyike</t>
  </si>
  <si>
    <t>Nueva S/E Damascal 23 kV</t>
  </si>
  <si>
    <t>D1</t>
  </si>
  <si>
    <t>Nuevo Alimentador Peñalolén Bus 3, en S/E Macul</t>
  </si>
  <si>
    <t>Barra Principal N°1 y Barra Auxiliar N°1</t>
  </si>
  <si>
    <t>PMG Purpulheis</t>
  </si>
  <si>
    <t>S/E Pelequen 15 kV</t>
  </si>
  <si>
    <t>Nueva Barra 15 kV</t>
  </si>
  <si>
    <t>Rihue</t>
  </si>
  <si>
    <t>164</t>
  </si>
  <si>
    <t>Parque Eólico Renaico 220 kV</t>
  </si>
  <si>
    <t>La Cabaña Ampliación</t>
  </si>
  <si>
    <t>Nuevo Alimentador Peñalolén Bus2, en S/E Macul</t>
  </si>
  <si>
    <t>S/E Macul 110/12 kV</t>
  </si>
  <si>
    <t>Barra principal 1 y barra auxiliar 1</t>
  </si>
  <si>
    <t>"Nuevo Alimentador Peñalolén Bus1”, en S/E Macul</t>
  </si>
  <si>
    <t>PMG Quiani</t>
  </si>
  <si>
    <t>S/E Quiani</t>
  </si>
  <si>
    <t>Barra 13,8</t>
  </si>
  <si>
    <t>PMG Emekaú</t>
  </si>
  <si>
    <t>S/E Los Tambores 23 kV</t>
  </si>
  <si>
    <t>PMG Girl Scouts</t>
  </si>
  <si>
    <t>S/E Panguilemo 15 kV</t>
  </si>
  <si>
    <t>PMG Congo Viejo</t>
  </si>
  <si>
    <t>S/E Hualte 13,8 kV</t>
  </si>
  <si>
    <t>Nuevo Alimentador Huechuraba Bus 5 en S/E Chacabuco</t>
  </si>
  <si>
    <t>S/E Chacabuco 110/12kV</t>
  </si>
  <si>
    <t>Nuevo Alimentador Renca Bus 1, en S/E Pudahuel</t>
  </si>
  <si>
    <t>S/E Pudahuel 110/12kV</t>
  </si>
  <si>
    <t>Planta Solar Fotovoltaica Doña Antonia</t>
  </si>
  <si>
    <t>82.1</t>
  </si>
  <si>
    <t>Barra Principal 2 y Barra de Transferencia</t>
  </si>
  <si>
    <t>08/06/2022 12:30:46</t>
  </si>
  <si>
    <t>Nuevo Alimentador Pudahuel Bus 1</t>
  </si>
  <si>
    <t>Barra principal N°3 y auxiliar</t>
  </si>
  <si>
    <t>PFV OLMUE</t>
  </si>
  <si>
    <t>Lenergia Chile SpA</t>
  </si>
  <si>
    <t>S/E QUILLOTA 110 kV</t>
  </si>
  <si>
    <t>Olmué</t>
  </si>
  <si>
    <t>Parque Fotovoltaico Inti Pacha 3</t>
  </si>
  <si>
    <t>Kimal</t>
  </si>
  <si>
    <t>Nuevo Alimentador SE Agrosuper</t>
  </si>
  <si>
    <t>SE Agrosuper</t>
  </si>
  <si>
    <t>Parque Fotovoltaico Cerro Blanco</t>
  </si>
  <si>
    <t>Ampliación Tchamma</t>
  </si>
  <si>
    <t>17.5</t>
  </si>
  <si>
    <t>S/E Tchamma</t>
  </si>
  <si>
    <t>PFV Aceituno</t>
  </si>
  <si>
    <t>S/E Santa Filomena 220 kV</t>
  </si>
  <si>
    <t>PMG Jurema</t>
  </si>
  <si>
    <t>S/E Barro Blanco 23 kV</t>
  </si>
  <si>
    <t>PMG Puerto Dignidad</t>
  </si>
  <si>
    <t>PMG Virola</t>
  </si>
  <si>
    <t>S/E Mariquina 23 kV</t>
  </si>
  <si>
    <t>Barra Principal Nº1</t>
  </si>
  <si>
    <t>PMG Mapacho Solar</t>
  </si>
  <si>
    <t>PMG Chacruna</t>
  </si>
  <si>
    <t>S/E La Unión 13,2 kV</t>
  </si>
  <si>
    <t>52C6</t>
  </si>
  <si>
    <t>Parque Eólico Mocho</t>
  </si>
  <si>
    <t>S/E Valdivia 220kV</t>
  </si>
  <si>
    <t>Central Hidroeléctrica Rucalhue</t>
  </si>
  <si>
    <t>Rucalhue Energía SpA</t>
  </si>
  <si>
    <t>Media diagonal J19/J20</t>
  </si>
  <si>
    <t>02/08/2024 15:49:46</t>
  </si>
  <si>
    <t>PMG El Tesoro</t>
  </si>
  <si>
    <t>Andino Solar SpA</t>
  </si>
  <si>
    <t>S/E El Tesoro 23kV</t>
  </si>
  <si>
    <t>Collahuasi - Desaladora y Estación de Bombeo PS1</t>
  </si>
  <si>
    <t>S/E Tarapacá 220 kV</t>
  </si>
  <si>
    <t>Barra Principal sección 1</t>
  </si>
  <si>
    <t>02/2022</t>
  </si>
  <si>
    <t>18/12/2023 17:53:07</t>
  </si>
  <si>
    <t>PE Pichilingnue</t>
  </si>
  <si>
    <t>183</t>
  </si>
  <si>
    <t>Barra principal, sección N°1</t>
  </si>
  <si>
    <t>Toltén</t>
  </si>
  <si>
    <t>PFV Abedules</t>
  </si>
  <si>
    <t>81</t>
  </si>
  <si>
    <t>S/E Bollenar 110 kV</t>
  </si>
  <si>
    <t>Quintero Solar</t>
  </si>
  <si>
    <t>Línea Central Quinteros - San Luis 220 kV</t>
  </si>
  <si>
    <t>Parque Eólico Choshuenco</t>
  </si>
  <si>
    <t>S/E Lastarria 220kV</t>
  </si>
  <si>
    <t>PMG ACAB</t>
  </si>
  <si>
    <t>S/E Lihueimo 13,2 kV</t>
  </si>
  <si>
    <t>89C4</t>
  </si>
  <si>
    <t>Palmilla</t>
  </si>
  <si>
    <t>PMG Caldera</t>
  </si>
  <si>
    <t>Montajes Cielpanel SpA</t>
  </si>
  <si>
    <t>23kV MT</t>
  </si>
  <si>
    <t>PFV GENERADORA ATACAMA</t>
  </si>
  <si>
    <t>Espacios disponibles con barra tendida</t>
  </si>
  <si>
    <t>PMG Caldera 2</t>
  </si>
  <si>
    <t>Media tensión</t>
  </si>
  <si>
    <t>Golden Sun SpA</t>
  </si>
  <si>
    <t>Subestación Cumbre</t>
  </si>
  <si>
    <t>Parque FV Sol de Vallenar</t>
  </si>
  <si>
    <t>Algarrobal 220kV</t>
  </si>
  <si>
    <t>Barra 1 y barra 2</t>
  </si>
  <si>
    <t>J17 y J18</t>
  </si>
  <si>
    <t>07/06/2022 00:00:00</t>
  </si>
  <si>
    <t>06/2022</t>
  </si>
  <si>
    <t>Parque Solar Don Guillermo</t>
  </si>
  <si>
    <t>Nueva S/E Don Guillermo</t>
  </si>
  <si>
    <t>S/E Celulosa Pacífico</t>
  </si>
  <si>
    <t>Paño 220 kV</t>
  </si>
  <si>
    <t>PMG Crucero</t>
  </si>
  <si>
    <t>Paño de Conexión a Barra 23kV S/E Crucero</t>
  </si>
  <si>
    <t>SE Sta Teresa</t>
  </si>
  <si>
    <t>SE Nva Lampa 220 kV</t>
  </si>
  <si>
    <t>J7 y J9</t>
  </si>
  <si>
    <t>Alimentador N°3 - 12 kV</t>
  </si>
  <si>
    <t>Chilquinta Energía  S.A.</t>
  </si>
  <si>
    <t>S/E Bosquemar 110/12 kV</t>
  </si>
  <si>
    <t>Barra N°2 - 12 kV</t>
  </si>
  <si>
    <t>Paño H2, Alimentador C3</t>
  </si>
  <si>
    <t>Alimentador N°2 - 12 kV</t>
  </si>
  <si>
    <t>Paño H2, Alimentador C2, Para Construcción</t>
  </si>
  <si>
    <t>Alimentador N°5 - 12 kV</t>
  </si>
  <si>
    <t>S/E Placilla 110/12 kV</t>
  </si>
  <si>
    <t>Barra N°1 - 12 kV</t>
  </si>
  <si>
    <t>Paño H1, Alimentador C5, Para Construcción</t>
  </si>
  <si>
    <t>Alimentador N°4  - Lagunas  - 12 kV</t>
  </si>
  <si>
    <t>S/E Placilla 110 /12 kV</t>
  </si>
  <si>
    <t xml:space="preserve">Barra N°2 -12 kV </t>
  </si>
  <si>
    <t>Paño H1, Alimentador C4, para construcción</t>
  </si>
  <si>
    <t>PFV OLMUÉ</t>
  </si>
  <si>
    <t>S/E Quillota 110kV</t>
  </si>
  <si>
    <t>Parque Fotovoltaico El Encanto (EX Parque Fotovoltaico Estrella Solar)</t>
  </si>
  <si>
    <t>S/E Portezuelo 220</t>
  </si>
  <si>
    <t>02/05/2024 11:51:25</t>
  </si>
  <si>
    <t>Parque Eólico Rinconada</t>
  </si>
  <si>
    <t>Aes Gener S.A.</t>
  </si>
  <si>
    <t>258</t>
  </si>
  <si>
    <t>S/E Santa Clara</t>
  </si>
  <si>
    <t>La Tereña Solar</t>
  </si>
  <si>
    <t>Celulosa Pacífico</t>
  </si>
  <si>
    <t>Barra 3</t>
  </si>
  <si>
    <t>S/E Polpaico 220 kV</t>
  </si>
  <si>
    <t>Regularización Alimentador Electroterminal La Reina Bus 1 en Patio Abierto N°1 en 12 kV</t>
  </si>
  <si>
    <t>S/E Andes 110/12kV</t>
  </si>
  <si>
    <t>barra principal 1 y barra auxiliar</t>
  </si>
  <si>
    <t>PF AGUA BUENA</t>
  </si>
  <si>
    <t>Línea La Higuera – Tinguiririca 154kV</t>
  </si>
  <si>
    <t>BARRA PRINCIPAL 1</t>
  </si>
  <si>
    <t>Algarrobal MRP</t>
  </si>
  <si>
    <t>Barra N°1 y Barra N°2</t>
  </si>
  <si>
    <t>Parque Solar Santa Adriana</t>
  </si>
  <si>
    <t>PMG El Burro Solar</t>
  </si>
  <si>
    <t>S/E El Monte 13,2 kV</t>
  </si>
  <si>
    <t>Parque Fotovoltaico Sol de Vallenar</t>
  </si>
  <si>
    <t>Cox Energy PMGD SpA</t>
  </si>
  <si>
    <t>J17 J18</t>
  </si>
  <si>
    <t>PE El Almendro</t>
  </si>
  <si>
    <t>S/E Papelera Inforsa 220</t>
  </si>
  <si>
    <t>PMG El Mañas</t>
  </si>
  <si>
    <t>Parque Eólico Antillanca</t>
  </si>
  <si>
    <t>Antillanca 220 kV</t>
  </si>
  <si>
    <t>Parque Amolanas (Ex-Parque Punta Sierra II)</t>
  </si>
  <si>
    <t>PACIFIC HYDRO</t>
  </si>
  <si>
    <t>130.5</t>
  </si>
  <si>
    <t>Subestación Punta Sierra 220 Kv</t>
  </si>
  <si>
    <t>Barra N1 y N2</t>
  </si>
  <si>
    <t>Diagonal N3</t>
  </si>
  <si>
    <t>06/05/2024 00:00:00</t>
  </si>
  <si>
    <t>Parinas 220 kV</t>
  </si>
  <si>
    <t>J20 y J21</t>
  </si>
  <si>
    <t>Barra Principal Sección 2 y Barra de Transferencia</t>
  </si>
  <si>
    <t>Parinas 500 kV</t>
  </si>
  <si>
    <t>Parque Híbrido Pampa Fidelio</t>
  </si>
  <si>
    <t>620</t>
  </si>
  <si>
    <t>cto n°1: J16 y J17; cto n°2: J19 y J20</t>
  </si>
  <si>
    <t>Implementación Nuevo Paño de 13.2 KV SE Curicó</t>
  </si>
  <si>
    <t>Valentina Solar</t>
  </si>
  <si>
    <t>CVE Proyecto Cuarenta SpA</t>
  </si>
  <si>
    <t>04/08/2025 19:08:34</t>
  </si>
  <si>
    <t>Buganvilia</t>
  </si>
  <si>
    <t>El Manzano 15 kV</t>
  </si>
  <si>
    <t>Las Cabras</t>
  </si>
  <si>
    <t>QUILICURA TOTAL</t>
  </si>
  <si>
    <t>S/E Lampa 220kV</t>
  </si>
  <si>
    <t>J2-3</t>
  </si>
  <si>
    <t>PFV MELIPILLA LNG</t>
  </si>
  <si>
    <t>S/E MELIPILLA 110KV</t>
  </si>
  <si>
    <t>BARRA PRINCIPAL SECCION 1</t>
  </si>
  <si>
    <t>Altos de la Llanura (Ex-Apatama Solar)</t>
  </si>
  <si>
    <t xml:space="preserve"> San Carlos SpA</t>
  </si>
  <si>
    <t>464</t>
  </si>
  <si>
    <t>Barra Principal 2 -220 kV. En la posición de la 3ra y 4ta diagonal (de oeste a este)</t>
  </si>
  <si>
    <t>J9 y J12</t>
  </si>
  <si>
    <t>25/06/2025 17:14:11</t>
  </si>
  <si>
    <t>S/E Cumbre</t>
  </si>
  <si>
    <t>Agua Solar</t>
  </si>
  <si>
    <t>Energía de la Patagonia y Aysén SpA</t>
  </si>
  <si>
    <t>S/E Totoralillo 23kV</t>
  </si>
  <si>
    <t>Celda A03</t>
  </si>
  <si>
    <t>La Cabaña</t>
  </si>
  <si>
    <t>Enel Green Power del Sur SpA</t>
  </si>
  <si>
    <t>Parque Eólico Renaico</t>
  </si>
  <si>
    <t>Etapa 1 - Santa Teresa Data Center Campus</t>
  </si>
  <si>
    <t xml:space="preserve">Configuración interruptor y medio, media diagonal lado barra principal 1, </t>
  </si>
  <si>
    <t>Don Carlos</t>
  </si>
  <si>
    <t>228</t>
  </si>
  <si>
    <t>Barra A, diafonal 3, paño J7</t>
  </si>
  <si>
    <t>30/05/2024 17:14:56</t>
  </si>
  <si>
    <t>BESS La Collera (Ex Parque Eólico La Collera)</t>
  </si>
  <si>
    <t>Ingeniería e Inversiones ES SpA</t>
  </si>
  <si>
    <t>Tineo 220 kV</t>
  </si>
  <si>
    <t>Barra principal 1 y 2</t>
  </si>
  <si>
    <t>10/04/2025 17:11:17</t>
  </si>
  <si>
    <t>Los Muermos Costa</t>
  </si>
  <si>
    <t xml:space="preserve">Factor Energía S.A </t>
  </si>
  <si>
    <t>Barra Principal, Seccion 2</t>
  </si>
  <si>
    <t>15/10/2024 19:50:15</t>
  </si>
  <si>
    <t>Alico Solar</t>
  </si>
  <si>
    <t>S/E San Fabian 220kV</t>
  </si>
  <si>
    <t>Planta Solar Fotovoltaica Michay</t>
  </si>
  <si>
    <t>Generadora Michay SpA.</t>
  </si>
  <si>
    <t xml:space="preserve">PAJONALES - DON HECTOR </t>
  </si>
  <si>
    <t xml:space="preserve">Linea </t>
  </si>
  <si>
    <t>Bucalemu Solar</t>
  </si>
  <si>
    <t>S/E Bucalemu 66kV</t>
  </si>
  <si>
    <t>Verbena Solar SpA</t>
  </si>
  <si>
    <t>PFV Codegua</t>
  </si>
  <si>
    <t>114.6</t>
  </si>
  <si>
    <t>S/E Candelaria</t>
  </si>
  <si>
    <t>PMG TRENES</t>
  </si>
  <si>
    <t>Energías Victoria SpA.</t>
  </si>
  <si>
    <t>LT 1x44kV Punta Peuco - Principal Planta Polpaico</t>
  </si>
  <si>
    <t>Derivación (LT 1x44kV Punta Peuco - Polpaico)</t>
  </si>
  <si>
    <t>PFV MONTECARLO</t>
  </si>
  <si>
    <t>52.7</t>
  </si>
  <si>
    <t>S/E EL MANZANO 220 KV</t>
  </si>
  <si>
    <t>Parque Eólico Vientos del Pacífico</t>
  </si>
  <si>
    <t>Parque Eólico Vientos del Pacífico SpA</t>
  </si>
  <si>
    <t>Curanilahue Norte 66 kV</t>
  </si>
  <si>
    <t>B10</t>
  </si>
  <si>
    <t>30/12/2025 00:00:00</t>
  </si>
  <si>
    <t>Santa Margarita Solar</t>
  </si>
  <si>
    <t>Unión Solar SPA</t>
  </si>
  <si>
    <t>Monterrico 154kV (220kV)</t>
  </si>
  <si>
    <t>Subestación Eléctrica Traful</t>
  </si>
  <si>
    <t>29.8</t>
  </si>
  <si>
    <t>Línea Minero - Sewell</t>
  </si>
  <si>
    <t>Las Tejas Solar</t>
  </si>
  <si>
    <t>PMG Santa Luisa</t>
  </si>
  <si>
    <t>Graneros 15 kV</t>
  </si>
  <si>
    <t>Parque Eólico San Juan 1 Fase 2</t>
  </si>
  <si>
    <t>Latin America Power</t>
  </si>
  <si>
    <t>134.3</t>
  </si>
  <si>
    <t>S/E CENTRAL PARQUE EOLICO SAN JUAN</t>
  </si>
  <si>
    <t>06/02/2025 12:04:16</t>
  </si>
  <si>
    <t>Llanos de Marañón 2</t>
  </si>
  <si>
    <t>432</t>
  </si>
  <si>
    <t>30/05/2024 17:52:18</t>
  </si>
  <si>
    <t>Parque Eólico Coliumo</t>
  </si>
  <si>
    <t>S/E Dichato 220</t>
  </si>
  <si>
    <t>ERNC Rapel</t>
  </si>
  <si>
    <t>S/E Quelentaro</t>
  </si>
  <si>
    <t>Génesis Solar</t>
  </si>
  <si>
    <t>Polpaico 23 kV</t>
  </si>
  <si>
    <t>Parque Eólico Fénix ( Ex PE Maqui)</t>
  </si>
  <si>
    <t>Parque Eólico Maqui SpA</t>
  </si>
  <si>
    <t>S/E Epuleufu 220 kV</t>
  </si>
  <si>
    <t>02/08/2024 15:42:11</t>
  </si>
  <si>
    <t>COP Torcaza</t>
  </si>
  <si>
    <t>Línea 66 KV LLamara</t>
  </si>
  <si>
    <t>Barra tap-off Llamara NUeva Victoria</t>
  </si>
  <si>
    <t>Tap-off Llamara Nueva Victoria</t>
  </si>
  <si>
    <t>Lucía Solar</t>
  </si>
  <si>
    <t>S/E SANTIAGO SOLAR</t>
  </si>
  <si>
    <t xml:space="preserve">BARRA N°1			</t>
  </si>
  <si>
    <t>18/06/2024 15:10:21</t>
  </si>
  <si>
    <t>AR PANIMAVIDA SOLAR</t>
  </si>
  <si>
    <t>Línea COLBUN-MACHICURA 220kV</t>
  </si>
  <si>
    <t xml:space="preserve">Tap Off </t>
  </si>
  <si>
    <t>PFV Quilicura Total</t>
  </si>
  <si>
    <t>Lampa 220kV</t>
  </si>
  <si>
    <t>Barra principal, Acopladora</t>
  </si>
  <si>
    <t>PSF Pataguilla</t>
  </si>
  <si>
    <t>9.0</t>
  </si>
  <si>
    <t>Línea Carena - Puente Alto CMPC 44 kV</t>
  </si>
  <si>
    <t>Pataguilla</t>
  </si>
  <si>
    <t>Tap off en punto de conexión</t>
  </si>
  <si>
    <t>Alimentador Bucalemu 13,2 kV</t>
  </si>
  <si>
    <t>Cooperativa Eléctrica Charrúa Ltda.</t>
  </si>
  <si>
    <t>Bucalemu</t>
  </si>
  <si>
    <t>Nuevo Paño E4</t>
  </si>
  <si>
    <t>11/2021</t>
  </si>
  <si>
    <t>Parque Híbrido Punta Sierra II</t>
  </si>
  <si>
    <t>204.5</t>
  </si>
  <si>
    <t>Subestación Punta Sierra 220 kV</t>
  </si>
  <si>
    <t>La Ligua Solar</t>
  </si>
  <si>
    <t>La Ligua 220 kV</t>
  </si>
  <si>
    <t>Chicha Solar</t>
  </si>
  <si>
    <t>SOLAR TI VEINTIDÓS SpA</t>
  </si>
  <si>
    <t>20/08/2024 16:39:07</t>
  </si>
  <si>
    <t>PMG Nocedal</t>
  </si>
  <si>
    <t>EL TAMBILLO</t>
  </si>
  <si>
    <t>EL PEÑÓN</t>
  </si>
  <si>
    <t>BARRA SIMPLE BA</t>
  </si>
  <si>
    <t>San Rafael Solar</t>
  </si>
  <si>
    <t>Linea Polpaico - Las Tórtolas</t>
  </si>
  <si>
    <t>K17 y K18</t>
  </si>
  <si>
    <t>Andino La Esperanza 2</t>
  </si>
  <si>
    <t>S/E La Esperanza 66kV</t>
  </si>
  <si>
    <t>Ampliación barra principal</t>
  </si>
  <si>
    <t>PFV Tabali</t>
  </si>
  <si>
    <t>Ampliacion Barra 1</t>
  </si>
  <si>
    <t>Terra Parinas ( Ex-Paposo y PE Poposo)</t>
  </si>
  <si>
    <t xml:space="preserve">Parinas, Obra Decreto N° 4 2019				</t>
  </si>
  <si>
    <t>Disponible</t>
  </si>
  <si>
    <t>25/11/2022 22:32:48</t>
  </si>
  <si>
    <t>PFV Caleu 9 MW</t>
  </si>
  <si>
    <t>GR Piñol SpA</t>
  </si>
  <si>
    <t xml:space="preserve">SE Cristalerias </t>
  </si>
  <si>
    <t>Barra 12 kV</t>
  </si>
  <si>
    <t>Parque Eólico Cascabel</t>
  </si>
  <si>
    <t>Santa Emilia</t>
  </si>
  <si>
    <t>Planta Solar La Cabrería SpA</t>
  </si>
  <si>
    <t>Pozo Almonte 220 kV</t>
  </si>
  <si>
    <t>Proyecto Planta Desalinizadora Aconcagua</t>
  </si>
  <si>
    <t>11/08/2021 00:00:00</t>
  </si>
  <si>
    <t>Seccionadora Lo Aguirre</t>
  </si>
  <si>
    <t>PMG Don Juve</t>
  </si>
  <si>
    <t xml:space="preserve">Parque Eólico Polcura </t>
  </si>
  <si>
    <t>S/E La Pólvora</t>
  </si>
  <si>
    <t>Hidroeléctrica Piedras Negras</t>
  </si>
  <si>
    <t>Hidroeléctrica Piedras Negras SpA.</t>
  </si>
  <si>
    <t>Línea Punta del Viento</t>
  </si>
  <si>
    <t>Conexión en línea</t>
  </si>
  <si>
    <t>10/2021</t>
  </si>
  <si>
    <t>PROYECTO DE CONEXIÓN DE LÍNEA 7 DE METRO  DE SANTIAGO A S/E CERRO NAVIA</t>
  </si>
  <si>
    <t>Empresa de Transporte de Pasajeros Metro S.A.</t>
  </si>
  <si>
    <t>S/E Cerro Navia 220 kV</t>
  </si>
  <si>
    <t>Barra Principal, sección 1 y sección 2</t>
  </si>
  <si>
    <t>J1 y J2 (Ex-JT8 y JT9)</t>
  </si>
  <si>
    <t>08/02/2024 14:32:34</t>
  </si>
  <si>
    <t>Mariposa</t>
  </si>
  <si>
    <t>Paño E9</t>
  </si>
  <si>
    <t>PMG Peyote Solar</t>
  </si>
  <si>
    <t>S/E Totoralillo (CAP CMP) 23 kV</t>
  </si>
  <si>
    <t>PMG Aguacolla</t>
  </si>
  <si>
    <t>S/E Coloso 13,8 kV</t>
  </si>
  <si>
    <t>Parque Frontera Solar</t>
  </si>
  <si>
    <t>Inversiones Frontera Solar SpA</t>
  </si>
  <si>
    <t>Parque Kimal Solar</t>
  </si>
  <si>
    <t>228.6</t>
  </si>
  <si>
    <t>A ambas barras (interruptor y medio)</t>
  </si>
  <si>
    <t>J23/J24</t>
  </si>
  <si>
    <t>S/E Las Tórtolas 23kV</t>
  </si>
  <si>
    <t>PMG Tunca</t>
  </si>
  <si>
    <t>S/E Fuentecilla 15kV</t>
  </si>
  <si>
    <t>Barra 15kV</t>
  </si>
  <si>
    <t>SGT Arañas</t>
  </si>
  <si>
    <t>SAGITTAR SpA</t>
  </si>
  <si>
    <t>Las Arañas</t>
  </si>
  <si>
    <t>Nuevo Paño 110kV</t>
  </si>
  <si>
    <t>HP Rucacura</t>
  </si>
  <si>
    <t>Linea 1x23 KV Rucacura-Mampil</t>
  </si>
  <si>
    <t>S/E Mampil SSAA TU2-1</t>
  </si>
  <si>
    <t>58.2</t>
  </si>
  <si>
    <t>S/E Palpana (ex S/E PV Coya 678)</t>
  </si>
  <si>
    <t>ERNC El Molino</t>
  </si>
  <si>
    <t>Las Vegas 110kV</t>
  </si>
  <si>
    <t>FV ENCÉDALO</t>
  </si>
  <si>
    <t>PSF Don Humberto</t>
  </si>
  <si>
    <t>S/E Punta Peuco</t>
  </si>
  <si>
    <t>Barra principal simple</t>
  </si>
  <si>
    <t>Rivera Solar</t>
  </si>
  <si>
    <t>BP2</t>
  </si>
  <si>
    <t>Nuevo Paño J24</t>
  </si>
  <si>
    <t>Templo del Sol</t>
  </si>
  <si>
    <t xml:space="preserve">S/E Monte Mina 220 kV (ex Likanantai) </t>
  </si>
  <si>
    <t>ambas</t>
  </si>
  <si>
    <t>El Chequén</t>
  </si>
  <si>
    <t>Barra Principal 23 kV N°3</t>
  </si>
  <si>
    <t>PV Cornezuelo</t>
  </si>
  <si>
    <t>TARAPACÁ 220 kV</t>
  </si>
  <si>
    <t>BARRA Nº 1</t>
  </si>
  <si>
    <t>Tucúquere</t>
  </si>
  <si>
    <t>Barra principal n° 2</t>
  </si>
  <si>
    <t>Rosa Solar</t>
  </si>
  <si>
    <t>S/E Portezuelo 220 KV</t>
  </si>
  <si>
    <t>PFV Parral</t>
  </si>
  <si>
    <t>SE Parral 154 kV</t>
  </si>
  <si>
    <t>Barra 154</t>
  </si>
  <si>
    <t>Nuevo paño 154 KV</t>
  </si>
  <si>
    <t>MANTOS BLANCOS DEBOTTLENECKING PROJECT (Aumento de Carga SE MB)</t>
  </si>
  <si>
    <t>49</t>
  </si>
  <si>
    <t>Mantos Blancos</t>
  </si>
  <si>
    <t>Parque Eólico San Juan 2</t>
  </si>
  <si>
    <t>PFV Imilac</t>
  </si>
  <si>
    <t>26/12/2025 00:00:00</t>
  </si>
  <si>
    <t>La Hornilla</t>
  </si>
  <si>
    <t xml:space="preserve">La Hornilla SpA </t>
  </si>
  <si>
    <t>SE Candelaria 220 kV</t>
  </si>
  <si>
    <t>J14 - J15 central</t>
  </si>
  <si>
    <t>20/08/2025 00:00:00</t>
  </si>
  <si>
    <t>Energías Ucuquer Dos S.A.</t>
  </si>
  <si>
    <t>PFV Picarquin</t>
  </si>
  <si>
    <t>Nueva Codegua 66kV</t>
  </si>
  <si>
    <t>PMG Llancay</t>
  </si>
  <si>
    <t>Solar TI Treinta y Cuatro SpA</t>
  </si>
  <si>
    <t>El Peumo 23 kV</t>
  </si>
  <si>
    <t>27/12/2021 00:00:00</t>
  </si>
  <si>
    <t>03/2022</t>
  </si>
  <si>
    <t>El Principal</t>
  </si>
  <si>
    <t>ERNC Tarapacá (Ex ERNC Loa)</t>
  </si>
  <si>
    <t>Ibereólica Loa SpA</t>
  </si>
  <si>
    <t>510</t>
  </si>
  <si>
    <t>Por definir en función a la ampliación decretada</t>
  </si>
  <si>
    <t>10/11/2025 00:00:00</t>
  </si>
  <si>
    <t>PMG El Bautizo</t>
  </si>
  <si>
    <t>S/E Polpaico (Enel Distribución)</t>
  </si>
  <si>
    <t>Nuevo alimentador SE Los Canelos</t>
  </si>
  <si>
    <t>1.1</t>
  </si>
  <si>
    <t>S/E Montenegro 13 kV</t>
  </si>
  <si>
    <t>proyecto en construcción</t>
  </si>
  <si>
    <t>PS Maranon</t>
  </si>
  <si>
    <t>SE Vallenar</t>
  </si>
  <si>
    <t>26/12/2023 16:57:28</t>
  </si>
  <si>
    <t>Proyecto Fotovoltaico Andino El Lagarto</t>
  </si>
  <si>
    <t>Planta MDP Teno - Teno 154 kV</t>
  </si>
  <si>
    <t>Tap Off 1x154 kV Planta MDP Teno - Teno</t>
  </si>
  <si>
    <t>A1</t>
  </si>
  <si>
    <t>CAMARICO WIND FARM</t>
  </si>
  <si>
    <t>Camarico Wind Farm SpA</t>
  </si>
  <si>
    <t>37.4</t>
  </si>
  <si>
    <t>PUNTA SIERRA</t>
  </si>
  <si>
    <t>Barra N°1 y N°2</t>
  </si>
  <si>
    <t>PAÑO 2</t>
  </si>
  <si>
    <t>PMG Colihue del Verano</t>
  </si>
  <si>
    <t>Parque FV Portezuelo</t>
  </si>
  <si>
    <t xml:space="preserve">Portezuelo SpA </t>
  </si>
  <si>
    <t>121.5</t>
  </si>
  <si>
    <t>S/E Portezuelo 220kV</t>
  </si>
  <si>
    <t>04/11/2024 00:00:00</t>
  </si>
  <si>
    <t>PFV Zaldivar</t>
  </si>
  <si>
    <t>S/E Nueva Zaldivar</t>
  </si>
  <si>
    <t>Linea 1x220KV Don Goyo - El Arrayan (STD)</t>
  </si>
  <si>
    <t>Barra principal + transferencia</t>
  </si>
  <si>
    <t>PARQUE FOTOVOLTAICO ANDINO LAS PATAGUAS ETAPA 2</t>
  </si>
  <si>
    <t>PS Hijuelas</t>
  </si>
  <si>
    <t>10/06/2024 00:00:00</t>
  </si>
  <si>
    <t>Hernán Fuentes Solar</t>
  </si>
  <si>
    <t>Hernán Fuentes 110 kV</t>
  </si>
  <si>
    <t>H2 (Propuesto)</t>
  </si>
  <si>
    <t>Parque Fotovoltaico Andino Sur Etapa 2</t>
  </si>
  <si>
    <t>S/E Seccionadora Mataquito 220 kV</t>
  </si>
  <si>
    <t>Curepto</t>
  </si>
  <si>
    <t>Parque Fotovoltaico Arica 1</t>
  </si>
  <si>
    <t>49.9</t>
  </si>
  <si>
    <t>Barra principal 66 kV</t>
  </si>
  <si>
    <t>13/12/2021 00:00:00</t>
  </si>
  <si>
    <t>Cala Morritos Power SpA</t>
  </si>
  <si>
    <t>S/E PUNTA SIERRA 220KV</t>
  </si>
  <si>
    <t>BARRA 1 Y 2</t>
  </si>
  <si>
    <t>05/07/2023 00:00:00</t>
  </si>
  <si>
    <t>Pampa Unión SpA.</t>
  </si>
  <si>
    <t>Centinela 220</t>
  </si>
  <si>
    <t>J14/J15</t>
  </si>
  <si>
    <t>31/03/2023 15:29:23</t>
  </si>
  <si>
    <t>Suministro de Agua Desalinizada Distrito Norte - Cordillera</t>
  </si>
  <si>
    <t>31.8</t>
  </si>
  <si>
    <t>1x220 kV Crucero - Radomiro Tomic</t>
  </si>
  <si>
    <t>Nueva Subestación en configuración anillo</t>
  </si>
  <si>
    <t>Suministro de Agua Desalinizada Distrito Norte - Costa</t>
  </si>
  <si>
    <t>78.7</t>
  </si>
  <si>
    <t>Tamaya</t>
  </si>
  <si>
    <t>Likana CSP</t>
  </si>
  <si>
    <t>Likana Solar SpA</t>
  </si>
  <si>
    <t>17/02/2023 13:17:42</t>
  </si>
  <si>
    <t>Conexión Alimentador COPELEC a SE Los Canelos</t>
  </si>
  <si>
    <t>SE Los Canelos</t>
  </si>
  <si>
    <t>PMG Las Quebradas</t>
  </si>
  <si>
    <t>Barra Nº2 12 kV</t>
  </si>
  <si>
    <t>Nuevo Alimentador Los Barriales en 13.2 KV desde SE Chillán</t>
  </si>
  <si>
    <t>S/E Chillán 13,2 kV</t>
  </si>
  <si>
    <t>Paño MT ubicado aguas abajo del T4 de SE Chillán donde se ubican las Barras 52C2-52C4</t>
  </si>
  <si>
    <t>24/08/2021 00:00:00</t>
  </si>
  <si>
    <t>SS 9 DA</t>
  </si>
  <si>
    <t>COIHUE SpA</t>
  </si>
  <si>
    <t>Terciario AT4</t>
  </si>
  <si>
    <t>Domo Solar</t>
  </si>
  <si>
    <t>Nuevo Paño J6</t>
  </si>
  <si>
    <t>Actualizacion PE Calama</t>
  </si>
  <si>
    <t>9.4</t>
  </si>
  <si>
    <t>Subestacion Tapoff Oasis (linea Jama-Calama 1x220 kV)</t>
  </si>
  <si>
    <t>J1|</t>
  </si>
  <si>
    <t>Nuevo alimentador 52E3 SE Llaima</t>
  </si>
  <si>
    <t>S/E Llaima 23 kV</t>
  </si>
  <si>
    <t>Proyecto en desarrollo</t>
  </si>
  <si>
    <t xml:space="preserve">CONSTRUCCIÓN NUEVO PAÑO 13,2 KV (Nuevo Alimentador SE Curicó) </t>
  </si>
  <si>
    <t xml:space="preserve">Curicó </t>
  </si>
  <si>
    <t>BARRA 3</t>
  </si>
  <si>
    <t>C12</t>
  </si>
  <si>
    <t>Nuevo Alimentador 52E2 SE Llaima</t>
  </si>
  <si>
    <t>proyecto en etapa de diseño</t>
  </si>
  <si>
    <t xml:space="preserve">Nuevo Alimentador SE Llaima </t>
  </si>
  <si>
    <t>proyecto en desarrollo</t>
  </si>
  <si>
    <t>PROYECTO INEUSOL II</t>
  </si>
  <si>
    <t>KPF SpA</t>
  </si>
  <si>
    <t>5.1</t>
  </si>
  <si>
    <t>SUBESTACION RUCASOL 110 [kV]</t>
  </si>
  <si>
    <t>Librillo Solar</t>
  </si>
  <si>
    <t>118</t>
  </si>
  <si>
    <t>SE Conejo 220 KV</t>
  </si>
  <si>
    <t>Paño Transformador numero 2</t>
  </si>
  <si>
    <t>14/12/2022 08:57:00</t>
  </si>
  <si>
    <t>Codegua Solar</t>
  </si>
  <si>
    <t>Seccionadora Codegua</t>
  </si>
  <si>
    <t>Caldera Solar</t>
  </si>
  <si>
    <t>S/E Caldera 110kV</t>
  </si>
  <si>
    <t>PMG Peñón Solar</t>
  </si>
  <si>
    <t>S/E Las Piedras</t>
  </si>
  <si>
    <t>Fuenzalida Solar</t>
  </si>
  <si>
    <t>S/E Los Colorados 110 kV</t>
  </si>
  <si>
    <t>Estación de Bombeo PS2</t>
  </si>
  <si>
    <t>S/E Geoglifos</t>
  </si>
  <si>
    <t>J7 y J8, por definir</t>
  </si>
  <si>
    <t>SGT Cholguan</t>
  </si>
  <si>
    <t>S/E Cholguan</t>
  </si>
  <si>
    <t>LT 1x220 kV Polpaico Santa Filomena</t>
  </si>
  <si>
    <t>Seccionamiento BP más BT</t>
  </si>
  <si>
    <t>Parque Eólico Pucara</t>
  </si>
  <si>
    <t>PE Kurruf</t>
  </si>
  <si>
    <t>Laja 1 - Tap El Rosal 220 kV</t>
  </si>
  <si>
    <t>PMG San Marcos (ex-PMG Copihue)</t>
  </si>
  <si>
    <t>25/08/2021 00:00:00</t>
  </si>
  <si>
    <t>Parque Solar Fotovoltaico Potrero Grande</t>
  </si>
  <si>
    <t>S/E Nueva Aldea 66 kV</t>
  </si>
  <si>
    <t>Planta Solar La Hornilla</t>
  </si>
  <si>
    <t>195</t>
  </si>
  <si>
    <t>Parque Eólico Los Pellines</t>
  </si>
  <si>
    <t>Tegualda SpA</t>
  </si>
  <si>
    <t>190.4</t>
  </si>
  <si>
    <t>S/E Frutillar Norte 220kV</t>
  </si>
  <si>
    <t>Paño disponible (Barra J7-J8) central</t>
  </si>
  <si>
    <t>Barras simple</t>
  </si>
  <si>
    <t>Paño disponible (Barra) J7-J8 central</t>
  </si>
  <si>
    <t>Inversiones La Frontera Sur Spa</t>
  </si>
  <si>
    <t>PMG Caleu</t>
  </si>
  <si>
    <t>CRISTALERIAS</t>
  </si>
  <si>
    <t>PMG St. George Solar</t>
  </si>
  <si>
    <t>S/E Casablanca 12 kV</t>
  </si>
  <si>
    <t>PMG Viñedo Solar</t>
  </si>
  <si>
    <t>S/E Casablanca 12kV</t>
  </si>
  <si>
    <t>PMG Calderaza</t>
  </si>
  <si>
    <t>Manzano Solar Spa</t>
  </si>
  <si>
    <t>Alimentador 23 kV Nº 7</t>
  </si>
  <si>
    <t>El Maiten Solar</t>
  </si>
  <si>
    <t>Panquilemo (FFCC) 66kV</t>
  </si>
  <si>
    <t>Atacama Solar Fase III</t>
  </si>
  <si>
    <t xml:space="preserve">S/E Matilla 220 kV </t>
  </si>
  <si>
    <t>BARRA PRINCIPAL, SECCIÓN 1</t>
  </si>
  <si>
    <t>Paño por construirse</t>
  </si>
  <si>
    <t>25/10/2022 17:17:22</t>
  </si>
  <si>
    <t>Alimentador Las Vertientes (Alimentador N°2)</t>
  </si>
  <si>
    <t>S/E Nueva Panquehue</t>
  </si>
  <si>
    <t>Alimentador N°2</t>
  </si>
  <si>
    <t>Alimentador Lo Campo (Alimentador N°1)</t>
  </si>
  <si>
    <t>Alimentador N°1</t>
  </si>
  <si>
    <t>Condoroma Solar</t>
  </si>
  <si>
    <t>S/E Nueva San Rafael</t>
  </si>
  <si>
    <t>Parque Solar Fotovoltaico Colina</t>
  </si>
  <si>
    <t>Punta Peuco 110 kV</t>
  </si>
  <si>
    <t>H6, por definir</t>
  </si>
  <si>
    <t>Parque Eólico Vientos del Lago</t>
  </si>
  <si>
    <t>j7</t>
  </si>
  <si>
    <t>01/09/2025 11:33:24</t>
  </si>
  <si>
    <t>Tagua Tagua Solar</t>
  </si>
  <si>
    <t>B5 (Propuesto)</t>
  </si>
  <si>
    <t>Villucura Solar</t>
  </si>
  <si>
    <t>JMA</t>
  </si>
  <si>
    <t>Alcones Solar</t>
  </si>
  <si>
    <t>Alcones 66 kV</t>
  </si>
  <si>
    <t>B2 (Propuesto)</t>
  </si>
  <si>
    <t>Portezuelo Solar</t>
  </si>
  <si>
    <t>B3 (Propuesto)</t>
  </si>
  <si>
    <t>Quinquimo Solar</t>
  </si>
  <si>
    <t>H4 (Propuesto)</t>
  </si>
  <si>
    <t>PFV CASAS DE CHACABUCO</t>
  </si>
  <si>
    <t>Punta Peuco 110kV</t>
  </si>
  <si>
    <t>Barra Principal|</t>
  </si>
  <si>
    <t xml:space="preserve">Peñón Gas </t>
  </si>
  <si>
    <t>S/E El Peñon, 23 kV</t>
  </si>
  <si>
    <t>Por Construir</t>
  </si>
  <si>
    <t>Andino Longotoma (Ex-Andino La Ligua)</t>
  </si>
  <si>
    <t>26/03/2024 18:55:20</t>
  </si>
  <si>
    <t>PE ANDINO EPULEUFU</t>
  </si>
  <si>
    <t>Nueva S/E Seccionadora Epuleufu</t>
  </si>
  <si>
    <t>PMG Cereza Solar</t>
  </si>
  <si>
    <t>Esmeralda Spa</t>
  </si>
  <si>
    <t>S/E Polpaico (Enel Distribución) 23 kV</t>
  </si>
  <si>
    <t>PV Amanita</t>
  </si>
  <si>
    <t>S/E LO PRADO</t>
  </si>
  <si>
    <t>Copequén Solar</t>
  </si>
  <si>
    <t>Punta de Cortés</t>
  </si>
  <si>
    <t>Coínco</t>
  </si>
  <si>
    <t>Choapa Solar</t>
  </si>
  <si>
    <t>S/E Choapa</t>
  </si>
  <si>
    <t>por definir (H6)</t>
  </si>
  <si>
    <t>PMG CONDOR EL MONTE</t>
  </si>
  <si>
    <t>S/E El Monte</t>
  </si>
  <si>
    <t>El Monte</t>
  </si>
  <si>
    <t>Nuevo Alimentador SE Quellón</t>
  </si>
  <si>
    <t>Sociedad Austral de Electricidad S.A.</t>
  </si>
  <si>
    <t>S/E Quellón</t>
  </si>
  <si>
    <t>barra principal 23 kV</t>
  </si>
  <si>
    <t>52E5</t>
  </si>
  <si>
    <t>Quellón</t>
  </si>
  <si>
    <t>Nuevo Alimentador SE El Empalme</t>
  </si>
  <si>
    <t>S/E El Empalme 23 kV</t>
  </si>
  <si>
    <t>Barra Tubular de Cobre #1 1/2"</t>
  </si>
  <si>
    <t>Alimentador 52E3 SE Enlace Imperial</t>
  </si>
  <si>
    <t>Enlace Imperial</t>
  </si>
  <si>
    <t>01/02/2022 12:28:06</t>
  </si>
  <si>
    <t>PV El Oasis 50 MW</t>
  </si>
  <si>
    <t>S/E Casas Viejas 110 kV</t>
  </si>
  <si>
    <t>Patio 110 kV</t>
  </si>
  <si>
    <t>Zapallar</t>
  </si>
  <si>
    <t>Central Sol del Loa</t>
  </si>
  <si>
    <t>J10 (se podría redefinir luego licitación y la ingeniería del adjudicado)</t>
  </si>
  <si>
    <t>16/01/2026 15:31:19</t>
  </si>
  <si>
    <t>PE ANDINO ANGOL</t>
  </si>
  <si>
    <t>AMPLIACIÓN EN S/E ANGOL 66 KV (BS) (DO Nº 171 PLAN DE EXPANSIÓN 2019)</t>
  </si>
  <si>
    <t>Parque Solar Raulí</t>
  </si>
  <si>
    <t>Empresa Eléctrica Raulí SpA</t>
  </si>
  <si>
    <t xml:space="preserve">Transmisora Continental Bio Bio </t>
  </si>
  <si>
    <t xml:space="preserve">en derivación </t>
  </si>
  <si>
    <t>En derivación con Línea TCBB- El Pinar</t>
  </si>
  <si>
    <t>04/2022</t>
  </si>
  <si>
    <t>Parque Solar Ciprés</t>
  </si>
  <si>
    <t>Empresa Eléctrica Ciprés SpA</t>
  </si>
  <si>
    <t>Transmisora Continental Bio Bio</t>
  </si>
  <si>
    <t>En derivación con Línea-El Pinar</t>
  </si>
  <si>
    <t xml:space="preserve">Parque Solar Guindo Santo </t>
  </si>
  <si>
    <t>Empresa Eléctrica Guindo Santo SpA</t>
  </si>
  <si>
    <t xml:space="preserve">En derivación con Línea TCBB-El Pinar </t>
  </si>
  <si>
    <t>Parque Solar Peumo Yungay</t>
  </si>
  <si>
    <t>Empresa Eléctrica Peumo SpA</t>
  </si>
  <si>
    <t>En derivación con Línea TCBB-El Pinar</t>
  </si>
  <si>
    <t>SE Peñablanca</t>
  </si>
  <si>
    <t>BARRA 12 KV TRANSFERENCIA</t>
  </si>
  <si>
    <t>PATIO 12 KV</t>
  </si>
  <si>
    <t>PMG Caleu Solar</t>
  </si>
  <si>
    <t>SE Cristalerías</t>
  </si>
  <si>
    <t>Patio 12 kV</t>
  </si>
  <si>
    <t>Calate</t>
  </si>
  <si>
    <t>210.8</t>
  </si>
  <si>
    <t>S/E Frontera</t>
  </si>
  <si>
    <t>Conexión Alimentador 52E2 SE Enlace Imperial</t>
  </si>
  <si>
    <t>S/E Enlace Imperial</t>
  </si>
  <si>
    <t>01/02/2022 12:35:23</t>
  </si>
  <si>
    <t>Parque Eólico Topoloa sur</t>
  </si>
  <si>
    <t xml:space="preserve">S/E Frontera 220 kV </t>
  </si>
  <si>
    <t>Entre J23 y J24</t>
  </si>
  <si>
    <t>Parque Eólico Topoloa norte</t>
  </si>
  <si>
    <t>Entre J26 y J27</t>
  </si>
  <si>
    <t>Parque Solar Santa Fé</t>
  </si>
  <si>
    <t>Seccionadora Ana María</t>
  </si>
  <si>
    <t>Futuro</t>
  </si>
  <si>
    <t>Tabalí Solar</t>
  </si>
  <si>
    <t>Free Power SpA</t>
  </si>
  <si>
    <t>Don goyo</t>
  </si>
  <si>
    <t>Barrueto Solar</t>
  </si>
  <si>
    <t>RALCO - CHARRÚA 220 kV</t>
  </si>
  <si>
    <t>BARRA N°2</t>
  </si>
  <si>
    <t>J3 Y J6</t>
  </si>
  <si>
    <t>Larqui</t>
  </si>
  <si>
    <t>Ninhue Solar</t>
  </si>
  <si>
    <t>34</t>
  </si>
  <si>
    <t>Hualte</t>
  </si>
  <si>
    <t>Socompa Solar</t>
  </si>
  <si>
    <t>08/08/2023 16:29:06</t>
  </si>
  <si>
    <t>Parque Eólico La Pincoya</t>
  </si>
  <si>
    <t>J3 (Referencial)</t>
  </si>
  <si>
    <t>Hidroeléctrica Punta del Viento</t>
  </si>
  <si>
    <t>Hidroeléctrica Punta del Viento SpA</t>
  </si>
  <si>
    <t>Barra SM Corrales 23 kv</t>
  </si>
  <si>
    <t>Paño SM Corrales</t>
  </si>
  <si>
    <t>Parque Solar Fotovoltaico Casablanca</t>
  </si>
  <si>
    <t>Pisco Solar II</t>
  </si>
  <si>
    <t>PE ANDINO HUICHAHUE</t>
  </si>
  <si>
    <t>Nueva S/E Seccionadora Cerros de Huichahue 220 Kv</t>
  </si>
  <si>
    <t>Parque Fotovoltaico El Manzano</t>
  </si>
  <si>
    <t>89.44</t>
  </si>
  <si>
    <t>S/E El Manzano</t>
  </si>
  <si>
    <t>JT5</t>
  </si>
  <si>
    <t>Parque Fotovoltaico Cartagena</t>
  </si>
  <si>
    <t>145</t>
  </si>
  <si>
    <t>S/E Loica</t>
  </si>
  <si>
    <t>PMG Caliche</t>
  </si>
  <si>
    <t>Solar TI Veintitrés SpA</t>
  </si>
  <si>
    <t>S/E Encuentro 23 kV</t>
  </si>
  <si>
    <t>17/02/2022 00:00:00</t>
  </si>
  <si>
    <t>Yerba Loca Solar (Ex-Cabildo Solar)</t>
  </si>
  <si>
    <t>S/E Cabildo 110 kV</t>
  </si>
  <si>
    <t>H2 (PROPUESTO)</t>
  </si>
  <si>
    <t>03/12/2025 00:00:00</t>
  </si>
  <si>
    <t xml:space="preserve">SUBESTACIÓN SECCIONADORA EL CHACAY 220 KV						</t>
  </si>
  <si>
    <t xml:space="preserve">LT 2X220 KV QUILLOTA LOS PIUQUENES			</t>
  </si>
  <si>
    <t>Torquemada Solar</t>
  </si>
  <si>
    <t>Torquemada</t>
  </si>
  <si>
    <t>Por definir (H9 Propuesto)</t>
  </si>
  <si>
    <t>Limache</t>
  </si>
  <si>
    <t>Costa Mar</t>
  </si>
  <si>
    <t>Sigma Energía SpA</t>
  </si>
  <si>
    <t>S/E Lagunillas en 220kV</t>
  </si>
  <si>
    <t>19/01/2024 17:43:26</t>
  </si>
  <si>
    <t>Parque Eólico La Pólvora</t>
  </si>
  <si>
    <t>La Pólvora 220 kV</t>
  </si>
  <si>
    <t>PARQUE FOTOVOLTAICO ANDINO MALVILLA</t>
  </si>
  <si>
    <t>162</t>
  </si>
  <si>
    <t>SE San Antonio 110 kV</t>
  </si>
  <si>
    <t>Nuevo alimentador 23 kV SE Frutillar</t>
  </si>
  <si>
    <t>Frutillar 23 kV</t>
  </si>
  <si>
    <t>Barra principal, 800 (A)</t>
  </si>
  <si>
    <t>Pisco Solar</t>
  </si>
  <si>
    <t>23/05/2025 00:00:00</t>
  </si>
  <si>
    <t>PMG Terruño</t>
  </si>
  <si>
    <t>Solar TI Ventiseis SpA</t>
  </si>
  <si>
    <t>Casablanca 12 kV</t>
  </si>
  <si>
    <t>Parque Solar La Pólvora</t>
  </si>
  <si>
    <t>La Pólvora 220kV</t>
  </si>
  <si>
    <t>Barra N° 2</t>
  </si>
  <si>
    <t>Llanos del Chocolate</t>
  </si>
  <si>
    <t>157</t>
  </si>
  <si>
    <t>Punta Colorada - Parque Eólico San Juan 220 kV</t>
  </si>
  <si>
    <t>seccionamiento con interruptor y medio</t>
  </si>
  <si>
    <t>Punto de seccionamiento N: 6785280 E: 270.540</t>
  </si>
  <si>
    <t>Puerto Viejo Solar</t>
  </si>
  <si>
    <t>Energy Head SpA.</t>
  </si>
  <si>
    <t>EB2 110 kV</t>
  </si>
  <si>
    <t>Barra B1</t>
  </si>
  <si>
    <t>Arboleda Solar</t>
  </si>
  <si>
    <t>25/03/2025 00:00:00</t>
  </si>
  <si>
    <t>OBSERVATORIO DEL VERANO SOLAR</t>
  </si>
  <si>
    <t>Portezuelo 66 kV</t>
  </si>
  <si>
    <t>24/07/2025 00:00:00</t>
  </si>
  <si>
    <t>Proyecto Fotovoltaico Andino El Manzano</t>
  </si>
  <si>
    <t>Tap Off Andino El Manzano 220 kV</t>
  </si>
  <si>
    <t>Putaendo</t>
  </si>
  <si>
    <t>Josefina Solar</t>
  </si>
  <si>
    <t>Pelequen 66 kV</t>
  </si>
  <si>
    <t>BARRA 66 kV</t>
  </si>
  <si>
    <t>Sistema BESS Stand Alone Black (ex Black Solar)</t>
  </si>
  <si>
    <t>Inversiones Black Solar SpA</t>
  </si>
  <si>
    <t>Subestación Seccionadora Roncacho 220 kV</t>
  </si>
  <si>
    <t>01/07/2025 16:46:07</t>
  </si>
  <si>
    <t>BESS Orrego (ex Nueva Casablanca Solar)</t>
  </si>
  <si>
    <t>S/E Las Dichas (ex Nueva Casablanca) 220 kV</t>
  </si>
  <si>
    <t>Barra N° 1</t>
  </si>
  <si>
    <t>J2/j3</t>
  </si>
  <si>
    <t>29/10/2025 00:00:00</t>
  </si>
  <si>
    <t>El Rosal Solar</t>
  </si>
  <si>
    <t>S/E Seccionadora El Rosal 220 kV</t>
  </si>
  <si>
    <t>PFV ANDINO SUR</t>
  </si>
  <si>
    <t>Seccionadora Mataquito 220 kV</t>
  </si>
  <si>
    <t>Parque Solar Fotovoltaico Rapel</t>
  </si>
  <si>
    <t>S/E Litueche 110 kV</t>
  </si>
  <si>
    <t>Parque Fotovoltaico Limache</t>
  </si>
  <si>
    <t>PE La Campana</t>
  </si>
  <si>
    <t>El Empalme 110 kV</t>
  </si>
  <si>
    <t>SUCT MINERA PUQUIOS LINEA CENTRAL PUNTA COLORADA-PUQUIOS</t>
  </si>
  <si>
    <t>Cuprum Resources Chile SpA</t>
  </si>
  <si>
    <t>Central Punta Colorada 11 kV</t>
  </si>
  <si>
    <t>SWITCHGEAR MEDIA TENSION 11 kV, TAG N° BA 901</t>
  </si>
  <si>
    <t>Celda BAO902</t>
  </si>
  <si>
    <t>Parque Solar Parral</t>
  </si>
  <si>
    <t>Parral 154 kV</t>
  </si>
  <si>
    <t>Nuevo Paño</t>
  </si>
  <si>
    <t>06/02/2025 00:00:00</t>
  </si>
  <si>
    <t>1748 MNR Nuevo Paño Alimentador 12 kV en SE Bosquemar</t>
  </si>
  <si>
    <t>5.6</t>
  </si>
  <si>
    <t>Barra N°2 12 kV</t>
  </si>
  <si>
    <t>Paño H2, Alimentador C4, se encuentra en construcción por decreto exento 418</t>
  </si>
  <si>
    <t>1749 MNR Nuevo Paño Alimentador 23 kV SE San Antonio</t>
  </si>
  <si>
    <t>S/E SAN ANTONIO 110/12/23 KV</t>
  </si>
  <si>
    <t>BARRA 23 KV N°1</t>
  </si>
  <si>
    <t>Parque Eólico Albatros</t>
  </si>
  <si>
    <t>174</t>
  </si>
  <si>
    <t>S/E Pargua 220 kV</t>
  </si>
  <si>
    <t>01/07/2025 00:00:00</t>
  </si>
  <si>
    <t>Cerro Dominador II SpA</t>
  </si>
  <si>
    <t>Centinela 220 kV</t>
  </si>
  <si>
    <t>J14/J15 y J17/J18</t>
  </si>
  <si>
    <t>Atacama SOLEK</t>
  </si>
  <si>
    <t>Andes 220</t>
  </si>
  <si>
    <t>Copayapu</t>
  </si>
  <si>
    <t>CU 4/0 AWG</t>
  </si>
  <si>
    <t>Ampliación Malgarida II</t>
  </si>
  <si>
    <t>Cumbre-Almeyda 1X220 kV</t>
  </si>
  <si>
    <t>Parque Eólico Pemuco</t>
  </si>
  <si>
    <t>24/01/2023 23:19:51</t>
  </si>
  <si>
    <t>Parque Eólico Alcaldeo</t>
  </si>
  <si>
    <t>152</t>
  </si>
  <si>
    <t>S/E Gamboa 110 kV</t>
  </si>
  <si>
    <t>PFV La Bamba (Ex PV Las Damas)</t>
  </si>
  <si>
    <t>J7 y J8</t>
  </si>
  <si>
    <t>Parque Eólico Litueche</t>
  </si>
  <si>
    <t>S/E Elevadora P.E. La Estrella 110 kV</t>
  </si>
  <si>
    <t>Barra N˚1</t>
  </si>
  <si>
    <t>Rapel</t>
  </si>
  <si>
    <t>S/E Rapel 220 kV</t>
  </si>
  <si>
    <t>PARQUE FOTOVOLTAICO ANDINO CENTRAL</t>
  </si>
  <si>
    <t>S/E Central Quilapilun 22 kV</t>
  </si>
  <si>
    <t>barra de Media Tensión</t>
  </si>
  <si>
    <t>La Chupalla Solar</t>
  </si>
  <si>
    <t>La Chupalla Solar SpA</t>
  </si>
  <si>
    <t>Nueva S/E La Ruca 110 kV</t>
  </si>
  <si>
    <t>23/01/2024 15:46:30</t>
  </si>
  <si>
    <t>PV Everglades 20 MW</t>
  </si>
  <si>
    <t>S/E Punta Peuco 110/44 kV</t>
  </si>
  <si>
    <t>Coipue Solar</t>
  </si>
  <si>
    <t>S/E Rapel</t>
  </si>
  <si>
    <t>Barra 220</t>
  </si>
  <si>
    <t>Cadenal Caro</t>
  </si>
  <si>
    <t>PMG Smoky Solar 9 MW</t>
  </si>
  <si>
    <t>PMG CÓNDOR RÍO NEGRO</t>
  </si>
  <si>
    <t>WP Zion 50 MW</t>
  </si>
  <si>
    <t>S/E Llanquihue 66 kV</t>
  </si>
  <si>
    <t>PARQUE FOTOVOLTAICO ANDINO LEYDA</t>
  </si>
  <si>
    <t>J13/J14 y J16/J17</t>
  </si>
  <si>
    <t>Nuevo alimentador SE Mariquina</t>
  </si>
  <si>
    <t>Parque Solar Las Bellotas</t>
  </si>
  <si>
    <t>BARRA PRINCIPAL 66KV</t>
  </si>
  <si>
    <t>Andino El Clavo</t>
  </si>
  <si>
    <t xml:space="preserve">S/E Mulchén 220 kV </t>
  </si>
  <si>
    <t>Barra Principal 1, Barra de transferencia</t>
  </si>
  <si>
    <t>Parque Solar Pelequén</t>
  </si>
  <si>
    <t>S/E Malloa Nueva 220 kV</t>
  </si>
  <si>
    <t>05/05/2025 00:00:00</t>
  </si>
  <si>
    <t>BESS Colton</t>
  </si>
  <si>
    <t>ERNC Loa</t>
  </si>
  <si>
    <t>S/E Frontera 220 kV (S/E Seccionadora Quillagua Decreto N° 373) 220 kV</t>
  </si>
  <si>
    <t>Parque Eólico Florida</t>
  </si>
  <si>
    <t>Barra 1 Y 2</t>
  </si>
  <si>
    <t>Construcción electrificación Canto del agua, Carrizal bajo y Totoral</t>
  </si>
  <si>
    <t>Sociedad Ingeniería Eléctrica Mataquito LTDA</t>
  </si>
  <si>
    <t>S/E Castilla 23 kV</t>
  </si>
  <si>
    <t>CU 4/0 AWG (107,2 MM2)</t>
  </si>
  <si>
    <t>05/03/2020 00:00:00</t>
  </si>
  <si>
    <t>Nuevo Alimentador SE Dalcahue</t>
  </si>
  <si>
    <t>S/E Dalcahue 23 kV</t>
  </si>
  <si>
    <t>23</t>
  </si>
  <si>
    <t>Nuevos alimentadores SE Enlace Imperial</t>
  </si>
  <si>
    <t>8.6</t>
  </si>
  <si>
    <t>S/E Enlace Imperial 23 kV</t>
  </si>
  <si>
    <t>etapa de ingeniería</t>
  </si>
  <si>
    <t>01/02/2022 12:42:52</t>
  </si>
  <si>
    <t>PMG Picoltué Solar II</t>
  </si>
  <si>
    <t>S/E Picoltue 23 kV</t>
  </si>
  <si>
    <t>PMG Picoltue Solar I</t>
  </si>
  <si>
    <t>PITIGUA SOLAR</t>
  </si>
  <si>
    <t>Barra 220KV</t>
  </si>
  <si>
    <t>Parque Solar La Mocha</t>
  </si>
  <si>
    <t>S/E Montenegro  66 kV</t>
  </si>
  <si>
    <t>17/04/2023 18:19:02</t>
  </si>
  <si>
    <t>PARQUE SOLAR EL BOLDO</t>
  </si>
  <si>
    <t>La Palma</t>
  </si>
  <si>
    <t>Parque Solar San José</t>
  </si>
  <si>
    <t>Barra Principal 66 jV</t>
  </si>
  <si>
    <t>08/01/2025 00:00:00</t>
  </si>
  <si>
    <t>ANDINO LA ESPERANZA</t>
  </si>
  <si>
    <t>S/E La Esperanza 66 kV</t>
  </si>
  <si>
    <t>Ampliación Barra Principal</t>
  </si>
  <si>
    <t>PMG CÓNDOR LA MANGA</t>
  </si>
  <si>
    <t>PF Viñedo Solar</t>
  </si>
  <si>
    <t>PMG CÓNDOR ANGOL</t>
  </si>
  <si>
    <t>S/E Deuco 66 kV</t>
  </si>
  <si>
    <t>Parque Fotovoltaico Andino El Carmen</t>
  </si>
  <si>
    <t>S/E El Peñón 110 kV</t>
  </si>
  <si>
    <t>H4, H5</t>
  </si>
  <si>
    <t>PF Geosoler I</t>
  </si>
  <si>
    <t>S/E Kimal</t>
  </si>
  <si>
    <t>PMG CÓNDOR ENTRE LAGOS</t>
  </si>
  <si>
    <t>S/E Aihuapi 110 kV</t>
  </si>
  <si>
    <t>PF Geosoler IV</t>
  </si>
  <si>
    <t>S/E Rande</t>
  </si>
  <si>
    <t>Las Rosas Solar</t>
  </si>
  <si>
    <t>S/E Don Goyo</t>
  </si>
  <si>
    <t>201.5</t>
  </si>
  <si>
    <t>Barra Número 2</t>
  </si>
  <si>
    <t>PE Andino Deuco</t>
  </si>
  <si>
    <t>Línea 1x66 kV Picoiquén - Deuco</t>
  </si>
  <si>
    <t>Mila del Verano Solar</t>
  </si>
  <si>
    <t>Ampliación contemplada en Rex 747 de la CNE, de fecha 14 de noviembre de 2018</t>
  </si>
  <si>
    <t>15/05/2023 16:24:49</t>
  </si>
  <si>
    <t>05/2024</t>
  </si>
  <si>
    <t>PF Polpaico Oeste</t>
  </si>
  <si>
    <t>Barra principal N° 2 y barra de transferencia</t>
  </si>
  <si>
    <t>PE Pueblo Seco</t>
  </si>
  <si>
    <t>S/E Pueblo Seco 154 kV</t>
  </si>
  <si>
    <t>Lince Solar</t>
  </si>
  <si>
    <t>Inversiones Lince Solar SpA</t>
  </si>
  <si>
    <t>1x110 kV Sierra Gorda - Bombeo 2</t>
  </si>
  <si>
    <t>Cóndor El Fiscal</t>
  </si>
  <si>
    <t>S/E Corripulli 66 kV</t>
  </si>
  <si>
    <t>66</t>
  </si>
  <si>
    <t>PMG Don Goyo</t>
  </si>
  <si>
    <t>S/E Don Goyo 15 kV</t>
  </si>
  <si>
    <t>PF Lo Narváez</t>
  </si>
  <si>
    <t>S/E Peñablanca 110 kV</t>
  </si>
  <si>
    <t>Modificación conexión MCH Llauquereo</t>
  </si>
  <si>
    <t>Hidroeléctrica Lleuquereo S.A.</t>
  </si>
  <si>
    <t>1.8</t>
  </si>
  <si>
    <t>S/E Central Llauquereo 23 kV</t>
  </si>
  <si>
    <t>PMG Cóndor Los Tambores</t>
  </si>
  <si>
    <t xml:space="preserve"> </t>
  </si>
  <si>
    <t>Alimentador SE Bosquemar</t>
  </si>
  <si>
    <t>S/E Bosquemar 12 kV</t>
  </si>
  <si>
    <t>Alimentador San Antonio</t>
  </si>
  <si>
    <t>S/E San Antonio 23 kV</t>
  </si>
  <si>
    <t>Canto del Agua Solar</t>
  </si>
  <si>
    <t>Factor Energía S.A.</t>
  </si>
  <si>
    <t>Los Llanos Solar</t>
  </si>
  <si>
    <t>Los Llanos Solar SpA</t>
  </si>
  <si>
    <t>22/12/2022 16:54:16</t>
  </si>
  <si>
    <t>PF Tucúqueres</t>
  </si>
  <si>
    <t>Lenergía Chile S.A.</t>
  </si>
  <si>
    <t>ACSR 715,5 Kcmil Starling - 840A</t>
  </si>
  <si>
    <t>H3 barra 110 kV</t>
  </si>
  <si>
    <t>PMG Cóndor Los Lagos</t>
  </si>
  <si>
    <t>S/E Los Lagos 66 kV</t>
  </si>
  <si>
    <t>Alimentador SE Teno</t>
  </si>
  <si>
    <t>11.4</t>
  </si>
  <si>
    <t>S/E Teno 13,2 kV</t>
  </si>
  <si>
    <t>52C8 La Laguna</t>
  </si>
  <si>
    <t>PMG El Llano</t>
  </si>
  <si>
    <t>Parque Solar Tangua SPA</t>
  </si>
  <si>
    <t>S/E Cauquenes 13,2 kV</t>
  </si>
  <si>
    <t>Celda MT</t>
  </si>
  <si>
    <t>Celda 9</t>
  </si>
  <si>
    <t>22/11/2021 17:44:52</t>
  </si>
  <si>
    <t>Newen Küruf</t>
  </si>
  <si>
    <t>Sociedad Eólica Valle Verde SpA</t>
  </si>
  <si>
    <t>Sección 1</t>
  </si>
  <si>
    <t>14/09/2023 11:13:04</t>
  </si>
  <si>
    <t>PV Yosemite</t>
  </si>
  <si>
    <t>S/E El Manzano 220 kV</t>
  </si>
  <si>
    <t>Alimentador SE Las Encinas</t>
  </si>
  <si>
    <t>S/E Las Encimas 15 kV</t>
  </si>
  <si>
    <t>52C5</t>
  </si>
  <si>
    <t>Temuco</t>
  </si>
  <si>
    <t>PF El Manzano</t>
  </si>
  <si>
    <t>S/E Tap off El Manzano 220 kV</t>
  </si>
  <si>
    <t>Inversiones y Servicios Dataluna Ltda</t>
  </si>
  <si>
    <t>H7 y H4</t>
  </si>
  <si>
    <t>07/11/2023 12:34:53</t>
  </si>
  <si>
    <t>PMG Bulnes</t>
  </si>
  <si>
    <t>S/E Linares Norte 66 kV</t>
  </si>
  <si>
    <t>PFV Lauca Solar</t>
  </si>
  <si>
    <t>Barra Principal A</t>
  </si>
  <si>
    <t>PE Ramadilla</t>
  </si>
  <si>
    <t>248</t>
  </si>
  <si>
    <t>Sol del Loa</t>
  </si>
  <si>
    <t>PS Libélula</t>
  </si>
  <si>
    <t>17/08/2021 00:00:00</t>
  </si>
  <si>
    <t>PE Quebrada Seca</t>
  </si>
  <si>
    <t>Quebrada Seca SpA</t>
  </si>
  <si>
    <t>07/12/2022 00:00:00</t>
  </si>
  <si>
    <t>El Litral Solar</t>
  </si>
  <si>
    <t>S/E Puente Negro 220 kV</t>
  </si>
  <si>
    <t>PMG San Bernardo</t>
  </si>
  <si>
    <t>S/E Monterrico 66 kV</t>
  </si>
  <si>
    <t>29/11/2021 00:00:00</t>
  </si>
  <si>
    <t>La Aurora Solar</t>
  </si>
  <si>
    <t>S/E Tinguiririca 154 kV</t>
  </si>
  <si>
    <t>Rarinco Solar</t>
  </si>
  <si>
    <t>S/E Los Varones 66 kV</t>
  </si>
  <si>
    <t>Libertad III</t>
  </si>
  <si>
    <t>Libertad SpA</t>
  </si>
  <si>
    <t>122.857</t>
  </si>
  <si>
    <t>PFV Tabali Solar</t>
  </si>
  <si>
    <t>Lomas de Duqueco</t>
  </si>
  <si>
    <t>WPD Duqueco SpA</t>
  </si>
  <si>
    <t>58.8</t>
  </si>
  <si>
    <t>Barra 1 y Barra de Transferencia</t>
  </si>
  <si>
    <t>Palo Negro Solar</t>
  </si>
  <si>
    <t>315</t>
  </si>
  <si>
    <t>Terpellanca Solar</t>
  </si>
  <si>
    <t xml:space="preserve">S/E La Señoraza 220 kV </t>
  </si>
  <si>
    <t>El Cerrillo Solar</t>
  </si>
  <si>
    <t>PE Loma Verde (Ex Frutillar)</t>
  </si>
  <si>
    <t>135.4</t>
  </si>
  <si>
    <t>19/06/2024 17:11:57</t>
  </si>
  <si>
    <t>PMG Quilmo (Solek)</t>
  </si>
  <si>
    <t>S/E Quilmo 33 kV</t>
  </si>
  <si>
    <t>01/02/2022 00:00:00</t>
  </si>
  <si>
    <t>Huencuencho Solar</t>
  </si>
  <si>
    <t>S/E Santa Isabel 220 kV</t>
  </si>
  <si>
    <t>Barra 2 y Barra de Transferencia</t>
  </si>
  <si>
    <t>25/01/2022 17:40:05</t>
  </si>
  <si>
    <t>Alimentadores SE Pueblo Seco</t>
  </si>
  <si>
    <t>El Rincón Solar</t>
  </si>
  <si>
    <t>PMG Campanas</t>
  </si>
  <si>
    <t>PF Tamaya II</t>
  </si>
  <si>
    <t>Línea 2x220 kV Tocopilla - Crucero</t>
  </si>
  <si>
    <t>Dos Valles</t>
  </si>
  <si>
    <t>Hidroeléctrica Dos Valles SpA</t>
  </si>
  <si>
    <t>Subestación El Paso</t>
  </si>
  <si>
    <t>Corrales</t>
  </si>
  <si>
    <t>08/2021</t>
  </si>
  <si>
    <t>PF Andino Sur</t>
  </si>
  <si>
    <t>Rauco</t>
  </si>
  <si>
    <t>Bulnes Solar PMG</t>
  </si>
  <si>
    <t>S/E Larqui 23 kV</t>
  </si>
  <si>
    <t>15/01/2022 00:00:00</t>
  </si>
  <si>
    <t>Quilmo Solar PMG (Sphera)</t>
  </si>
  <si>
    <t>S/E Quilmo II 33 kV</t>
  </si>
  <si>
    <t>Santa Elena Solar</t>
  </si>
  <si>
    <t>S/E María Dolores 220 kV</t>
  </si>
  <si>
    <t>PMG Linares Norte</t>
  </si>
  <si>
    <t xml:space="preserve">S/E Linares Norte 13,2 kV </t>
  </si>
  <si>
    <t>PMG Villa Longaví</t>
  </si>
  <si>
    <t>S/E Villa Longaví 13,2 kV</t>
  </si>
  <si>
    <t>28/01/2022 00:00:00</t>
  </si>
  <si>
    <t>PFV La Quinta</t>
  </si>
  <si>
    <t>BN</t>
  </si>
  <si>
    <t>Las Bandurrias PMG</t>
  </si>
  <si>
    <t>S/E Tap Off Doña Carmen 23 kV</t>
  </si>
  <si>
    <t>PF Carena</t>
  </si>
  <si>
    <t>Línea 1x44 kV Carena - Puente Alto CMPC</t>
  </si>
  <si>
    <t>Derivación Carena-Puente alto</t>
  </si>
  <si>
    <t>Alimentador SE Masisa</t>
  </si>
  <si>
    <t>S/E Masisa 13,2 kV</t>
  </si>
  <si>
    <t>PF Punitaqui</t>
  </si>
  <si>
    <t>S/E Punitaqui 110 kV</t>
  </si>
  <si>
    <t>PFV Castilla</t>
  </si>
  <si>
    <t>10/03/2021 10:04:33</t>
  </si>
  <si>
    <t>PFV Andino Rauco</t>
  </si>
  <si>
    <t>PFV Cóndor El Litral</t>
  </si>
  <si>
    <t>PFV Casas de Chacabuco</t>
  </si>
  <si>
    <t xml:space="preserve">S/E Punta Peuco 110 kV </t>
  </si>
  <si>
    <t>Santa Clara Solar</t>
  </si>
  <si>
    <t>Limacura Solar</t>
  </si>
  <si>
    <t>PF Andino Las Pataguas</t>
  </si>
  <si>
    <t>Parque Fotovoltaico Andino Las Pataguas SpA</t>
  </si>
  <si>
    <t>11/01/2023 10:34:34</t>
  </si>
  <si>
    <t>Las Cunas</t>
  </si>
  <si>
    <t xml:space="preserve">S/E Algarrobal 220 kV </t>
  </si>
  <si>
    <t>PF Guanguali Solar</t>
  </si>
  <si>
    <t>PF Pedro de Valdivia</t>
  </si>
  <si>
    <t>Línea 1x220 kV Chacaya - Crucero</t>
  </si>
  <si>
    <t>Peldehue Solar</t>
  </si>
  <si>
    <t>Peldehue Solar SpA</t>
  </si>
  <si>
    <t>Línea 1x220 kV Las Tórtolas - Polpaico</t>
  </si>
  <si>
    <t>Atacama Solar Fase 3</t>
  </si>
  <si>
    <t>Sonnedix Chile SpA</t>
  </si>
  <si>
    <t>S/E Atacama Solar 220 kV</t>
  </si>
  <si>
    <t>Atria Solar</t>
  </si>
  <si>
    <t>Fontus Prime Solar SpA</t>
  </si>
  <si>
    <t>Línea 1x66 kV Arica - Chapiquiña</t>
  </si>
  <si>
    <t>Derivación Arica-Chapiquiña</t>
  </si>
  <si>
    <t>Polux Solar</t>
  </si>
  <si>
    <t>Sirio Solar</t>
  </si>
  <si>
    <t>Vega Solar</t>
  </si>
  <si>
    <t>Campos del Sol II</t>
  </si>
  <si>
    <t>438.35</t>
  </si>
  <si>
    <t>S/E Illapa 220 kV</t>
  </si>
  <si>
    <t>J14 / J15</t>
  </si>
  <si>
    <t>25/03/2021 00:00:00</t>
  </si>
  <si>
    <t>PF Diego de Almagro Sur</t>
  </si>
  <si>
    <t>238</t>
  </si>
  <si>
    <t>S/E Illapa</t>
  </si>
  <si>
    <t>08/01/2021 09:57:08</t>
  </si>
  <si>
    <t>Sol del Desierto</t>
  </si>
  <si>
    <t>Parque Solar Fotovoltaico Sol del Desierto SpA</t>
  </si>
  <si>
    <t xml:space="preserve">S/E Sol del Desierto 33 kV </t>
  </si>
  <si>
    <t>Parque Solar Fotovoltaico Cerro Blanco + BESS  (ex PSF Tagua Tagua)</t>
  </si>
  <si>
    <t>Extension barra decretado plan de expansión 2018</t>
  </si>
  <si>
    <t>BESS Konable (Ex PE Konable)</t>
  </si>
  <si>
    <t>Línea 1x220 kV San Juan - Punta Colorada</t>
  </si>
  <si>
    <t>PE Cabo Leones I fase II</t>
  </si>
  <si>
    <t>Parque Eólico Cabo Leones I S.A.</t>
  </si>
  <si>
    <t xml:space="preserve">S/E Cabo Leones 33 kV </t>
  </si>
  <si>
    <t>04/2021</t>
  </si>
  <si>
    <t>PF La Correana</t>
  </si>
  <si>
    <t>Hidroeléctrica La Confluencia S.A.</t>
  </si>
  <si>
    <t>S/E Central La Confluencia 15 kV</t>
  </si>
  <si>
    <t>Alimentador Santa Bárbara</t>
  </si>
  <si>
    <t>S/E Santa Barbara 66 kV</t>
  </si>
  <si>
    <t>Llanos de Marañon</t>
  </si>
  <si>
    <t>Línea 220 kV Maitencillo - Caserones</t>
  </si>
  <si>
    <t>Seccionamiento linea Maitencillo-Caserones</t>
  </si>
  <si>
    <t>375</t>
  </si>
  <si>
    <t>Línea 1x220 kV Maitencillo - Cabo Leones</t>
  </si>
  <si>
    <t>Seccionamiento linea Maitencillo-Central parque eolico cabo leones</t>
  </si>
  <si>
    <t>Parque Solar Don Sebastian</t>
  </si>
  <si>
    <t>Sol del Mar SpA</t>
  </si>
  <si>
    <t>Taltal Solar</t>
  </si>
  <si>
    <t>S/E Eólica Taltal 220 kV</t>
  </si>
  <si>
    <t>S/E Parral 66 kV</t>
  </si>
  <si>
    <t>PMG Arrebol</t>
  </si>
  <si>
    <t>Línea 1x23 kV Lagunas - Lagunas Norte</t>
  </si>
  <si>
    <t>Calama II</t>
  </si>
  <si>
    <t>J9 y J8</t>
  </si>
  <si>
    <t>Alto Bonito</t>
  </si>
  <si>
    <t>Hidrobonito S.A.</t>
  </si>
  <si>
    <t>Línea 1x23 kV Río Bonito - Bonito</t>
  </si>
  <si>
    <t>ERNC Antofagasta</t>
  </si>
  <si>
    <t>Ibereólica ERNC Antofagasta SpA</t>
  </si>
  <si>
    <t>1171</t>
  </si>
  <si>
    <t>11/10/2024 00:00:00</t>
  </si>
  <si>
    <t>PE Mejillones</t>
  </si>
  <si>
    <t>297</t>
  </si>
  <si>
    <t>S/E Kapatur 220 kV</t>
  </si>
  <si>
    <t>Entre los Interruptores J23 y J24</t>
  </si>
  <si>
    <t>Parque Eólico Alborada</t>
  </si>
  <si>
    <t>S/E Seccionadora El Rosal 220 kV (Decreto N° 422)</t>
  </si>
  <si>
    <t>Entre los Interruptores J5 y J6</t>
  </si>
  <si>
    <t>PE Achiras</t>
  </si>
  <si>
    <t>358.4</t>
  </si>
  <si>
    <t>Reemplazo Paños Alto Jahuel</t>
  </si>
  <si>
    <t>Transmisión</t>
  </si>
  <si>
    <t>S/E Alto Jahuel 154 kV</t>
  </si>
  <si>
    <t>16/06/2020 00:00:00</t>
  </si>
  <si>
    <t>PE Pellines</t>
  </si>
  <si>
    <t>S/E Constitución 66 kV</t>
  </si>
  <si>
    <t>Interruptor 52B4</t>
  </si>
  <si>
    <t>AR Roncacho Solar</t>
  </si>
  <si>
    <t>AR Energia Chile SpA</t>
  </si>
  <si>
    <t>El Triunfo</t>
  </si>
  <si>
    <t>27/11/2025 20:24:35</t>
  </si>
  <si>
    <t>PF Cóndor Eloisa</t>
  </si>
  <si>
    <t>S/E Parronal 66 kV</t>
  </si>
  <si>
    <t>Parque Eólico Antofagasta</t>
  </si>
  <si>
    <t>793.6</t>
  </si>
  <si>
    <t>25/11/2022 22:37:48</t>
  </si>
  <si>
    <t>PFV Alhambra Solar</t>
  </si>
  <si>
    <t>18/01/2023 11:37:10</t>
  </si>
  <si>
    <t>TES Solar</t>
  </si>
  <si>
    <t>Barra 1 66 kV</t>
  </si>
  <si>
    <t>22/08/2025 18:07:29</t>
  </si>
  <si>
    <t>Villa Prat Solar</t>
  </si>
  <si>
    <t>S/E Villa Prat 13,8 kV</t>
  </si>
  <si>
    <t>229.6</t>
  </si>
  <si>
    <t>Pampa Los Changos</t>
  </si>
  <si>
    <t>Parque Eólico Isla del Viento</t>
  </si>
  <si>
    <t>205.2</t>
  </si>
  <si>
    <t>S/E Gamboa 220 kV</t>
  </si>
  <si>
    <t>Diagonal 3/Sección H1-H10</t>
  </si>
  <si>
    <t>Minera Vizcachitas</t>
  </si>
  <si>
    <t>Compañía Minera Vizcachitas Holding</t>
  </si>
  <si>
    <t>S/E Los Maquis 220 kV</t>
  </si>
  <si>
    <t>Barra 2 220 kV</t>
  </si>
  <si>
    <t>PV + BESS Pampa Camarones II</t>
  </si>
  <si>
    <t>27/01/2026 17:33:59</t>
  </si>
  <si>
    <t>Avellano Solar II</t>
  </si>
  <si>
    <t>Colún</t>
  </si>
  <si>
    <t xml:space="preserve">Colún Ltda. </t>
  </si>
  <si>
    <t>Parque Fotovoltaico Leyda (Solek)</t>
  </si>
  <si>
    <t>375,2 mm2</t>
  </si>
  <si>
    <t>12/11/2021 00:00:00</t>
  </si>
  <si>
    <t>PMG Teno Solar</t>
  </si>
  <si>
    <t>S/E Aguas Negras 14,4 kV</t>
  </si>
  <si>
    <t>Candelaria Solar (Sphera)</t>
  </si>
  <si>
    <t>Toledo Solar</t>
  </si>
  <si>
    <t>S/E Hernán Fuentes 110 kV</t>
  </si>
  <si>
    <t>Ineusol</t>
  </si>
  <si>
    <t>Línea 1x110 kV Loma Los Colorados - Punta Peuco</t>
  </si>
  <si>
    <t>Parque Solar CEME 1</t>
  </si>
  <si>
    <t>S/E Miraje 220 kV</t>
  </si>
  <si>
    <t>Parque Eólico Vientos del Loa</t>
  </si>
  <si>
    <t>184.8</t>
  </si>
  <si>
    <t>S/E Calama 220 kV</t>
  </si>
  <si>
    <t>j71 y j72</t>
  </si>
  <si>
    <t>PMG Andalhue</t>
  </si>
  <si>
    <t>S/E La Negra 23 kV</t>
  </si>
  <si>
    <t>5.20E+12</t>
  </si>
  <si>
    <t>13/06/2025 00:00:00</t>
  </si>
  <si>
    <t>PMG Luminiscencia</t>
  </si>
  <si>
    <t>S/E Uribe 23 kV</t>
  </si>
  <si>
    <t>5.20E+20</t>
  </si>
  <si>
    <t>PMG Zafiro</t>
  </si>
  <si>
    <t>S/E Armazones 23 kV</t>
  </si>
  <si>
    <t>Pampa Solar</t>
  </si>
  <si>
    <t>Pampa Solar SpA</t>
  </si>
  <si>
    <t>Tap Off Dolores 23 kV</t>
  </si>
  <si>
    <t>PMG Copihue</t>
  </si>
  <si>
    <t>S/E Parinacota 13,8 kV</t>
  </si>
  <si>
    <t>S/E Quelentaro 110 kV</t>
  </si>
  <si>
    <t>Normalización SE Río Toltén en Secc. Río Toltén</t>
  </si>
  <si>
    <t>Empresa Eléctrica Carén S.A.</t>
  </si>
  <si>
    <t>S/E Rio Toltén 220 kV</t>
  </si>
  <si>
    <t>Freire</t>
  </si>
  <si>
    <t>18/07/2022 18:13:53</t>
  </si>
  <si>
    <t>Parque Eólico Horizonte II</t>
  </si>
  <si>
    <t>296</t>
  </si>
  <si>
    <t>El Conquistador</t>
  </si>
  <si>
    <t>Paño 16 y Paño 17</t>
  </si>
  <si>
    <t>18/12/2023 17:42:16</t>
  </si>
  <si>
    <t>Parque Eólico Amolanas</t>
  </si>
  <si>
    <t>Parque Eólico Caman</t>
  </si>
  <si>
    <t>AR Caman SpA</t>
  </si>
  <si>
    <t>206.4</t>
  </si>
  <si>
    <t>Barra N° 2 y Barra N° 1</t>
  </si>
  <si>
    <t>Paño J7 a la barra N°2 y Paño J8 a la barra N°1</t>
  </si>
  <si>
    <t>26/03/2021 11:46:53</t>
  </si>
  <si>
    <t>PMG Kiana Solar</t>
  </si>
  <si>
    <t>Línea Tap Off La Negra - Alto Norte</t>
  </si>
  <si>
    <t>Barra 13,8 KV</t>
  </si>
  <si>
    <t>Parque Fotovoltaico Tirana Oeste</t>
  </si>
  <si>
    <t>Parque Eólico Loncualhue</t>
  </si>
  <si>
    <t>01/09/2025 11:29:59</t>
  </si>
  <si>
    <t>Parque Eólico Neuque</t>
  </si>
  <si>
    <t>Parque Fotovoltaico Tamaya Solar</t>
  </si>
  <si>
    <t>Engie Energía Chile S.A.</t>
  </si>
  <si>
    <t>S/E Tamaya 110 kV</t>
  </si>
  <si>
    <t>Parque Fotovoltaico Alto Ñuble Solar</t>
  </si>
  <si>
    <t>S/E Chillan 66 kV</t>
  </si>
  <si>
    <t>BESS San Jorge</t>
  </si>
  <si>
    <t>08/07/2024 16:07:10</t>
  </si>
  <si>
    <t>Doña Patricia</t>
  </si>
  <si>
    <t>S/E Elevadora CR Maitencillo 23 kV</t>
  </si>
  <si>
    <t>Parrón 12 kV</t>
  </si>
  <si>
    <t>SN</t>
  </si>
  <si>
    <t>Parque Fotovoltaico Larqui Solar</t>
  </si>
  <si>
    <t>S/E Larqui 66 kV</t>
  </si>
  <si>
    <t>Parque Fotovoltaico Molina Solar</t>
  </si>
  <si>
    <t>S/E Molina 66 kV</t>
  </si>
  <si>
    <t>Barra 66 kV N°1</t>
  </si>
  <si>
    <t>Parque Fotovoltaico San Clemente Solar</t>
  </si>
  <si>
    <t>Don Eugenio</t>
  </si>
  <si>
    <t>2.95</t>
  </si>
  <si>
    <t>S/E Central San Andrés 220 kV</t>
  </si>
  <si>
    <t>Piedras Negras</t>
  </si>
  <si>
    <t>Punta del Viento</t>
  </si>
  <si>
    <t>Parque Fotovoltaico Trento</t>
  </si>
  <si>
    <t>Parque Fotovoltaico Paposo (300 MW) y Parque Eólico Cascabel (180 MW)</t>
  </si>
  <si>
    <t>480</t>
  </si>
  <si>
    <t>Porvenir Solar</t>
  </si>
  <si>
    <t>S/E Cristalerias 110 kV</t>
  </si>
  <si>
    <t>PF Estepa Solar</t>
  </si>
  <si>
    <t>Atlas Renewable Energy Chile SpA</t>
  </si>
  <si>
    <t>1 o 2</t>
  </si>
  <si>
    <t>J7A</t>
  </si>
  <si>
    <t>15/04/2024 15:36:28</t>
  </si>
  <si>
    <t>CAN-6 Blanco</t>
  </si>
  <si>
    <t>Minera Salar Blanco S.A.</t>
  </si>
  <si>
    <t>0.345</t>
  </si>
  <si>
    <t>Línea 1x23 kV La Coipa - Estación de Bombeo</t>
  </si>
  <si>
    <t>CMPC Mulchén</t>
  </si>
  <si>
    <t>CMPC Maderas S.A.</t>
  </si>
  <si>
    <t>Barra principal 23 kV</t>
  </si>
  <si>
    <t>Parque Fotovoltaico Cabrero Solar</t>
  </si>
  <si>
    <t>S/E Fibranova 13,2 kV</t>
  </si>
  <si>
    <t>PMG Parque Fotovoltaico Zaturno</t>
  </si>
  <si>
    <t>GR Morro Moreno SpA</t>
  </si>
  <si>
    <t>S/E Capricornio 13,2 kV</t>
  </si>
  <si>
    <t>19/08/2022 00:00:00</t>
  </si>
  <si>
    <t>Blanco</t>
  </si>
  <si>
    <t>Parque Fotovoltaico Armando Solar</t>
  </si>
  <si>
    <t>Uriel Renovables Chile Spa</t>
  </si>
  <si>
    <t>MAPA</t>
  </si>
  <si>
    <t>Celulosa Arauco y Constitución S.A.</t>
  </si>
  <si>
    <t>166</t>
  </si>
  <si>
    <t>Biomasa</t>
  </si>
  <si>
    <t>Nuevas diagonales (J7-J8-J10-J11)</t>
  </si>
  <si>
    <t>17/06/2020 00:00:00</t>
  </si>
  <si>
    <t>PMG Quebradilla Solar 3</t>
  </si>
  <si>
    <t>PMG Quebradilla Solar 2</t>
  </si>
  <si>
    <t>PMG Quebradilla Solar 4</t>
  </si>
  <si>
    <t>PMG Quebradilla Solar 1</t>
  </si>
  <si>
    <t>Parque Eólico Don Maximiliano</t>
  </si>
  <si>
    <t>S/E Río Malleco 220 kV</t>
  </si>
  <si>
    <t>Cambio nivel de tensión de alimentadores  Cordillera y Pacífico Luz Osorno</t>
  </si>
  <si>
    <t>Compañía Eléctrica de Osorno S.A</t>
  </si>
  <si>
    <t>S/E Osorno 23 kV</t>
  </si>
  <si>
    <t>E9 - ET4</t>
  </si>
  <si>
    <t>04/06/2020 12:44:31</t>
  </si>
  <si>
    <t>03/2021</t>
  </si>
  <si>
    <t>PE y PF Agua Verde</t>
  </si>
  <si>
    <t>01/04/2025 00:00:00</t>
  </si>
  <si>
    <t>Parque Fotovoltaico Andino Occidente I</t>
  </si>
  <si>
    <t>18/12/2023 17:28:21</t>
  </si>
  <si>
    <t>138</t>
  </si>
  <si>
    <t>S/E Cauquenes 13,8 kV</t>
  </si>
  <si>
    <t>celda 9</t>
  </si>
  <si>
    <t>Parque Fotovoltaico San Carlos Solar</t>
  </si>
  <si>
    <t>Parque Fotovoltaico San Guillermo Solar</t>
  </si>
  <si>
    <t>Parque Fotovoltaico Cato Solar</t>
  </si>
  <si>
    <t>S/E Cocharcas 66 kV</t>
  </si>
  <si>
    <t>15/10/2025 00:00:00</t>
  </si>
  <si>
    <t>Parque Fotovoltaico La Palma Solar II</t>
  </si>
  <si>
    <t>S/E Santa Elvira 66 kV</t>
  </si>
  <si>
    <t>Parque Fotovoltaico Avel Solar II</t>
  </si>
  <si>
    <t>S/E El Avellano 66 kV</t>
  </si>
  <si>
    <t>Parque Fotovoltaico Porvenir Solar</t>
  </si>
  <si>
    <t>Parque Fotovoltaico Likanantai</t>
  </si>
  <si>
    <t>S/E Likanantai 220 kV</t>
  </si>
  <si>
    <t>Parque Fotovoltaico Miraflores</t>
  </si>
  <si>
    <t>Parque Eólico Colinas</t>
  </si>
  <si>
    <t>Barra N°2 y Barra N°1</t>
  </si>
  <si>
    <t>05/07/2023 16:38:54</t>
  </si>
  <si>
    <t>PMG Itahue</t>
  </si>
  <si>
    <t>Cobre 4/0 AWG</t>
  </si>
  <si>
    <t>16/03/2022 12:29:18</t>
  </si>
  <si>
    <t>Santa Lidia</t>
  </si>
  <si>
    <t>GM Holdings S.A.</t>
  </si>
  <si>
    <t>S/E Charrúa 154 kV</t>
  </si>
  <si>
    <t>PMG El Gatin Solar</t>
  </si>
  <si>
    <t>S/E El Lince 110 kV</t>
  </si>
  <si>
    <t>PMG Altamira Solar</t>
  </si>
  <si>
    <t>S/E Minera Franke</t>
  </si>
  <si>
    <t>Parque Eólico Cardonal, Parque Eólico Manantiales y Parque Eólico Los Cerrillos</t>
  </si>
  <si>
    <t>Torsa Chile S.A.</t>
  </si>
  <si>
    <t>102.45</t>
  </si>
  <si>
    <t>13/09/2021 10:48:55</t>
  </si>
  <si>
    <t>PE El Maucho (Ex PE El Guanaco)</t>
  </si>
  <si>
    <t>316.8</t>
  </si>
  <si>
    <t>Parque Fotovoltaico Andino Occidente II</t>
  </si>
  <si>
    <t>13/03/2025 00:00:00</t>
  </si>
  <si>
    <t>Parque Fotovoltaico Los Cóndores</t>
  </si>
  <si>
    <t>S/E Los Cóndores 23 kV</t>
  </si>
  <si>
    <t>Emilia Solar</t>
  </si>
  <si>
    <t>S/E Central Combarbalá 23 kV</t>
  </si>
  <si>
    <t>Combarbalá</t>
  </si>
  <si>
    <t>PMG Lucas Solar (ex Parque Fotovoltaico Llanos Blancos)</t>
  </si>
  <si>
    <t>S/E Llanos Blancos 23 kV</t>
  </si>
  <si>
    <t>06/2021</t>
  </si>
  <si>
    <t>01/2022</t>
  </si>
  <si>
    <t>Parque Fotovoltaico North West (Ex Pajonales)</t>
  </si>
  <si>
    <t>S/E Pajonales 23 kV</t>
  </si>
  <si>
    <t>12/2021</t>
  </si>
  <si>
    <t>Parque Fotovoltaico Cauquenes</t>
  </si>
  <si>
    <t>S/E Cauquenes 15 kV</t>
  </si>
  <si>
    <t>Celda 6</t>
  </si>
  <si>
    <t>16/09/2021 00:00:00</t>
  </si>
  <si>
    <t>Parque Fotovoltaico Tutuvén</t>
  </si>
  <si>
    <t>Parque Solar Los Peumos SpA</t>
  </si>
  <si>
    <t>Nuevo patio media tensión</t>
  </si>
  <si>
    <t>Parque Eólico Waiwen</t>
  </si>
  <si>
    <t>ACSR LINNET  336,4 MCM - 530 A</t>
  </si>
  <si>
    <t>PMG Hikuri Solar</t>
  </si>
  <si>
    <t>S/E Capricornio 23 kV</t>
  </si>
  <si>
    <t>PMG Aguacolla Solar</t>
  </si>
  <si>
    <t>S/E Jorquera 220 kV</t>
  </si>
  <si>
    <t>PMG Cucumelo Solar</t>
  </si>
  <si>
    <t>Tap Off La Cruz 23 kV</t>
  </si>
  <si>
    <t>PMG Floripondio</t>
  </si>
  <si>
    <t>S/E Aguas Blancas 66 kV</t>
  </si>
  <si>
    <t>Aumento de potencia Mini Central Hidroeléctrica Dos Valles</t>
  </si>
  <si>
    <t>Hidroelectrica Dos Valles SpA</t>
  </si>
  <si>
    <t>S/E El Paso 23 kV</t>
  </si>
  <si>
    <t>09/2020</t>
  </si>
  <si>
    <t>PMG Lince Solar</t>
  </si>
  <si>
    <t>S/E Lince</t>
  </si>
  <si>
    <t>AR Changos Solar</t>
  </si>
  <si>
    <t>S/E Los Changos 220 kV</t>
  </si>
  <si>
    <t>Ambas barras (Interruptor y medio)</t>
  </si>
  <si>
    <t>14/05/2025 09:51:35</t>
  </si>
  <si>
    <t>Iquique Solar</t>
  </si>
  <si>
    <t>Inversiones Iquique Solar SpA</t>
  </si>
  <si>
    <t>119.79</t>
  </si>
  <si>
    <t>Sección A</t>
  </si>
  <si>
    <t>S/E San Andrés 220 kV</t>
  </si>
  <si>
    <t>J12 y J13</t>
  </si>
  <si>
    <t>PMG Santa Fabiola</t>
  </si>
  <si>
    <t>Concelene SpA</t>
  </si>
  <si>
    <t>S/E Portezuelo 23 kV</t>
  </si>
  <si>
    <t>Terciario del transformador T2</t>
  </si>
  <si>
    <t>PMG Parque Fotovoltaico Cerro Negro Norte</t>
  </si>
  <si>
    <t>S/E Cerro Negro Norte 23 kV</t>
  </si>
  <si>
    <t>PMG Parque Fotovoltaico Los Colorados</t>
  </si>
  <si>
    <t>Central Hidroeléctrica Los Corrales</t>
  </si>
  <si>
    <t>Hidroeléctrica Los Corrales SpA.</t>
  </si>
  <si>
    <t>2.96</t>
  </si>
  <si>
    <t xml:space="preserve">S/E Central San Andrés 220 kV </t>
  </si>
  <si>
    <t>HSA</t>
  </si>
  <si>
    <t>PMG PFV Buenaventura</t>
  </si>
  <si>
    <t>GR Peumo SpA.</t>
  </si>
  <si>
    <t>Acometida subterránea 23 kV SE Puerto Varas</t>
  </si>
  <si>
    <t>Acometida subterránea 23 kV SE Sangra</t>
  </si>
  <si>
    <t>S/E Sangra 23 kV</t>
  </si>
  <si>
    <t>PS CEME 1</t>
  </si>
  <si>
    <t xml:space="preserve">S/E Miraje 220 kV </t>
  </si>
  <si>
    <t>01/09/2020 16:35:39</t>
  </si>
  <si>
    <t>09/2021</t>
  </si>
  <si>
    <t>Copiapo Solar</t>
  </si>
  <si>
    <t>03/04/2025 17:21:16</t>
  </si>
  <si>
    <t>PMG Portezuelo</t>
  </si>
  <si>
    <t>Parque Eólico El Naranjo</t>
  </si>
  <si>
    <t>Parque Fotovoltaico Oxum del Tamarugal</t>
  </si>
  <si>
    <t>Generadora y Distribuidora de Energía Oxum Spa</t>
  </si>
  <si>
    <t>280.8</t>
  </si>
  <si>
    <t>Diagonal Oriente 220 kV</t>
  </si>
  <si>
    <t>Parque Fotovoltaico Caracas II</t>
  </si>
  <si>
    <t>Generadora Sol Soliv SpA</t>
  </si>
  <si>
    <t>S/E Prime Condores 23 kV</t>
  </si>
  <si>
    <t>Parque Eólico Paposo</t>
  </si>
  <si>
    <t>Sierra Gorda Solar</t>
  </si>
  <si>
    <t>406</t>
  </si>
  <si>
    <t>07/10/2021 18:59:10</t>
  </si>
  <si>
    <t>Parque Eólico Los Maitenes</t>
  </si>
  <si>
    <t>Parque Eólico Victoria</t>
  </si>
  <si>
    <t>S/E Los Peumos 220 kV</t>
  </si>
  <si>
    <t>Parque Eólico Rapel Norte</t>
  </si>
  <si>
    <t>J14/J11</t>
  </si>
  <si>
    <t>Parque Eólico Curauma</t>
  </si>
  <si>
    <t>S/E Quintay 66 kV</t>
  </si>
  <si>
    <t>Parque Eólico San Andrés</t>
  </si>
  <si>
    <t>Parque Eólico San Andrés SpA</t>
  </si>
  <si>
    <t>28/03/2022 00:00:00</t>
  </si>
  <si>
    <t>Parque Eólico Punta de talca</t>
  </si>
  <si>
    <t>S/E Talinay 220 kV</t>
  </si>
  <si>
    <t>Parque Fotovoltaico Casa Solar</t>
  </si>
  <si>
    <t>Parque Fotovoltaico Leyda Solar</t>
  </si>
  <si>
    <t>Parque Fotovoltaico Chañar Solar (Sphera)</t>
  </si>
  <si>
    <t>Casas Viejas Solar</t>
  </si>
  <si>
    <t>S/E Doña Carmen 220 kV</t>
  </si>
  <si>
    <t>17/10/2022 22:18:42</t>
  </si>
  <si>
    <t>Solar Piemonte</t>
  </si>
  <si>
    <t>Solar Piemonte SpA</t>
  </si>
  <si>
    <t>S/E Punitaqui 13,2 kV</t>
  </si>
  <si>
    <t>Parque Fotovoltaico Candelaria Solar</t>
  </si>
  <si>
    <t>Inversiones Candelaria Solar SpA</t>
  </si>
  <si>
    <t>166.98</t>
  </si>
  <si>
    <t>Parque Fotovoltaico Minas Solar</t>
  </si>
  <si>
    <t>Inversiones Minas Solar SpA</t>
  </si>
  <si>
    <t>Línea 1x220 kV Totoralillo - Cerro Negro Norte</t>
  </si>
  <si>
    <t>Parque Fotovoltaico Lince Solar</t>
  </si>
  <si>
    <t>Línea 1x110 kV Sierra Gorda - Bombeo 2</t>
  </si>
  <si>
    <t>Parque Eólico Los Junquillos</t>
  </si>
  <si>
    <t>29/01/2024 12:59:55</t>
  </si>
  <si>
    <t xml:space="preserve">Energías Calbuco S.A. </t>
  </si>
  <si>
    <t>42.5</t>
  </si>
  <si>
    <t>S/E Ilque 110 kV</t>
  </si>
  <si>
    <t>BH1</t>
  </si>
  <si>
    <t>Parque Fotovoltaico Sierra Soleada</t>
  </si>
  <si>
    <t>Inmobiliaria e Inversiones Los Coihues S.A.</t>
  </si>
  <si>
    <t>Línea 1x110 kV Diego de Almagro - Manto Verde</t>
  </si>
  <si>
    <t>Parque Fotovoltaico Katana del Verano Solar</t>
  </si>
  <si>
    <t>S/E Calama 110 kV</t>
  </si>
  <si>
    <t>PF Nuevo Futuro</t>
  </si>
  <si>
    <t>Avenir La Silla SpA</t>
  </si>
  <si>
    <t>Parque Fotovoltaico Diego de Almagro Sur</t>
  </si>
  <si>
    <t>Parque Fotovoltaico Jardín Solar</t>
  </si>
  <si>
    <t>475</t>
  </si>
  <si>
    <t>J10 y J13</t>
  </si>
  <si>
    <t>Parque Fotovoltaico Pacific Inti</t>
  </si>
  <si>
    <t>S/E María Elena 220 kV</t>
  </si>
  <si>
    <t>52J8</t>
  </si>
  <si>
    <t>Parque Fotovoltaico Inti Pacha</t>
  </si>
  <si>
    <t>J5 y J14</t>
  </si>
  <si>
    <t>17/02/2023 12:42:00</t>
  </si>
  <si>
    <t>Parque Fotovoltaico Celda Solar (ex Planta Solar Pampa Camarones)</t>
  </si>
  <si>
    <t>S/E Roncacho</t>
  </si>
  <si>
    <t>52J7</t>
  </si>
  <si>
    <t>08/11/2024 00:00:00</t>
  </si>
  <si>
    <t>Parque Fotovoltaico Alfa Solar</t>
  </si>
  <si>
    <t>Pleiades S.A.</t>
  </si>
  <si>
    <t>Barra 1 o Barra 2</t>
  </si>
  <si>
    <t>Primer paño al norte de la S/E (nuevo paño de conexión)</t>
  </si>
  <si>
    <t>12/12/2022 00:00:00</t>
  </si>
  <si>
    <t>AR Ministro Hales Solar</t>
  </si>
  <si>
    <t>Línea 1x220 kV Encuentro - Tchitack Hales</t>
  </si>
  <si>
    <t>Parque Solar Antofagasta</t>
  </si>
  <si>
    <t>Ibereólica Solar Antofagasta SpA</t>
  </si>
  <si>
    <t>Línea 2x220 kV Elena - Kimal</t>
  </si>
  <si>
    <t>Parque Eólico Horizonte</t>
  </si>
  <si>
    <t>812</t>
  </si>
  <si>
    <t>25/11/2022 22:42:57</t>
  </si>
  <si>
    <t>Freirina Solar</t>
  </si>
  <si>
    <t>Parsosy Vallenar 1 Spa</t>
  </si>
  <si>
    <t>Línea 4x220 kV Guacolda-Maitencillo</t>
  </si>
  <si>
    <t>Mejoras en SE Petropower y SE ERBB</t>
  </si>
  <si>
    <t>Parque Eólico Atacama</t>
  </si>
  <si>
    <t>177.6</t>
  </si>
  <si>
    <t>Línea 2x220 kV Cabo Leones - Maitencillo</t>
  </si>
  <si>
    <t>235 mm2 Cairo</t>
  </si>
  <si>
    <t>07/2022</t>
  </si>
  <si>
    <t xml:space="preserve">S/E Illapa 220 kV </t>
  </si>
  <si>
    <t>J14 y J15</t>
  </si>
  <si>
    <t>Arqueros</t>
  </si>
  <si>
    <t>Laguna Resources Chile Limitada</t>
  </si>
  <si>
    <t>Línea 1x220 kV Carrera Pinto - La Coipa</t>
  </si>
  <si>
    <t>Rucasol</t>
  </si>
  <si>
    <t>Rucasol SpA</t>
  </si>
  <si>
    <t>Línea 1x110 kV Punta Peuco - Loma los Colorados</t>
  </si>
  <si>
    <t>07/2020</t>
  </si>
  <si>
    <t>Parque Fotovoltaico Peumo</t>
  </si>
  <si>
    <t>Palermo Solar SpA</t>
  </si>
  <si>
    <t>S/E El Peumo 23 kV</t>
  </si>
  <si>
    <t>18/05/2021 00:00:00</t>
  </si>
  <si>
    <t>Tamarico 2</t>
  </si>
  <si>
    <t>Campanillas Solar SpA</t>
  </si>
  <si>
    <t>155.05</t>
  </si>
  <si>
    <t>Línea 2x220 kV Maitencillo - Caserones</t>
  </si>
  <si>
    <t>PMG Don Oscar (ex Llanos Blancos 2)</t>
  </si>
  <si>
    <t>Parque Fotovoltaico Domeyko</t>
  </si>
  <si>
    <t>Parque Solar Domeyko SpA</t>
  </si>
  <si>
    <t>Parque Fotovoltaico Los Nogales</t>
  </si>
  <si>
    <t>Camarico Solar SpA</t>
  </si>
  <si>
    <t>PSF Torino</t>
  </si>
  <si>
    <t>24/05/2021 10:53:51</t>
  </si>
  <si>
    <t>Canelillo</t>
  </si>
  <si>
    <t>Generadora Canelillo SpA</t>
  </si>
  <si>
    <t>S/E Las Palmas 220 kV</t>
  </si>
  <si>
    <t>18/03/2022 00:00:00</t>
  </si>
  <si>
    <t>02/2023</t>
  </si>
  <si>
    <t>Sol del Loa S.A.</t>
  </si>
  <si>
    <t>Los Olmos</t>
  </si>
  <si>
    <t>Línea 1X220 kV Tolpán - Mulchén</t>
  </si>
  <si>
    <t>Desierto de Atacama</t>
  </si>
  <si>
    <t>J4 y J5</t>
  </si>
  <si>
    <t>17/12/2021 00:00:00</t>
  </si>
  <si>
    <t>Parque Fotovoltaico Valle Atacama</t>
  </si>
  <si>
    <t>CE Atacama Solar SpA</t>
  </si>
  <si>
    <t>Sol de Lila</t>
  </si>
  <si>
    <t>Ollague</t>
  </si>
  <si>
    <t>Pampas (Ex-Parque Eólico Nolana)</t>
  </si>
  <si>
    <t>245</t>
  </si>
  <si>
    <t>21/11/2024 00:00:00</t>
  </si>
  <si>
    <t>Malgarida I (28 MW) y II (157,6 MW)</t>
  </si>
  <si>
    <t>Malgarida I SpA</t>
  </si>
  <si>
    <t>185.6</t>
  </si>
  <si>
    <t>Línea 1x220 kV Cumbre - Almeyda</t>
  </si>
  <si>
    <t>Planta Solar Fotovoltaica Malgarida</t>
  </si>
  <si>
    <t>1x220 kV Cumbre - Almeyda</t>
  </si>
  <si>
    <t>El Ulmo Solar</t>
  </si>
  <si>
    <t>Barra J</t>
  </si>
  <si>
    <t>14/05/2024 17:45:05</t>
  </si>
  <si>
    <t>Parque Fotovoltaico Longotoma Solar</t>
  </si>
  <si>
    <t>Quinquimo Solar Spa</t>
  </si>
  <si>
    <t>Barra principal N1</t>
  </si>
  <si>
    <t>14/10/2024 00:00:00</t>
  </si>
  <si>
    <t>Parque Fotovoltaico Tinguiririca Solar</t>
  </si>
  <si>
    <t>A11</t>
  </si>
  <si>
    <t>Parque Fotovoltaico Estepa Solar</t>
  </si>
  <si>
    <t>Paño libre Tocopilla 1</t>
  </si>
  <si>
    <t>Parque Fotovoltaico Rosa de Sharon</t>
  </si>
  <si>
    <t>Hanyang Chile S.A.</t>
  </si>
  <si>
    <t>Barra principal y de transferencia</t>
  </si>
  <si>
    <t>Ampliación San Pedro I</t>
  </si>
  <si>
    <t>GPG Solar Chile 2017 SpA</t>
  </si>
  <si>
    <t>Línea 1X220 kV Calama - Solar Jama</t>
  </si>
  <si>
    <t>Parque Fotovoltaico Ceibo</t>
  </si>
  <si>
    <t>Eactiva SpA</t>
  </si>
  <si>
    <t>280</t>
  </si>
  <si>
    <t>89J6-3T</t>
  </si>
  <si>
    <t>Planta FV Tocopilla</t>
  </si>
  <si>
    <t>Paño ESTE, contiguo al paño "L/Lagunas 1"</t>
  </si>
  <si>
    <t>07/10/2021 19:02:21</t>
  </si>
  <si>
    <t>Central Hidroeléctrica Aillín</t>
  </si>
  <si>
    <t>Hidroelectrica Las Juntas S.A.</t>
  </si>
  <si>
    <t>S/E Peuchén 220 kV</t>
  </si>
  <si>
    <t>Parque Fotovoltaico Marañon</t>
  </si>
  <si>
    <t>Inversiones Navat SpA</t>
  </si>
  <si>
    <t>155.8</t>
  </si>
  <si>
    <t>Línea Maitencillo Caserones 220 kV</t>
  </si>
  <si>
    <t>Las Bateas</t>
  </si>
  <si>
    <t>Til Til Energías SpA</t>
  </si>
  <si>
    <t>29.5</t>
  </si>
  <si>
    <t>Línea 110 kV Loma Los Colorados - Tap Punta Peuco</t>
  </si>
  <si>
    <t>Cielos y Espejo de Tarapacá (600 MW Solar y 300 MW Hidro)</t>
  </si>
  <si>
    <t>Energía de Tarapacá SpA</t>
  </si>
  <si>
    <t>630</t>
  </si>
  <si>
    <t>BP1 y BP2</t>
  </si>
  <si>
    <t>J18 y J19</t>
  </si>
  <si>
    <t>Switchgear 23 kV SE Andes - Hanwha Q Cells</t>
  </si>
  <si>
    <t>Hanwha Q Cells Chile SpA</t>
  </si>
  <si>
    <t>26.6</t>
  </si>
  <si>
    <t>10/2020</t>
  </si>
  <si>
    <t>Normalización de Conexión Parque Eólico Aurora</t>
  </si>
  <si>
    <t>Parque Fotovoltaico Caimanes</t>
  </si>
  <si>
    <t>Generadora Caimanes SpA</t>
  </si>
  <si>
    <t>S/E Los Vilos 220 kV</t>
  </si>
  <si>
    <t>Parque Eólico Nolana SpA</t>
  </si>
  <si>
    <t>Parque Fotovoltaico Paposo</t>
  </si>
  <si>
    <t>Conexión a SE Puente Negro</t>
  </si>
  <si>
    <t>Hidroeléctrica La Higuera S.A.</t>
  </si>
  <si>
    <t>Barras principaes 1 y 2</t>
  </si>
  <si>
    <t>J7,J9,J10 Y J12</t>
  </si>
  <si>
    <t>01/07/2020 00:00:00</t>
  </si>
  <si>
    <t>07/2021</t>
  </si>
  <si>
    <t>Minera Santo Domingo</t>
  </si>
  <si>
    <t>Minera Santo Domingo SCM</t>
  </si>
  <si>
    <t>S/E Central San Lorenzo 220 kV</t>
  </si>
  <si>
    <t>Valle del Sol</t>
  </si>
  <si>
    <t>31/08/2020 00:00:00</t>
  </si>
  <si>
    <t>Bellavista Generación</t>
  </si>
  <si>
    <t>Bellavista Generación SpA</t>
  </si>
  <si>
    <t>Parque Solar Punta del Viento</t>
  </si>
  <si>
    <t>Energía Renovable Verano Tres SpA</t>
  </si>
  <si>
    <t>15/11/2022 00:00:00</t>
  </si>
  <si>
    <t>CENTRAL DOÑA LUZMA</t>
  </si>
  <si>
    <t>Aggreko Chile Projects SpA</t>
  </si>
  <si>
    <t>S/E Alcones 66 kV</t>
  </si>
  <si>
    <t>BL2</t>
  </si>
  <si>
    <t>07/09/2022 10:52:05</t>
  </si>
  <si>
    <t>Parque Fotovoltaico Nuevo Futuro</t>
  </si>
  <si>
    <t>S/E Pajonales 220 kV</t>
  </si>
  <si>
    <t>Parque Fotovoltaico Sol del Desierto</t>
  </si>
  <si>
    <t>Barra 2 Maria Elena</t>
  </si>
  <si>
    <t>Nuevo paño en barra ampliada</t>
  </si>
  <si>
    <t>23/01/2020 00:00:00</t>
  </si>
  <si>
    <t>Central Algarrobo</t>
  </si>
  <si>
    <t>1x220 kV Los Vilos - Los Espinos</t>
  </si>
  <si>
    <t>Parque Fotovoltaico Campos del Sol</t>
  </si>
  <si>
    <t>399</t>
  </si>
  <si>
    <t>Ambas secciones de barra</t>
  </si>
  <si>
    <t>Central Diesel Llanos Blancos</t>
  </si>
  <si>
    <t>Prime Energía SpA</t>
  </si>
  <si>
    <t>Línea S/E Pan de Azúcar 220 kV - S/E Minera Teck CDA 220 kV</t>
  </si>
  <si>
    <t>Central Hidroeléctrica La Confianza</t>
  </si>
  <si>
    <t>2.61</t>
  </si>
  <si>
    <t>Línea 1x23 kV Peuchén - Mampil</t>
  </si>
  <si>
    <t>Planta desaladora Atacama</t>
  </si>
  <si>
    <t>Empresa Concesionaria de Servicios Sanitarios S.A.</t>
  </si>
  <si>
    <t>29.6</t>
  </si>
  <si>
    <t>nuevo JT2</t>
  </si>
  <si>
    <t>Atiaia Energía Chile SpA</t>
  </si>
  <si>
    <t>Línea 2x220 kV Mulchén - Angostura</t>
  </si>
  <si>
    <t>Parque Eólico Campo Lindo</t>
  </si>
  <si>
    <t>Línea 1x220 kV Tap María Dolores - Laja</t>
  </si>
  <si>
    <t>PF Los Andes</t>
  </si>
  <si>
    <t>S/E Andes 23 kV y 220 kV</t>
  </si>
  <si>
    <t>Parque Fotovoltaico Tamarico</t>
  </si>
  <si>
    <t>291.4</t>
  </si>
  <si>
    <t>Parque Eólico Peñasco Ventoso</t>
  </si>
  <si>
    <t>323.4</t>
  </si>
  <si>
    <t>Línea 2x220 kV Quilleco - Charrúa</t>
  </si>
  <si>
    <t>Parque Eólico San Rarinco</t>
  </si>
  <si>
    <t>Línea 1x220 kV Tap María Dolores - Santa Fé</t>
  </si>
  <si>
    <t>San Pedro I</t>
  </si>
  <si>
    <t>Línea 1x220 kV Calama - Solar Jama</t>
  </si>
  <si>
    <t>Parque Eólico Malleco</t>
  </si>
  <si>
    <t>WPD Malleco SpA</t>
  </si>
  <si>
    <t>273</t>
  </si>
  <si>
    <t>02/01/2020 00:00:00</t>
  </si>
  <si>
    <t>Puelche Sur</t>
  </si>
  <si>
    <t>156</t>
  </si>
  <si>
    <t>27/03/2020 00:00:00</t>
  </si>
  <si>
    <t>Parque Fotovoltaico Arica I</t>
  </si>
  <si>
    <t>Parque Fotovoltaico Sol de Los Andes</t>
  </si>
  <si>
    <t>AustrianSolar Chile Uno SpA.</t>
  </si>
  <si>
    <t>Línea 1x110 kV Diego de Almagro - Llanta</t>
  </si>
  <si>
    <t>03/2020</t>
  </si>
  <si>
    <t>Parque Fotovoltaico Tata Inti</t>
  </si>
  <si>
    <t>08/02/2022 00:00:00</t>
  </si>
  <si>
    <t>Parque Eólico Topoloa</t>
  </si>
  <si>
    <t>330</t>
  </si>
  <si>
    <t>S/E Quillagua 220 kV</t>
  </si>
  <si>
    <t>AR Kimal</t>
  </si>
  <si>
    <t>Inversiones Kimal SpA</t>
  </si>
  <si>
    <t>16/06/2020 12:37:12</t>
  </si>
  <si>
    <t>Nueva bahia GIS</t>
  </si>
  <si>
    <t>Subestación eléctrica El Bato</t>
  </si>
  <si>
    <t>Parque Eólico Bellavista</t>
  </si>
  <si>
    <t>Albemarle</t>
  </si>
  <si>
    <t>Línea 1x220 kV Andes - Laberinto</t>
  </si>
  <si>
    <t>Parque Eólico Mesamavida</t>
  </si>
  <si>
    <t>S/E Santa Luisa 154 kV</t>
  </si>
  <si>
    <t>Mejora operacional sistema de impulsion agua de mar</t>
  </si>
  <si>
    <t>52JT3, por confirmar</t>
  </si>
  <si>
    <t>Parque Fotovoltaico Escondido</t>
  </si>
  <si>
    <t>S/E Cardones 220 kV</t>
  </si>
  <si>
    <t>08/06/2020 00:00:00</t>
  </si>
  <si>
    <t>Parque Fotovoltaico Carena</t>
  </si>
  <si>
    <t>Parque Fotovoltaico Capricornio</t>
  </si>
  <si>
    <t>S/E Capricornio 110 kV</t>
  </si>
  <si>
    <t>Sección única</t>
  </si>
  <si>
    <t>09/06/2020 00:00:00</t>
  </si>
  <si>
    <t>Media diagonal B2</t>
  </si>
  <si>
    <t>19/01/2023 10:53:28</t>
  </si>
  <si>
    <t>Blancas Solar</t>
  </si>
  <si>
    <t>Renovalia Chile Tres SpA.</t>
  </si>
  <si>
    <t>Línea 1x66 kV Palestina - EL Peñón</t>
  </si>
  <si>
    <t>06/10/2021 00:00:00</t>
  </si>
  <si>
    <t>Parque Fotovoltaico Libertad II</t>
  </si>
  <si>
    <t>121.905</t>
  </si>
  <si>
    <t>S/E Agrosúper 23 kV</t>
  </si>
  <si>
    <t>PF Libertad I</t>
  </si>
  <si>
    <t>Parque Fotovoltaico La Cruz Solar</t>
  </si>
  <si>
    <t>S/E Tap Off La Cruz 220 kV</t>
  </si>
  <si>
    <t>Línea 1x110 kV Planta de Bombeo 2 - Manto Verde</t>
  </si>
  <si>
    <t>Central Hidroeléctrica Correntoso</t>
  </si>
  <si>
    <t>Hidropalmar S.A.</t>
  </si>
  <si>
    <t>S/E Copihues 110 kV</t>
  </si>
  <si>
    <t>Central Hidroeléctrica Palmar</t>
  </si>
  <si>
    <t>10.4</t>
  </si>
  <si>
    <t>Central Hidroeléctrica Los Lagos</t>
  </si>
  <si>
    <t>Empresa Eléctrica Pilmaiquén S.A.</t>
  </si>
  <si>
    <t>48.1</t>
  </si>
  <si>
    <t>Río Bueno</t>
  </si>
  <si>
    <t>Parque Eólico Piedra Amarilla</t>
  </si>
  <si>
    <t>PE Piedra Amarilla SpA</t>
  </si>
  <si>
    <t>Línea 1x220 kV Mulchén - PE Renaico</t>
  </si>
  <si>
    <t>Minera Salar Blanco (old)</t>
  </si>
  <si>
    <t>8.5</t>
  </si>
  <si>
    <t>Parque Fotovoltaico Coya</t>
  </si>
  <si>
    <t>Solventus Chile SpA</t>
  </si>
  <si>
    <t>Línea 1x220 kV Crucero - Radomiro Tomic</t>
  </si>
  <si>
    <t>Planta Desalinizadora SPENCE</t>
  </si>
  <si>
    <t>Caitán Spa</t>
  </si>
  <si>
    <t>38.43</t>
  </si>
  <si>
    <t>Kapatur BP1 y BP2</t>
  </si>
  <si>
    <t>JT2-1 y JT2-2</t>
  </si>
  <si>
    <t>Proyecto Minero Arqueros</t>
  </si>
  <si>
    <t>COMPANÍA MINERA ARQUEROS S.A.</t>
  </si>
  <si>
    <t>14.3</t>
  </si>
  <si>
    <t>S/E Marquesa 66 kV</t>
  </si>
  <si>
    <t>Central Hidroeléctrica El Canelo</t>
  </si>
  <si>
    <t>Energía Coyanco S.A.</t>
  </si>
  <si>
    <t>S/E La Laja 110 kV</t>
  </si>
  <si>
    <t>Parque Eólico Rarinco</t>
  </si>
  <si>
    <t>S/E Varones 220 kV</t>
  </si>
  <si>
    <t>A y B</t>
  </si>
  <si>
    <t>27/07/2022 16:53:58</t>
  </si>
  <si>
    <t>Parque Fotovoltaico Willka</t>
  </si>
  <si>
    <t>Barras principales y barra de transferencia</t>
  </si>
  <si>
    <t>15/06/2020 00:00:00</t>
  </si>
  <si>
    <t>Ampliación Cerro Pabellon</t>
  </si>
  <si>
    <t>Geotérmica del Norte S.A.</t>
  </si>
  <si>
    <t>33</t>
  </si>
  <si>
    <t>Geotérmica</t>
  </si>
  <si>
    <t>S/E Cerro Pabellón 220 kV</t>
  </si>
  <si>
    <t>Belino, Maitenes y SSP solar</t>
  </si>
  <si>
    <t>RPI Solar SpA</t>
  </si>
  <si>
    <t>20.8</t>
  </si>
  <si>
    <t>Barra de 110 kV según plano adjunto</t>
  </si>
  <si>
    <t>Paño N° 4 de 23/110 kV</t>
  </si>
  <si>
    <t>04/06/2020 13:49:38</t>
  </si>
  <si>
    <t>Parque Fotovoltaico Guanaco Solar</t>
  </si>
  <si>
    <t>Nuevopaño</t>
  </si>
  <si>
    <t>Parque Eólico Vergara</t>
  </si>
  <si>
    <t>PE Vergara SpA</t>
  </si>
  <si>
    <t>39.6</t>
  </si>
  <si>
    <t>Línea 1x220 kV Charrúa - Santa Fé</t>
  </si>
  <si>
    <t>Parque Eólico San Matías</t>
  </si>
  <si>
    <t>Eólica San Matías SpA</t>
  </si>
  <si>
    <t>Línea 1x220 kV Tap María Dolores - Celulosa Laja</t>
  </si>
  <si>
    <t>El Pinar</t>
  </si>
  <si>
    <t>Empresa Eléctrica El Pinar SpA.</t>
  </si>
  <si>
    <t>11.5</t>
  </si>
  <si>
    <t>S/E Antuco 220 kV</t>
  </si>
  <si>
    <t>Salar del Carmen SQM</t>
  </si>
  <si>
    <t>Línea 1x110 kV Uribe -Uribe Solar</t>
  </si>
  <si>
    <t>Parque Fotovoltaico Alcones</t>
  </si>
  <si>
    <t>22/03/2022 00:00:00</t>
  </si>
  <si>
    <t>Parque Fotovoltaico Almeyda</t>
  </si>
  <si>
    <t>Almeyda SpA</t>
  </si>
  <si>
    <t>13/03/2019 00:00:00</t>
  </si>
  <si>
    <t>Parque Eólico Trigales</t>
  </si>
  <si>
    <t>Parque Eólico Los Trigales SpA</t>
  </si>
  <si>
    <t>154.8</t>
  </si>
  <si>
    <t>24/05/2021 00:00:00</t>
  </si>
  <si>
    <t>Parque Fotovoltaico Tres Cruces</t>
  </si>
  <si>
    <t>136</t>
  </si>
  <si>
    <t>Ampliacion de barra (decreto 198/2019)</t>
  </si>
  <si>
    <t xml:space="preserve">Paño J8 y J9 </t>
  </si>
  <si>
    <t>Hidromocho</t>
  </si>
  <si>
    <t>Hidromocho S.A.</t>
  </si>
  <si>
    <t>S/E El Mocho 23 kV</t>
  </si>
  <si>
    <t>Transformador en S/E Arica</t>
  </si>
  <si>
    <t>S/E Arica 66/13,8 kV</t>
  </si>
  <si>
    <t>Central Diesel Pajonales</t>
  </si>
  <si>
    <t>Línea 1x220 kV Tap Off El Romero - El Romero</t>
  </si>
  <si>
    <t>Aumento Capacidad Central Quellón</t>
  </si>
  <si>
    <t>Energía Siete SpA</t>
  </si>
  <si>
    <t>S/E Central Quellón 23 kV</t>
  </si>
  <si>
    <t>EG1</t>
  </si>
  <si>
    <t>Parque Solar Nuevo Quillagua</t>
  </si>
  <si>
    <t>S/E PE Quillagua 220 kV</t>
  </si>
  <si>
    <t>Parque Eólico Llanos del viento</t>
  </si>
  <si>
    <t>S/E O'Higgins 220 kV</t>
  </si>
  <si>
    <t>Barra 1, Barra 2, Barra Transferencia</t>
  </si>
  <si>
    <t>31/03/2020 00:00:00</t>
  </si>
  <si>
    <t>Parque Eólico La Esperanza II</t>
  </si>
  <si>
    <t>Eólica La Esperanza S.A.</t>
  </si>
  <si>
    <t>S/E Negrete 66 kV</t>
  </si>
  <si>
    <t>Central Hidroeléctrica La Engorda</t>
  </si>
  <si>
    <t>Exploraciones Hídricas SpA.</t>
  </si>
  <si>
    <t>Línea 1x66 kV Pangal - Tap Off Chacayes</t>
  </si>
  <si>
    <t>Parque Eólico Alena</t>
  </si>
  <si>
    <t>84</t>
  </si>
  <si>
    <t>Línea 1x154 kV Los Ángeles - Santa Fé</t>
  </si>
  <si>
    <t>Cipresillos</t>
  </si>
  <si>
    <t>Eléctrica Cipresillos SpA</t>
  </si>
  <si>
    <t>Línea 1x66 kV Tap Off - Chacayes</t>
  </si>
  <si>
    <t>La Huella</t>
  </si>
  <si>
    <t>AustrianSolar Chile Seis SpA</t>
  </si>
  <si>
    <t>Minera Salar Blanco</t>
  </si>
  <si>
    <t>06/2020</t>
  </si>
  <si>
    <t>Parque Eólico Negrete</t>
  </si>
  <si>
    <t>WPD Negrete SpA</t>
  </si>
  <si>
    <t>39</t>
  </si>
  <si>
    <t>BT2</t>
  </si>
  <si>
    <t>Parque Fotovoltaico Pampa Tigre</t>
  </si>
  <si>
    <t>Línea 1x220 kV Farellon - Cerro Tigre</t>
  </si>
  <si>
    <t>Parque Eólico Tchamma</t>
  </si>
  <si>
    <t>159.6</t>
  </si>
  <si>
    <t>Línea 1x220 kV Encuentro - Spence</t>
  </si>
  <si>
    <t>Parque Eólico Cerro Tigre</t>
  </si>
  <si>
    <t>S/E Farellón 220 kV</t>
  </si>
  <si>
    <t>Elena</t>
  </si>
  <si>
    <t>19/02/2021 00:00:00</t>
  </si>
  <si>
    <t>Granja Solar</t>
  </si>
  <si>
    <t>María Elena Solar S.A.</t>
  </si>
  <si>
    <t>Línea de Transmisión Tolchén</t>
  </si>
  <si>
    <t>Tolchén Transmisión SpA</t>
  </si>
  <si>
    <t>Salar del Carmen SQM S.A.</t>
  </si>
  <si>
    <t>11/06/2020 00:00:00</t>
  </si>
  <si>
    <t>Domeyko Oeste FV</t>
  </si>
  <si>
    <t>Domeyko Oeste Cinco SpA</t>
  </si>
  <si>
    <t>201</t>
  </si>
  <si>
    <t>S/E Puri 220 kV</t>
  </si>
  <si>
    <t>Ckani</t>
  </si>
  <si>
    <t>109.2</t>
  </si>
  <si>
    <t>AR Frontera Solar</t>
  </si>
  <si>
    <t>Parque Eólico Calama</t>
  </si>
  <si>
    <t>Central Hidro Laja</t>
  </si>
  <si>
    <t>11/01/2022 10:31:07</t>
  </si>
  <si>
    <t>Central Teno Gas 10</t>
  </si>
  <si>
    <t>S/E Aguas Negras 66 kV</t>
  </si>
  <si>
    <t>Parque Fotovoltaico Azabache 63 MW y USYA 52,4 MW</t>
  </si>
  <si>
    <t xml:space="preserve">Sociedad Parque Eólico Valle de los Vientos S.A. </t>
  </si>
  <si>
    <t>115.4</t>
  </si>
  <si>
    <t>Hidroeléctrica Paredones</t>
  </si>
  <si>
    <t>Hidroeléctrica Paredones S.A.</t>
  </si>
  <si>
    <t>Hidroeléctrica Blanco</t>
  </si>
  <si>
    <t>Hidroeléctrica Blanco S.A.</t>
  </si>
  <si>
    <t>Central de respaldo Maitencillo</t>
  </si>
  <si>
    <t>Empresa Eléctrica de Vallenar S.A.</t>
  </si>
  <si>
    <t>68.4</t>
  </si>
  <si>
    <t>S/E Maitencillo 110 kV</t>
  </si>
  <si>
    <t>Cerro Trinchera</t>
  </si>
  <si>
    <t>Electro Austral Generación Ltda</t>
  </si>
  <si>
    <t>S/E La Mina 66 kV</t>
  </si>
  <si>
    <t>Parque Eólico La Flor</t>
  </si>
  <si>
    <t>Vientos de Renaico SpA</t>
  </si>
  <si>
    <t>S/E Nahuelbuta 66 kV</t>
  </si>
  <si>
    <t>28/02/2019 00:00:00</t>
  </si>
  <si>
    <t>San Gabriel 183 MW y Tolpán Sur 87 MW</t>
  </si>
  <si>
    <t>24/05/2018 00:00:00</t>
  </si>
  <si>
    <t>AR Valle Altillo Solar</t>
  </si>
  <si>
    <t>8.9</t>
  </si>
  <si>
    <t>Línea 2x66 kV Los Molles - Ovalle</t>
  </si>
  <si>
    <t>Parque Eólico Lomas de Duqueco</t>
  </si>
  <si>
    <t>Central Hidroeléctrica Trupán</t>
  </si>
  <si>
    <t>Asociación de Canalistas Canal Zañartu</t>
  </si>
  <si>
    <t>Línea 1x154 kV Abanico - Charrúa</t>
  </si>
  <si>
    <t>Meseta de los Andes</t>
  </si>
  <si>
    <t>Tercera Región Solar SpA</t>
  </si>
  <si>
    <t>03/11/2020 00:00:00</t>
  </si>
  <si>
    <t>AR Candelaria Solar</t>
  </si>
  <si>
    <t>Consumo Albemarle</t>
  </si>
  <si>
    <t>S/E El Negro 23 kV</t>
  </si>
  <si>
    <t>Central Teno Gas 50</t>
  </si>
  <si>
    <t>Línea 1x66 kV Teno - Aguas Negras</t>
  </si>
  <si>
    <t>Proyecto Central Hidroeléctrica San Pedro</t>
  </si>
  <si>
    <t>Grupo Pirandes SpA</t>
  </si>
  <si>
    <t>Línea 1x66 kV Tap Río Colorado - Armerillo</t>
  </si>
  <si>
    <t>Los Guindos Etapa II</t>
  </si>
  <si>
    <t>05/06/2018 00:00:00</t>
  </si>
  <si>
    <t>Central El Romero</t>
  </si>
  <si>
    <t>Aaktei Transmisión SpA</t>
  </si>
  <si>
    <t>Línea 23kV Caren - Melipeuco 
Línea 1x110 kV Melipeuco - Río Toltén
S/E Melipeuco 23/110 kV
S/E Río Toltén 110/220 kV</t>
  </si>
  <si>
    <t>Central Hidroeléctrica Digua</t>
  </si>
  <si>
    <t>Eléctrica Digua SpA</t>
  </si>
  <si>
    <t>19.98</t>
  </si>
  <si>
    <t>Línea 2x220 kV San Fabián - Ancoa</t>
  </si>
  <si>
    <t>Central El Brujo</t>
  </si>
  <si>
    <t>11</t>
  </si>
  <si>
    <t>Línea 1x220 kV Confluencia - San Andrés</t>
  </si>
  <si>
    <t>Flores</t>
  </si>
  <si>
    <t>Hidroeléctrica Flores S.A.</t>
  </si>
  <si>
    <t>Hidroeléctrica La Estancia S.A.</t>
  </si>
  <si>
    <t>S/E Melipeuco 23 kV</t>
  </si>
  <si>
    <t>Basualto</t>
  </si>
  <si>
    <t>Hidroeléctrica Basualto SpA.</t>
  </si>
  <si>
    <t>141.9</t>
  </si>
  <si>
    <t>Electrificación Camarones</t>
  </si>
  <si>
    <t>Empresa Eléctrica de Arica S.A.</t>
  </si>
  <si>
    <t>0.38</t>
  </si>
  <si>
    <t>S/E Vítor 23 kV</t>
  </si>
  <si>
    <t>Atacama Solar</t>
  </si>
  <si>
    <t>Parque Fotovoltaico Divisadero</t>
  </si>
  <si>
    <t>Avenir el Divisadero SpA</t>
  </si>
  <si>
    <t>Línea 1x110 kV Las Compañías - Maitencillo</t>
  </si>
  <si>
    <t>Lauca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</si>
</sst>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[$$-409]* #,##0.00_ ;_-[$$-409]* \-#,##0.00\ ;_-[$$-409]* &quot;-&quot;??_ ;_-@_ "/>
    <numFmt numFmtId="166" formatCode="0.0000"/>
  </numFmts>
  <fonts count="17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rgb="FF0000FF"/>
      <name val="Calibri"/>
      <family val="2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sz val="11"/>
      <color rgb="FFFF0000"/>
      <name val="Aptos Narrow"/>
      <family val="2"/>
      <scheme val="minor"/>
    </font>
    <font>
      <b/>
      <u/>
      <sz val="11"/>
      <color rgb="FF0000FF"/>
      <name val="Calibri"/>
      <family val="2"/>
    </font>
    <font>
      <b/>
      <sz val="1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5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0" xfId="0" quotePrefix="1"/>
    <xf numFmtId="0" fontId="0" fillId="0" borderId="0" xfId="0" quotePrefix="1" applyAlignment="1">
      <alignment horizontal="left"/>
    </xf>
    <xf numFmtId="0" fontId="3" fillId="0" borderId="0" xfId="0" applyFont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164" fontId="0" fillId="0" borderId="0" xfId="0" applyNumberFormat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0" applyFont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" fontId="0" fillId="0" borderId="0" xfId="0" applyNumberFormat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  <xf numFmtId="165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5" fillId="0" borderId="0" xfId="1"/>
    <xf numFmtId="14" fontId="5" fillId="0" borderId="0" xfId="1" applyNumberFormat="1"/>
    <xf numFmtId="0" fontId="5" fillId="6" borderId="0" xfId="1" applyFill="1"/>
    <xf numFmtId="0" fontId="0" fillId="4" borderId="0" xfId="0" applyFill="1" applyAlignment="1">
      <alignment horizontal="center"/>
    </xf>
    <xf numFmtId="164" fontId="0" fillId="3" borderId="0" xfId="0" applyNumberForma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0" borderId="0" xfId="0" applyFont="1"/>
    <xf numFmtId="2" fontId="0" fillId="0" borderId="0" xfId="0" applyNumberFormat="1"/>
    <xf numFmtId="0" fontId="9" fillId="11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vertical="center" wrapText="1"/>
    </xf>
    <xf numFmtId="1" fontId="9" fillId="12" borderId="1" xfId="0" applyNumberFormat="1" applyFont="1" applyFill="1" applyBorder="1" applyAlignment="1">
      <alignment vertical="center" wrapText="1"/>
    </xf>
    <xf numFmtId="3" fontId="0" fillId="0" borderId="0" xfId="0" applyNumberFormat="1"/>
    <xf numFmtId="2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0" fillId="0" borderId="0" xfId="0" applyFont="1"/>
    <xf numFmtId="0" fontId="10" fillId="0" borderId="1" xfId="0" applyFont="1" applyBorder="1"/>
    <xf numFmtId="0" fontId="2" fillId="14" borderId="0" xfId="0" applyFont="1" applyFill="1"/>
    <xf numFmtId="0" fontId="11" fillId="14" borderId="0" xfId="0" applyFont="1" applyFill="1"/>
    <xf numFmtId="1" fontId="2" fillId="14" borderId="0" xfId="0" applyNumberFormat="1" applyFont="1" applyFill="1"/>
    <xf numFmtId="164" fontId="2" fillId="14" borderId="0" xfId="0" applyNumberFormat="1" applyFont="1" applyFill="1"/>
    <xf numFmtId="14" fontId="2" fillId="14" borderId="0" xfId="0" applyNumberFormat="1" applyFont="1" applyFill="1"/>
    <xf numFmtId="0" fontId="0" fillId="14" borderId="0" xfId="0" applyFill="1" applyAlignment="1">
      <alignment horizontal="right"/>
    </xf>
    <xf numFmtId="0" fontId="0" fillId="14" borderId="0" xfId="0" applyFill="1"/>
    <xf numFmtId="0" fontId="0" fillId="14" borderId="10" xfId="0" applyFill="1" applyBorder="1" applyAlignment="1">
      <alignment horizontal="center"/>
    </xf>
    <xf numFmtId="0" fontId="0" fillId="14" borderId="0" xfId="0" applyFill="1" applyAlignment="1">
      <alignment horizontal="center"/>
    </xf>
    <xf numFmtId="14" fontId="12" fillId="14" borderId="0" xfId="0" applyNumberFormat="1" applyFont="1" applyFill="1"/>
    <xf numFmtId="0" fontId="10" fillId="0" borderId="0" xfId="0" applyFont="1" applyAlignment="1">
      <alignment horizontal="right"/>
    </xf>
    <xf numFmtId="3" fontId="10" fillId="0" borderId="0" xfId="0" applyNumberFormat="1" applyFont="1"/>
    <xf numFmtId="3" fontId="10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0" fontId="4" fillId="15" borderId="0" xfId="0" applyFont="1" applyFill="1" applyAlignment="1">
      <alignment horizontal="center"/>
    </xf>
    <xf numFmtId="0" fontId="13" fillId="0" borderId="0" xfId="0" applyFont="1"/>
    <xf numFmtId="0" fontId="14" fillId="0" borderId="0" xfId="0" applyFont="1"/>
    <xf numFmtId="1" fontId="13" fillId="0" borderId="0" xfId="0" applyNumberFormat="1" applyFont="1"/>
    <xf numFmtId="14" fontId="13" fillId="0" borderId="0" xfId="0" applyNumberFormat="1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3" xfId="0" applyBorder="1"/>
    <xf numFmtId="0" fontId="15" fillId="0" borderId="0" xfId="2"/>
    <xf numFmtId="0" fontId="15" fillId="0" borderId="0" xfId="3"/>
    <xf numFmtId="3" fontId="0" fillId="0" borderId="12" xfId="0" applyNumberFormat="1" applyBorder="1"/>
    <xf numFmtId="0" fontId="4" fillId="0" borderId="0" xfId="0" applyFont="1" applyAlignment="1">
      <alignment horizontal="right"/>
    </xf>
    <xf numFmtId="0" fontId="4" fillId="15" borderId="0" xfId="0" applyFont="1" applyFill="1" applyAlignment="1">
      <alignment horizontal="right"/>
    </xf>
    <xf numFmtId="1" fontId="16" fillId="0" borderId="0" xfId="0" applyNumberFormat="1" applyFont="1"/>
    <xf numFmtId="0" fontId="2" fillId="13" borderId="0" xfId="0" applyFont="1" applyFill="1" applyAlignment="1">
      <alignment horizontal="left"/>
    </xf>
  </cellXfs>
  <cellStyles count="4">
    <cellStyle name="Hipervínculo" xfId="3" builtinId="8"/>
    <cellStyle name="Hyperlink" xfId="2" xr:uid="{00000000-000B-0000-0000-000008000000}"/>
    <cellStyle name="Normal" xfId="0" builtinId="0"/>
    <cellStyle name="Normal 2" xfId="1" xr:uid="{BEC44E5A-B21B-4D6B-994E-A5386AE7CF6E}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64" formatCode="0.0"/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00FF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olás Villa Contardo" id="{88FDAA57-CA16-4FD5-88D1-976736D73870}" userId="S::nvilla@grenergy.eu::1573bd1b-b8d0-44ef-a431-8568fc7a0f3b" providerId="AD"/>
  <person displayName="Tomás Eduardo Valderrama Riquelme" id="{91223105-B9E9-4C5E-A78D-4BE1E1D5CC8C}" userId="S::tvalderrama@grenergy.eu::2e97a0f4-b44c-4b43-a60e-8a35f880c99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9766B-477C-446F-9BED-819B955BEBE7}" name="Tabla1" displayName="Tabla1" ref="B2:N16" totalsRowShown="0" headerRowDxfId="37" dataDxfId="36" headerRowBorderDxfId="34" tableBorderDxfId="35" totalsRowBorderDxfId="33">
  <autoFilter ref="B2:N16" xr:uid="{E879C646-7A93-4509-85D7-06C51D5DB9B8}"/>
  <sortState xmlns:xlrd2="http://schemas.microsoft.com/office/spreadsheetml/2017/richdata2" ref="B3:N16">
    <sortCondition ref="K2:K16"/>
  </sortState>
  <tableColumns count="13">
    <tableColumn id="1" xr3:uid="{1A7DC1E9-06AB-4517-8926-430A3BAAD165}" name="Id" dataDxfId="32"/>
    <tableColumn id="2" xr3:uid="{799D92D2-1B36-4639-9E7C-EBF0B66805A1}" name="Proyecto" dataDxfId="31"/>
    <tableColumn id="3" xr3:uid="{4899401B-2B12-44AD-B7E6-2CC0C43ABE1D}" name="Punto de conexión y Nivel de tensión (kV)" dataDxfId="30"/>
    <tableColumn id="13" xr3:uid="{F39CB083-AB71-4BEB-AD2F-E50037292179}" name="Capacidad [MW] Solicitada" dataDxfId="29"/>
    <tableColumn id="4" xr3:uid="{80470D1D-B530-4760-8CA5-B0E12C52F93E}" name="Región" dataDxfId="28"/>
    <tableColumn id="5" xr3:uid="{4B159C3E-D3A5-4E00-A0D5-EAAE9DC58785}" name="Tecnología" dataDxfId="27"/>
    <tableColumn id="6" xr3:uid="{CD92CA6A-98B0-4521-8036-2E44B25552A8}" name="Tipo _x000a_(SAC/SUCTD)" dataDxfId="26"/>
    <tableColumn id="7" xr3:uid="{A14F7570-6E55-43FA-B9F9-428071A3F1CA}" name="Estado Tramitación" dataDxfId="25"/>
    <tableColumn id="8" xr3:uid="{9E9F1538-DA14-4848-BDE8-FC45704F8EAB}" name="Macro Zona" dataDxfId="24">
      <calculatedColumnFormula>VLOOKUP(F3,lista!$B$4:$C$15,2,FALSE)</calculatedColumnFormula>
    </tableColumn>
    <tableColumn id="9" xr3:uid="{EFF6FC64-5327-4086-A504-C6F8A850968D}" name="Clasificación _x000a_(C1, C2, C3)" dataDxfId="23"/>
    <tableColumn id="10" xr3:uid="{6DC0FF12-D245-4A5C-B3D1-0A2405A1E86E}" name="Observacion " dataDxfId="22"/>
    <tableColumn id="11" xr3:uid="{9B085766-B611-4F40-A99C-D5275228138E}" name="¿Permite reconversión?" dataDxfId="21"/>
    <tableColumn id="12" xr3:uid="{84AA0AEA-2A9A-49D8-999A-33C51B2ABDDB}" name="Comentario adicional 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051EA3-B2FF-4052-93C4-9679B3EEEA42}" name="Tabla2" displayName="Tabla2" ref="A2:T23" totalsRowShown="0">
  <autoFilter ref="A2:T23" xr:uid="{42A18525-01C8-4654-8330-8B96D00C4193}">
    <filterColumn colId="5">
      <filters>
        <filter val="Desarrollo de estudios y/o antecedentes"/>
        <filter val="Detenida a la espera de definición de ingeniería de la obra"/>
        <filter val="Elaboración Informe de Autorización de Conexión Preliminar"/>
        <filter val="Evaluación de antecedentes y/o requerimientos"/>
        <filter val="Observaciones a Informe de Autorización de Conexión Preliminar"/>
        <filter val="Periodo de presentación de discrepancias"/>
        <filter val="Proyecto autorizado para declararse en construcción"/>
        <filter val="Proyecto declarado en construcción"/>
      </filters>
    </filterColumn>
  </autoFilter>
  <tableColumns count="20">
    <tableColumn id="1" xr3:uid="{4531007E-ABAA-463B-83F0-28C7B978579D}" name="ACCESO ABIERTO "/>
    <tableColumn id="2" xr3:uid="{0C22167D-7684-46DA-A1DE-94BA8F63B549}" name="Proyecto"/>
    <tableColumn id="3" xr3:uid="{89667258-4092-4DEE-AF01-4AE3F61AB85C}" name="NUP"/>
    <tableColumn id="4" xr3:uid="{ACAB6D42-B702-4304-92E6-763619F38E78}" name="Empresa Solicitante"/>
    <tableColumn id="5" xr3:uid="{070ED4F6-9201-494A-AFCD-5BF80B1BC2E6}" name="Tipo"/>
    <tableColumn id="6" xr3:uid="{2817AE76-B687-4B89-B4E4-F7599978E2D7}" name="Estado Solicitud"/>
    <tableColumn id="7" xr3:uid="{0823CD38-7189-47A9-9645-495296EC6711}" name="Fecha Recepción"/>
    <tableColumn id="8" xr3:uid="{67E2158A-18C9-4DCA-B676-BC659EE5D54D}" name="Capacidad [MW]" dataDxfId="19"/>
    <tableColumn id="9" xr3:uid="{9A535071-136F-4D1C-A600-02D30BD66F7E}" name="Tipo Proyecto"/>
    <tableColumn id="10" xr3:uid="{CA63CCAC-17E2-4B69-B1DE-1F162B67B5AF}" name="Fecha Estimada Conexión"/>
    <tableColumn id="11" xr3:uid="{7D1D4AE9-EB95-422D-B092-BAE0B257FA5C}" name="Punto de Conexión"/>
    <tableColumn id="12" xr3:uid="{40DE5777-3283-427C-9714-E0EEC8FC1247}" name="Nivel de tension"/>
    <tableColumn id="13" xr3:uid="{BEDC9A72-2A0B-4C25-AFA8-9A8A92198A90}" name="Barra"/>
    <tableColumn id="14" xr3:uid="{188BC4B2-4854-414C-A384-9FCD8DED835A}" name="Paño"/>
    <tableColumn id="15" xr3:uid="{54123CCA-99B4-4A06-AEE1-7B4846EDB777}" name="Región"/>
    <tableColumn id="16" xr3:uid="{7D6A0E92-AF27-4035-8659-62ABAD5169A4}" name="Comuna"/>
    <tableColumn id="17" xr3:uid="{9714B618-62EE-4D7B-B29B-1EFEF009AB71}" name="Segmento de Transmisión"/>
    <tableColumn id="18" xr3:uid="{8BCEBCBF-326D-4DF4-8BB0-B56F30B2A4DF}" name="Fecha emisión informe definitivo"/>
    <tableColumn id="19" xr3:uid="{2E267D27-4017-4550-A7CA-2989D7F3782D}" name="Plazo obtención declaración en const"/>
    <tableColumn id="20" xr3:uid="{8A2EA26F-4CD1-43A5-B816-8BFCC2EF44AE}" name="Prórroga plazo obtención declaración en const.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651AE0-C825-4541-B7B8-A95B9BFE93C2}" name="Tabla35" displayName="Tabla35" ref="A3:AO41" totalsRowShown="0" headerRowDxfId="18">
  <autoFilter ref="A3:AO41" xr:uid="{8798DCB7-61E9-4457-B5F9-E2C392A9B70A}"/>
  <sortState xmlns:xlrd2="http://schemas.microsoft.com/office/spreadsheetml/2017/richdata2" ref="A4:I41">
    <sortCondition descending="1" ref="I3:I41"/>
  </sortState>
  <tableColumns count="41">
    <tableColumn id="1" xr3:uid="{8D8D1B26-5A90-4A33-8764-C85C1EA15FA7}" name="Nombre del Proyecto"/>
    <tableColumn id="2" xr3:uid="{7DB0D026-1ED3-4172-B12E-A82CBD4F3143}" name="WEB" dataDxfId="17"/>
    <tableColumn id="4" xr3:uid="{562901F8-7C7A-454B-8617-B0F9DA66BF34}" name="Región"/>
    <tableColumn id="5" xr3:uid="{93214A36-7256-492A-BEF3-172B5FB6F1B1}" name="Comuna"/>
    <tableColumn id="9" xr3:uid="{02F51DD4-BCD0-485D-9AA5-5307AFFA6281}" name="Titular"/>
    <tableColumn id="10" xr3:uid="{0BAC5845-4831-4629-BB8A-DFD5CAC1C8A2}" name="Inversión (MMU$)" dataDxfId="16"/>
    <tableColumn id="12" xr3:uid="{420C9C95-4A29-4799-BB28-627197DD036C}" name="Estado del Proyecto" dataDxfId="15"/>
    <tableColumn id="3" xr3:uid="{2FC1F067-9C54-418D-8848-BD7ED8F2D023}" name="Días DIA" dataDxfId="14"/>
    <tableColumn id="13" xr3:uid="{7F460496-3900-467C-B12C-9BE3BCA178A3}" name="Fecha Calificación" dataDxfId="13"/>
    <tableColumn id="30" xr3:uid="{F8EFF709-7F2C-40A9-A967-CDA8ADC18909}" name="Empresa Consultora" dataDxfId="12"/>
    <tableColumn id="6" xr3:uid="{68C94E41-2D67-4CE4-84C5-5797ABDD13AD}" name="GE Salas (Principal)" dataDxfId="11"/>
    <tableColumn id="21" xr3:uid="{3B1A2486-811F-4E5E-8F8B-3420D89A14DF}" name="P Generada (KW)" dataDxfId="10"/>
    <tableColumn id="25" xr3:uid="{E38A2015-DB04-4E61-8AD9-3583E0178F0B}" name="Total Generado KW" dataDxfId="9">
      <calculatedColumnFormula>Tabla35[[#This Row],[P Generada (KW)]]*Tabla35[[#This Row],[GE Salas (Principal)]]</calculatedColumnFormula>
    </tableColumn>
    <tableColumn id="7" xr3:uid="{1EBD5096-F595-4CA8-91D4-5E87C46DCAF2}" name="GE Oficinas (Respaldo)" dataDxfId="8"/>
    <tableColumn id="22" xr3:uid="{8405A174-3963-4CDF-AAA3-2A8229210C55}" name="P Generada (KW)2" dataDxfId="7"/>
    <tableColumn id="26" xr3:uid="{9BCDA9EB-135B-4014-9DC5-AB3643D0D9B8}" name="Total Generado KW2" dataDxfId="6">
      <calculatedColumnFormula>Tabla35[[#This Row],[P Generada (KW)2]]*Tabla35[[#This Row],[GE Oficinas (Respaldo)]]</calculatedColumnFormula>
    </tableColumn>
    <tableColumn id="8" xr3:uid="{A39CE366-1297-4830-B48B-820405DFEFE7}" name="Cantidad Diesel /L"/>
    <tableColumn id="23" xr3:uid="{62AEED70-8FE6-4892-B68D-67BF64A68630}" name="Cantidad Diesel /kg"/>
    <tableColumn id="37" xr3:uid="{A2464FCE-5FA0-450F-9C8A-6995C143D6B6}" name="Ratio L/kg" dataDxfId="5">
      <calculatedColumnFormula>+Tabla35[[#This Row],[Cantidad Diesel /kg]]/Tabla35[[#This Row],[Cantidad Diesel /L]]</calculatedColumnFormula>
    </tableColumn>
    <tableColumn id="11" xr3:uid="{6547DC86-213C-41B5-B66C-19EFDCC268E0}" name="Vida util Años DC" dataDxfId="4"/>
    <tableColumn id="14" xr3:uid="{5DD6C0A7-0638-44DA-BFA0-84326FD573DA}" name="Cantidad Chillers"/>
    <tableColumn id="24" xr3:uid="{9AD7F64D-99A8-493E-AF6D-BD29F1D5257D}" name="Consumo (KW)3"/>
    <tableColumn id="27" xr3:uid="{28CAD534-DB70-4F92-BC6C-C1CC60C31E9B}" name="Total consumo Chillers KW" dataDxfId="3">
      <calculatedColumnFormula>Tabla35[[#This Row],[Consumo (KW)3]]*Tabla35[[#This Row],[Cantidad Chillers]]</calculatedColumnFormula>
    </tableColumn>
    <tableColumn id="28" xr3:uid="{D6A2A7A0-9104-4DE7-A9EC-A651A9B33742}" name="Total general GE PyR KW" dataDxfId="2">
      <calculatedColumnFormula>Tabla35[[#This Row],[Total consumo Chillers KW]]+Tabla35[[#This Row],[Total Generado KW2]]+Tabla35[[#This Row],[Total Generado KW]]</calculatedColumnFormula>
    </tableColumn>
    <tableColumn id="29" xr3:uid="{97BB46D9-D444-4143-AA42-4CCA1496D332}" name="Principal IT /1.5" dataDxfId="1">
      <calculatedColumnFormula>Tabla35[[#This Row],[Total Generado KW]]/1.5</calculatedColumnFormula>
    </tableColumn>
    <tableColumn id="31" xr3:uid="{CCFBF769-0DFF-4236-AC79-BC117539F8F8}" name="Promedio construcción" dataDxfId="0">
      <calculatedColumnFormula>+Tabla35[[#This Row],[MO Contrucción Promedio]]/Tabla35[[#This Row],[Total Generado KW]]</calculatedColumnFormula>
    </tableColumn>
    <tableColumn id="32" xr3:uid="{9A1DDF20-DAFA-4548-B1FB-6CBF08B69756}" name="Máximo P construcción"/>
    <tableColumn id="33" xr3:uid="{70D73B58-FEF7-4F41-A7C5-5D21EC682236}" name="Promedio Operación"/>
    <tableColumn id="34" xr3:uid="{FEF1297A-A159-4420-9756-8F2C83903632}" name="Máximo P Operación"/>
    <tableColumn id="36" xr3:uid="{70914780-4A6F-4544-95EC-DBD758C2DB7E}" name="Promedio Cierre"/>
    <tableColumn id="35" xr3:uid="{06773F55-B442-4999-966E-EE52614D7373}" name="Máximo P Cierre"/>
    <tableColumn id="15" xr3:uid="{D6D1C046-DA8C-4A5D-A938-6319CBDE486F}" name="MO Contrucción Promedio"/>
    <tableColumn id="16" xr3:uid="{EA672136-7C78-4ECC-9EAE-400F0B833FBF}" name="MO Contrucción Máximo"/>
    <tableColumn id="17" xr3:uid="{5463AE49-7FCD-41C1-B15B-FAB7F0B2302B}" name="MO Operación Promedio"/>
    <tableColumn id="18" xr3:uid="{E45B3A19-2C63-4B55-BFA4-0E6E0D2347BA}" name="MO Operación Máximo"/>
    <tableColumn id="19" xr3:uid="{E8FAE154-F9C4-4B14-936D-EDD5C59B67D8}" name="MO Cierre Promedio"/>
    <tableColumn id="20" xr3:uid="{F4B0F50A-81C7-4E2F-B7BD-22BC472F3E41}" name="MO Cierre Máximo"/>
    <tableColumn id="38" xr3:uid="{735931BB-DBF3-400B-A733-6A8B090AE2BD}" name="Latitud "/>
    <tableColumn id="39" xr3:uid="{49D2AB0B-64A4-44D3-9E0A-A5D207F8E8E1}" name="Longitud"/>
    <tableColumn id="40" xr3:uid="{221D7AC3-16D9-4E28-BEAF-97C4EB7D2EDE}" name="Superficie útil m2"/>
    <tableColumn id="41" xr3:uid="{4615DE0F-29C0-4A8F-AAF8-DDE7F8D864EA}" name="Superficie Bruta m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07-23T21:30:29.81" personId="{91223105-B9E9-4C5E-A78D-4BE1E1D5CC8C}" id="{8B6A8D38-6871-42D8-90E3-77C5F0CB1A8E}">
    <text>Solo proyectos C3 permiten reconversión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7" dT="2026-04-16T21:07:41.25" personId="{88FDAA57-CA16-4FD5-88D1-976736D73870}" id="{27D61B44-8EEB-4B56-AAB5-B4C25AA25A05}">
    <text>Se considera la suma:
2x750 kW
1x300 kW</text>
  </threadedComment>
  <threadedComment ref="N18" dT="2026-04-16T21:19:12.59" personId="{88FDAA57-CA16-4FD5-88D1-976736D73870}" id="{9BFC3BDF-1C82-41AC-A2F0-EAF9FEEB7E0B}">
    <text xml:space="preserve">Se considera la suma:
1x750 kW
1x300 kW
</text>
  </threadedComment>
  <threadedComment ref="N19" dT="2026-04-16T21:07:41.25" personId="{88FDAA57-CA16-4FD5-88D1-976736D73870}" id="{AF645770-7A19-4D78-B753-63FEFEED4A60}">
    <text>Se considera la suma:
2x750 kW
1x300 kW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seia.sea.gob.cl/expediente/expediente.php?id_expediente=2147474024&amp;modo=ficha" TargetMode="External"/><Relationship Id="rId18" Type="http://schemas.openxmlformats.org/officeDocument/2006/relationships/hyperlink" Target="https://seia.sea.gob.cl/expediente/expediente.php?id_expediente=2130056592&amp;modo=ficha" TargetMode="External"/><Relationship Id="rId26" Type="http://schemas.openxmlformats.org/officeDocument/2006/relationships/hyperlink" Target="https://seia.sea.gob.cl/expediente/expediente.php?id_expediente=4415113&amp;modo=ficha" TargetMode="External"/><Relationship Id="rId21" Type="http://schemas.openxmlformats.org/officeDocument/2006/relationships/hyperlink" Target="https://seia.sea.gob.cl/expediente/expediente.php?id_expediente=6585523&amp;modo=ficha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https://seia.sea.gob.cl/expediente/expediente.php?id_expediente=2155167505&amp;modo=ficha" TargetMode="External"/><Relationship Id="rId12" Type="http://schemas.openxmlformats.org/officeDocument/2006/relationships/hyperlink" Target="https://seia.sea.gob.cl/expediente/expediente.php?id_expediente=2148377353&amp;modo=ficha" TargetMode="External"/><Relationship Id="rId17" Type="http://schemas.openxmlformats.org/officeDocument/2006/relationships/hyperlink" Target="https://seia.sea.gob.cl/expediente/expediente.php?id_expediente=2132722997&amp;modo=ficha" TargetMode="External"/><Relationship Id="rId25" Type="http://schemas.openxmlformats.org/officeDocument/2006/relationships/hyperlink" Target="https://seia.sea.gob.cl/expediente/expediente.php?id_expediente=5858606&amp;modo=ficha" TargetMode="External"/><Relationship Id="rId33" Type="http://schemas.openxmlformats.org/officeDocument/2006/relationships/hyperlink" Target="https://infofirma.sea.gob.cl/DocumentosSEA/MostrarDocumento?docId=2026/08/31/3629-f2aa-4827-800a-4ff207ae213e" TargetMode="External"/><Relationship Id="rId38" Type="http://schemas.microsoft.com/office/2017/10/relationships/threadedComment" Target="../threadedComments/threadedComment2.xml"/><Relationship Id="rId2" Type="http://schemas.openxmlformats.org/officeDocument/2006/relationships/hyperlink" Target="https://seia.sea.gob.cl/expediente/expediente.php?id_expediente=2161802015&amp;modo=ficha" TargetMode="External"/><Relationship Id="rId16" Type="http://schemas.openxmlformats.org/officeDocument/2006/relationships/hyperlink" Target="https://seia.sea.gob.cl/expediente/expediente.php?id_expediente=2138736697&amp;modo=ficha" TargetMode="External"/><Relationship Id="rId20" Type="http://schemas.openxmlformats.org/officeDocument/2006/relationships/hyperlink" Target="https://seia.sea.gob.cl/expediente/expediente.php?id_expediente=6628721&amp;modo=ficha" TargetMode="External"/><Relationship Id="rId29" Type="http://schemas.openxmlformats.org/officeDocument/2006/relationships/hyperlink" Target="https://seia.sea.gob.cl/expediente/expediente.php?id_expediente=2156418711&amp;modo=ficha" TargetMode="External"/><Relationship Id="rId1" Type="http://schemas.openxmlformats.org/officeDocument/2006/relationships/hyperlink" Target="https://seia.sea.gob.cl/expediente/expediente.php?id_expediente=2162968448&amp;modo=ficha" TargetMode="External"/><Relationship Id="rId6" Type="http://schemas.openxmlformats.org/officeDocument/2006/relationships/hyperlink" Target="https://seia.sea.gob.cl/expediente/expediente.php?id_expediente=2155357362&amp;modo=ficha" TargetMode="External"/><Relationship Id="rId11" Type="http://schemas.openxmlformats.org/officeDocument/2006/relationships/hyperlink" Target="https://seia.sea.gob.cl/expediente/expediente.php?id_expediente=2150658104&amp;modo=ficha" TargetMode="External"/><Relationship Id="rId24" Type="http://schemas.openxmlformats.org/officeDocument/2006/relationships/hyperlink" Target="https://seia.sea.gob.cl/expediente/expediente.php?id_expediente=5933747&amp;modo=ficha" TargetMode="External"/><Relationship Id="rId32" Type="http://schemas.openxmlformats.org/officeDocument/2006/relationships/hyperlink" Target="https://infofirma.sea.gob.cl/DocumentosSEA/MostrarDocumento?docId=2026/09/28/1c6b-6ff5-4394-b3fb-abacc04293d8" TargetMode="External"/><Relationship Id="rId37" Type="http://schemas.openxmlformats.org/officeDocument/2006/relationships/comments" Target="../comments2.xml"/><Relationship Id="rId5" Type="http://schemas.openxmlformats.org/officeDocument/2006/relationships/hyperlink" Target="https://seia.sea.gob.cl/expediente/expediente.php?id_expediente=2159277278&amp;modo=ficha" TargetMode="External"/><Relationship Id="rId15" Type="http://schemas.openxmlformats.org/officeDocument/2006/relationships/hyperlink" Target="https://seia.sea.gob.cl/expediente/expediente.php?id_expediente=2143763121&amp;modo=ficha" TargetMode="External"/><Relationship Id="rId23" Type="http://schemas.openxmlformats.org/officeDocument/2006/relationships/hyperlink" Target="https://seia.sea.gob.cl/expediente/expediente.php?id_expediente=6156448&amp;modo=ficha" TargetMode="External"/><Relationship Id="rId28" Type="http://schemas.openxmlformats.org/officeDocument/2006/relationships/hyperlink" Target="https://seia.sea.gob.cl/expediente/expediente.php?id_expediente=2156924955&amp;modo=ficha" TargetMode="External"/><Relationship Id="rId36" Type="http://schemas.openxmlformats.org/officeDocument/2006/relationships/table" Target="../tables/table3.xml"/><Relationship Id="rId10" Type="http://schemas.openxmlformats.org/officeDocument/2006/relationships/hyperlink" Target="https://seia.sea.gob.cl/expediente/expediente.php?id_expediente=2152236746&amp;modo=ficha" TargetMode="External"/><Relationship Id="rId19" Type="http://schemas.openxmlformats.org/officeDocument/2006/relationships/hyperlink" Target="https://seia.sea.gob.cl/expediente/expediente.php?id_expediente=2129751932&amp;modo=ficha" TargetMode="External"/><Relationship Id="rId31" Type="http://schemas.openxmlformats.org/officeDocument/2006/relationships/hyperlink" Target="https://infofirma.sea.gob.cl/DocumentosSEA/MostrarDocumento?docId=2026/09/17/efcd-dee9-45b3-81b8-8e198ee6c65c" TargetMode="External"/><Relationship Id="rId4" Type="http://schemas.openxmlformats.org/officeDocument/2006/relationships/hyperlink" Target="https://seia.sea.gob.cl/expediente/expediente.php?id_expediente=2159660804&amp;modo=ficha" TargetMode="External"/><Relationship Id="rId9" Type="http://schemas.openxmlformats.org/officeDocument/2006/relationships/hyperlink" Target="https://seia.sea.gob.cl/expediente/expediente.php?id_expediente=2152904629&amp;modo=ficha" TargetMode="External"/><Relationship Id="rId14" Type="http://schemas.openxmlformats.org/officeDocument/2006/relationships/hyperlink" Target="https://seia.sea.gob.cl/expediente/expediente.php?id_expediente=2147377549&amp;modo=ficha" TargetMode="External"/><Relationship Id="rId22" Type="http://schemas.openxmlformats.org/officeDocument/2006/relationships/hyperlink" Target="https://seia.sea.gob.cl/expediente/expediente.php?id_expediente=6275471&amp;modo=ficha" TargetMode="External"/><Relationship Id="rId27" Type="http://schemas.openxmlformats.org/officeDocument/2006/relationships/hyperlink" Target="https://seia.sea.gob.cl/expediente/expediente.php?id_expediente=2156924976&amp;modo=ficha" TargetMode="External"/><Relationship Id="rId30" Type="http://schemas.openxmlformats.org/officeDocument/2006/relationships/hyperlink" Target="https://seia.sea.gob.cl/expediente/expediente.php?id_expediente=2155357362&amp;modo=ficha" TargetMode="External"/><Relationship Id="rId35" Type="http://schemas.openxmlformats.org/officeDocument/2006/relationships/vmlDrawing" Target="../drawings/vmlDrawing2.vml"/><Relationship Id="rId8" Type="http://schemas.openxmlformats.org/officeDocument/2006/relationships/hyperlink" Target="https://seia.sea.gob.cl/expediente/expediente.php?id_expediente=2152920300&amp;modo=ficha" TargetMode="External"/><Relationship Id="rId3" Type="http://schemas.openxmlformats.org/officeDocument/2006/relationships/hyperlink" Target="https://seia.sea.gob.cl/expediente/expediente.php?id_expediente=2160536868&amp;modo=fic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ACC0-DF47-444E-8235-F0DFD3501452}">
  <sheetPr filterMode="1"/>
  <dimension ref="A1:AA119"/>
  <sheetViews>
    <sheetView topLeftCell="L1" zoomScale="85" zoomScaleNormal="85" workbookViewId="0">
      <selection activeCell="M97" sqref="M97"/>
    </sheetView>
  </sheetViews>
  <sheetFormatPr defaultColWidth="11.42578125" defaultRowHeight="14.45"/>
  <cols>
    <col min="1" max="1" width="7.28515625" customWidth="1"/>
    <col min="2" max="2" width="33.42578125" customWidth="1"/>
    <col min="3" max="3" width="36.5703125" hidden="1" customWidth="1"/>
    <col min="4" max="4" width="39.42578125" hidden="1" customWidth="1"/>
    <col min="5" max="9" width="36.5703125" hidden="1" customWidth="1"/>
    <col min="10" max="10" width="6.85546875" hidden="1" customWidth="1"/>
    <col min="11" max="11" width="33.42578125" hidden="1" customWidth="1"/>
    <col min="12" max="12" width="12.42578125" bestFit="1" customWidth="1"/>
    <col min="13" max="13" width="53.28515625" bestFit="1" customWidth="1"/>
    <col min="14" max="14" width="29.28515625" hidden="1" customWidth="1"/>
    <col min="15" max="15" width="16.42578125" bestFit="1" customWidth="1"/>
    <col min="16" max="16" width="14" hidden="1" customWidth="1"/>
    <col min="17" max="17" width="29.28515625" hidden="1" customWidth="1"/>
    <col min="18" max="18" width="69" bestFit="1" customWidth="1"/>
    <col min="19" max="19" width="15.7109375" hidden="1" customWidth="1"/>
    <col min="20" max="20" width="43.42578125" hidden="1" customWidth="1"/>
    <col min="21" max="21" width="20.42578125" hidden="1" customWidth="1"/>
    <col min="22" max="22" width="31.7109375" customWidth="1"/>
    <col min="23" max="23" width="14.85546875" customWidth="1"/>
    <col min="24" max="24" width="23.85546875" customWidth="1"/>
    <col min="25" max="25" width="29.42578125" customWidth="1"/>
    <col min="26" max="26" width="33.28515625" customWidth="1"/>
    <col min="27" max="27" width="41.28515625" customWidth="1"/>
  </cols>
  <sheetData>
    <row r="1" spans="1:27" ht="22.7" customHeight="1">
      <c r="A1" s="3" t="s">
        <v>0</v>
      </c>
      <c r="B1" s="3" t="s">
        <v>1</v>
      </c>
      <c r="C1" s="1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2">
        <v>2662</v>
      </c>
      <c r="B2" s="1" t="s">
        <v>26</v>
      </c>
      <c r="C2" s="1"/>
      <c r="D2" s="1"/>
      <c r="E2" s="1"/>
      <c r="F2" s="1"/>
      <c r="G2" s="1"/>
      <c r="H2" s="1"/>
      <c r="I2" s="1"/>
      <c r="J2" s="1"/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>
        <v>33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40</v>
      </c>
      <c r="AA2" s="1" t="s">
        <v>40</v>
      </c>
    </row>
    <row r="3" spans="1:27" hidden="1">
      <c r="A3" s="1">
        <v>2646</v>
      </c>
      <c r="B3" s="1" t="s">
        <v>41</v>
      </c>
      <c r="C3" s="1"/>
      <c r="D3" s="1"/>
      <c r="E3" s="1"/>
      <c r="F3" s="1"/>
      <c r="G3" s="1"/>
      <c r="H3" s="1"/>
      <c r="I3" s="1"/>
      <c r="J3" s="1"/>
      <c r="K3" s="1" t="s">
        <v>27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32</v>
      </c>
      <c r="Q3" s="1" t="s">
        <v>46</v>
      </c>
      <c r="R3" s="1" t="s">
        <v>47</v>
      </c>
      <c r="S3" s="1">
        <v>33</v>
      </c>
      <c r="T3" s="1" t="s">
        <v>48</v>
      </c>
      <c r="U3" s="1" t="s">
        <v>49</v>
      </c>
      <c r="V3" s="1" t="s">
        <v>50</v>
      </c>
      <c r="W3" s="1" t="s">
        <v>51</v>
      </c>
      <c r="X3" s="1" t="s">
        <v>39</v>
      </c>
      <c r="Y3" s="1" t="s">
        <v>40</v>
      </c>
      <c r="Z3" s="1" t="s">
        <v>40</v>
      </c>
      <c r="AA3" s="1" t="s">
        <v>40</v>
      </c>
    </row>
    <row r="4" spans="1:27">
      <c r="A4" s="2">
        <v>2424</v>
      </c>
      <c r="B4" s="1" t="s">
        <v>52</v>
      </c>
      <c r="C4" s="1"/>
      <c r="D4" s="1"/>
      <c r="E4" s="1"/>
      <c r="F4" s="1"/>
      <c r="G4" s="1"/>
      <c r="H4" s="1"/>
      <c r="I4" s="1"/>
      <c r="J4" s="1">
        <v>5534</v>
      </c>
      <c r="K4" s="1" t="s">
        <v>27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32</v>
      </c>
      <c r="Q4" s="1" t="s">
        <v>57</v>
      </c>
      <c r="R4" s="1" t="s">
        <v>58</v>
      </c>
      <c r="S4" s="1">
        <v>154</v>
      </c>
      <c r="T4" s="1" t="s">
        <v>59</v>
      </c>
      <c r="U4" s="1" t="s">
        <v>36</v>
      </c>
      <c r="V4" s="1" t="s">
        <v>60</v>
      </c>
      <c r="W4" s="1" t="s">
        <v>61</v>
      </c>
      <c r="X4" s="1" t="s">
        <v>62</v>
      </c>
      <c r="Y4" s="1" t="s">
        <v>40</v>
      </c>
      <c r="Z4" s="1" t="s">
        <v>40</v>
      </c>
      <c r="AA4" s="1" t="s">
        <v>40</v>
      </c>
    </row>
    <row r="5" spans="1:27" hidden="1">
      <c r="A5" s="1">
        <v>2421</v>
      </c>
      <c r="B5" s="1" t="s">
        <v>63</v>
      </c>
      <c r="C5" s="1"/>
      <c r="D5" s="1"/>
      <c r="E5" s="1"/>
      <c r="F5" s="1"/>
      <c r="G5" s="1"/>
      <c r="H5" s="1"/>
      <c r="I5" s="1"/>
      <c r="J5" s="1">
        <v>5546</v>
      </c>
      <c r="K5" s="1" t="s">
        <v>27</v>
      </c>
      <c r="L5" s="1" t="s">
        <v>53</v>
      </c>
      <c r="M5" s="1" t="s">
        <v>64</v>
      </c>
      <c r="N5" s="1" t="s">
        <v>65</v>
      </c>
      <c r="O5" s="1" t="s">
        <v>45</v>
      </c>
      <c r="P5" s="1" t="s">
        <v>32</v>
      </c>
      <c r="Q5" s="1" t="s">
        <v>57</v>
      </c>
      <c r="R5" s="1" t="s">
        <v>66</v>
      </c>
      <c r="S5" s="1">
        <v>220</v>
      </c>
      <c r="T5" s="1" t="s">
        <v>67</v>
      </c>
      <c r="U5" s="1" t="s">
        <v>36</v>
      </c>
      <c r="V5" s="1" t="s">
        <v>68</v>
      </c>
      <c r="W5" s="1" t="s">
        <v>69</v>
      </c>
      <c r="X5" s="1" t="s">
        <v>62</v>
      </c>
      <c r="Y5" s="1" t="s">
        <v>40</v>
      </c>
      <c r="Z5" s="1" t="s">
        <v>40</v>
      </c>
      <c r="AA5" s="1" t="s">
        <v>40</v>
      </c>
    </row>
    <row r="6" spans="1:27" hidden="1">
      <c r="A6" s="1">
        <v>2418</v>
      </c>
      <c r="B6" s="1" t="s">
        <v>70</v>
      </c>
      <c r="C6" s="1"/>
      <c r="D6" s="1"/>
      <c r="E6" s="1"/>
      <c r="F6" s="1"/>
      <c r="G6" s="1"/>
      <c r="H6" s="1"/>
      <c r="I6" s="1"/>
      <c r="J6" s="1">
        <v>5544</v>
      </c>
      <c r="K6" s="1" t="s">
        <v>27</v>
      </c>
      <c r="L6" s="1" t="s">
        <v>53</v>
      </c>
      <c r="M6" s="1" t="s">
        <v>64</v>
      </c>
      <c r="N6" s="1" t="s">
        <v>71</v>
      </c>
      <c r="O6" s="1" t="s">
        <v>45</v>
      </c>
      <c r="P6" s="1" t="s">
        <v>32</v>
      </c>
      <c r="Q6" s="1" t="s">
        <v>72</v>
      </c>
      <c r="R6" s="1" t="s">
        <v>73</v>
      </c>
      <c r="S6" s="1">
        <v>220</v>
      </c>
      <c r="T6" s="1" t="s">
        <v>67</v>
      </c>
      <c r="U6" s="1" t="s">
        <v>36</v>
      </c>
      <c r="V6" s="1" t="s">
        <v>68</v>
      </c>
      <c r="W6" s="1" t="s">
        <v>69</v>
      </c>
      <c r="X6" s="1" t="s">
        <v>62</v>
      </c>
      <c r="Y6" s="1" t="s">
        <v>40</v>
      </c>
      <c r="Z6" s="1" t="s">
        <v>40</v>
      </c>
      <c r="AA6" s="1" t="s">
        <v>40</v>
      </c>
    </row>
    <row r="7" spans="1:27">
      <c r="A7" s="2">
        <v>2416</v>
      </c>
      <c r="B7" s="1" t="s">
        <v>74</v>
      </c>
      <c r="C7" s="1"/>
      <c r="D7" s="1"/>
      <c r="E7" s="1"/>
      <c r="F7" s="1"/>
      <c r="G7" s="1"/>
      <c r="H7" s="1"/>
      <c r="I7" s="1"/>
      <c r="J7" s="1">
        <v>5536</v>
      </c>
      <c r="K7" s="1" t="s">
        <v>27</v>
      </c>
      <c r="L7" s="1" t="s">
        <v>53</v>
      </c>
      <c r="M7" s="1" t="s">
        <v>54</v>
      </c>
      <c r="N7" s="1" t="s">
        <v>75</v>
      </c>
      <c r="O7" s="1" t="s">
        <v>56</v>
      </c>
      <c r="P7" s="1" t="s">
        <v>32</v>
      </c>
      <c r="Q7" s="1" t="s">
        <v>57</v>
      </c>
      <c r="R7" s="1" t="s">
        <v>76</v>
      </c>
      <c r="S7" s="1">
        <v>110</v>
      </c>
      <c r="T7" s="1" t="s">
        <v>67</v>
      </c>
      <c r="U7" s="1" t="s">
        <v>77</v>
      </c>
      <c r="V7" s="1" t="s">
        <v>78</v>
      </c>
      <c r="W7" s="1" t="s">
        <v>79</v>
      </c>
      <c r="X7" s="1" t="s">
        <v>62</v>
      </c>
      <c r="Y7" s="1" t="s">
        <v>40</v>
      </c>
      <c r="Z7" s="1" t="s">
        <v>40</v>
      </c>
      <c r="AA7" s="1" t="s">
        <v>40</v>
      </c>
    </row>
    <row r="8" spans="1:27">
      <c r="A8" s="2">
        <v>2415</v>
      </c>
      <c r="B8" s="1" t="s">
        <v>80</v>
      </c>
      <c r="C8" s="1"/>
      <c r="D8" s="1"/>
      <c r="E8" s="1"/>
      <c r="F8" s="1"/>
      <c r="G8" s="1"/>
      <c r="H8" s="1"/>
      <c r="I8" s="1"/>
      <c r="J8" s="1">
        <v>5545</v>
      </c>
      <c r="K8" s="1" t="s">
        <v>27</v>
      </c>
      <c r="L8" s="1" t="s">
        <v>53</v>
      </c>
      <c r="M8" s="1" t="s">
        <v>54</v>
      </c>
      <c r="N8" s="1" t="s">
        <v>81</v>
      </c>
      <c r="O8" s="1" t="s">
        <v>56</v>
      </c>
      <c r="P8" s="1" t="s">
        <v>32</v>
      </c>
      <c r="Q8" s="1" t="s">
        <v>57</v>
      </c>
      <c r="R8" s="1" t="s">
        <v>82</v>
      </c>
      <c r="S8" s="1">
        <v>110</v>
      </c>
      <c r="T8" s="1" t="s">
        <v>67</v>
      </c>
      <c r="U8" s="1" t="s">
        <v>77</v>
      </c>
      <c r="V8" s="1" t="s">
        <v>83</v>
      </c>
      <c r="W8" s="1" t="s">
        <v>84</v>
      </c>
      <c r="X8" s="1" t="s">
        <v>62</v>
      </c>
      <c r="Y8" s="1" t="s">
        <v>40</v>
      </c>
      <c r="Z8" s="1" t="s">
        <v>40</v>
      </c>
      <c r="AA8" s="1" t="s">
        <v>40</v>
      </c>
    </row>
    <row r="9" spans="1:27">
      <c r="A9" s="2">
        <v>2414</v>
      </c>
      <c r="B9" s="1" t="s">
        <v>85</v>
      </c>
      <c r="C9" s="1"/>
      <c r="D9" s="1"/>
      <c r="E9" s="1"/>
      <c r="F9" s="1"/>
      <c r="G9" s="1"/>
      <c r="H9" s="1"/>
      <c r="I9" s="1"/>
      <c r="J9" s="1">
        <v>5547</v>
      </c>
      <c r="K9" s="1" t="s">
        <v>27</v>
      </c>
      <c r="L9" s="1" t="s">
        <v>53</v>
      </c>
      <c r="M9" s="1" t="s">
        <v>54</v>
      </c>
      <c r="N9" s="1" t="s">
        <v>86</v>
      </c>
      <c r="O9" s="1" t="s">
        <v>56</v>
      </c>
      <c r="P9" s="1" t="s">
        <v>32</v>
      </c>
      <c r="Q9" s="1" t="s">
        <v>57</v>
      </c>
      <c r="R9" s="1" t="s">
        <v>87</v>
      </c>
      <c r="S9" s="1">
        <v>66</v>
      </c>
      <c r="T9" s="1" t="s">
        <v>67</v>
      </c>
      <c r="U9" s="1" t="s">
        <v>36</v>
      </c>
      <c r="V9" s="1" t="s">
        <v>60</v>
      </c>
      <c r="W9" s="1" t="s">
        <v>61</v>
      </c>
      <c r="X9" s="1" t="s">
        <v>62</v>
      </c>
      <c r="Y9" s="1" t="s">
        <v>40</v>
      </c>
      <c r="Z9" s="1" t="s">
        <v>40</v>
      </c>
      <c r="AA9" s="1" t="s">
        <v>40</v>
      </c>
    </row>
    <row r="10" spans="1:27">
      <c r="A10" s="2">
        <v>2405</v>
      </c>
      <c r="B10" s="1" t="s">
        <v>88</v>
      </c>
      <c r="C10" s="1"/>
      <c r="D10" s="1"/>
      <c r="E10" s="1"/>
      <c r="F10" s="1"/>
      <c r="G10" s="1"/>
      <c r="H10" s="1"/>
      <c r="I10" s="1"/>
      <c r="J10" s="1">
        <v>5550</v>
      </c>
      <c r="K10" s="1" t="s">
        <v>27</v>
      </c>
      <c r="L10" s="1" t="s">
        <v>53</v>
      </c>
      <c r="M10" s="1" t="s">
        <v>54</v>
      </c>
      <c r="N10" s="1" t="s">
        <v>89</v>
      </c>
      <c r="O10" s="1" t="s">
        <v>56</v>
      </c>
      <c r="P10" s="1" t="s">
        <v>32</v>
      </c>
      <c r="Q10" s="1" t="s">
        <v>72</v>
      </c>
      <c r="R10" s="1" t="s">
        <v>90</v>
      </c>
      <c r="S10" s="1">
        <v>110</v>
      </c>
      <c r="T10" s="1" t="s">
        <v>59</v>
      </c>
      <c r="U10" s="1" t="s">
        <v>77</v>
      </c>
      <c r="V10" s="1" t="s">
        <v>68</v>
      </c>
      <c r="W10" s="1" t="s">
        <v>91</v>
      </c>
      <c r="X10" s="1" t="s">
        <v>62</v>
      </c>
      <c r="Y10" s="1" t="s">
        <v>40</v>
      </c>
      <c r="Z10" s="1" t="s">
        <v>40</v>
      </c>
      <c r="AA10" s="1" t="s">
        <v>40</v>
      </c>
    </row>
    <row r="11" spans="1:27" hidden="1">
      <c r="A11" s="1">
        <v>2242</v>
      </c>
      <c r="B11" s="1" t="s">
        <v>92</v>
      </c>
      <c r="C11" s="1"/>
      <c r="D11" s="1"/>
      <c r="E11" s="1"/>
      <c r="F11" s="1"/>
      <c r="G11" s="1"/>
      <c r="H11" s="1"/>
      <c r="I11" s="1"/>
      <c r="J11" s="1">
        <v>5360</v>
      </c>
      <c r="K11" s="1" t="s">
        <v>27</v>
      </c>
      <c r="L11" s="1" t="s">
        <v>53</v>
      </c>
      <c r="M11" s="1" t="s">
        <v>64</v>
      </c>
      <c r="N11" s="1" t="s">
        <v>93</v>
      </c>
      <c r="O11" s="1" t="s">
        <v>94</v>
      </c>
      <c r="P11" s="1" t="s">
        <v>32</v>
      </c>
      <c r="Q11" s="1" t="s">
        <v>57</v>
      </c>
      <c r="R11" s="1" t="s">
        <v>95</v>
      </c>
      <c r="S11" s="1">
        <v>220</v>
      </c>
      <c r="T11" s="1" t="s">
        <v>96</v>
      </c>
      <c r="U11" s="1" t="s">
        <v>97</v>
      </c>
      <c r="V11" s="1" t="s">
        <v>98</v>
      </c>
      <c r="W11" s="1" t="s">
        <v>99</v>
      </c>
      <c r="X11" s="1" t="s">
        <v>62</v>
      </c>
      <c r="Y11" s="1" t="s">
        <v>40</v>
      </c>
      <c r="Z11" s="1" t="s">
        <v>40</v>
      </c>
      <c r="AA11" s="1" t="s">
        <v>40</v>
      </c>
    </row>
    <row r="12" spans="1:27" hidden="1">
      <c r="A12" s="1">
        <v>2240</v>
      </c>
      <c r="B12" s="1" t="s">
        <v>100</v>
      </c>
      <c r="C12" s="1"/>
      <c r="D12" s="1"/>
      <c r="E12" s="1"/>
      <c r="F12" s="1"/>
      <c r="G12" s="1"/>
      <c r="H12" s="1"/>
      <c r="I12" s="1"/>
      <c r="J12" s="1">
        <v>5362</v>
      </c>
      <c r="K12" s="1" t="s">
        <v>27</v>
      </c>
      <c r="L12" s="1" t="s">
        <v>53</v>
      </c>
      <c r="M12" s="1" t="s">
        <v>64</v>
      </c>
      <c r="N12" s="1" t="s">
        <v>101</v>
      </c>
      <c r="O12" s="1" t="s">
        <v>102</v>
      </c>
      <c r="P12" s="1" t="s">
        <v>32</v>
      </c>
      <c r="Q12" s="1" t="s">
        <v>57</v>
      </c>
      <c r="R12" s="1" t="s">
        <v>103</v>
      </c>
      <c r="S12" s="1">
        <v>220</v>
      </c>
      <c r="T12" s="1" t="s">
        <v>104</v>
      </c>
      <c r="U12" s="1" t="s">
        <v>97</v>
      </c>
      <c r="V12" s="1" t="s">
        <v>98</v>
      </c>
      <c r="W12" s="1" t="s">
        <v>99</v>
      </c>
      <c r="X12" s="1" t="s">
        <v>62</v>
      </c>
      <c r="Y12" s="1" t="s">
        <v>40</v>
      </c>
      <c r="Z12" s="1" t="s">
        <v>40</v>
      </c>
      <c r="AA12" s="1" t="s">
        <v>40</v>
      </c>
    </row>
    <row r="13" spans="1:27">
      <c r="A13" s="2">
        <v>2237</v>
      </c>
      <c r="B13" s="1" t="s">
        <v>105</v>
      </c>
      <c r="C13" s="1"/>
      <c r="D13" s="1"/>
      <c r="E13" s="1"/>
      <c r="F13" s="1"/>
      <c r="G13" s="1"/>
      <c r="H13" s="1"/>
      <c r="I13" s="1"/>
      <c r="J13" s="1">
        <v>5369</v>
      </c>
      <c r="K13" s="1" t="s">
        <v>27</v>
      </c>
      <c r="L13" s="1" t="s">
        <v>53</v>
      </c>
      <c r="M13" s="1" t="s">
        <v>54</v>
      </c>
      <c r="N13" s="1" t="s">
        <v>106</v>
      </c>
      <c r="O13" s="1" t="s">
        <v>45</v>
      </c>
      <c r="P13" s="1" t="s">
        <v>32</v>
      </c>
      <c r="Q13" s="1" t="s">
        <v>57</v>
      </c>
      <c r="R13" s="1" t="s">
        <v>107</v>
      </c>
      <c r="S13" s="1">
        <v>220</v>
      </c>
      <c r="T13" s="1" t="s">
        <v>77</v>
      </c>
      <c r="U13" s="1" t="s">
        <v>97</v>
      </c>
      <c r="V13" s="1" t="s">
        <v>98</v>
      </c>
      <c r="W13" s="1" t="s">
        <v>98</v>
      </c>
      <c r="X13" s="1" t="s">
        <v>62</v>
      </c>
      <c r="Y13" s="1" t="s">
        <v>40</v>
      </c>
      <c r="Z13" s="1" t="s">
        <v>40</v>
      </c>
      <c r="AA13" s="1" t="s">
        <v>40</v>
      </c>
    </row>
    <row r="14" spans="1:27">
      <c r="A14" s="2">
        <v>2238</v>
      </c>
      <c r="B14" s="1" t="s">
        <v>108</v>
      </c>
      <c r="C14" s="1"/>
      <c r="D14" s="1"/>
      <c r="E14" s="1"/>
      <c r="F14" s="1"/>
      <c r="G14" s="1"/>
      <c r="H14" s="1"/>
      <c r="I14" s="1"/>
      <c r="J14" s="1">
        <v>5358</v>
      </c>
      <c r="K14" s="1" t="s">
        <v>27</v>
      </c>
      <c r="L14" s="1" t="s">
        <v>53</v>
      </c>
      <c r="M14" s="1" t="s">
        <v>54</v>
      </c>
      <c r="N14" s="1" t="s">
        <v>106</v>
      </c>
      <c r="O14" s="1" t="s">
        <v>45</v>
      </c>
      <c r="P14" s="1" t="s">
        <v>32</v>
      </c>
      <c r="Q14" s="1" t="s">
        <v>72</v>
      </c>
      <c r="R14" s="1" t="s">
        <v>109</v>
      </c>
      <c r="S14" s="1">
        <v>220</v>
      </c>
      <c r="T14" s="1" t="s">
        <v>49</v>
      </c>
      <c r="U14" s="1" t="s">
        <v>49</v>
      </c>
      <c r="V14" s="1" t="s">
        <v>37</v>
      </c>
      <c r="W14" s="1" t="s">
        <v>38</v>
      </c>
      <c r="X14" s="1" t="s">
        <v>62</v>
      </c>
      <c r="Y14" s="1" t="s">
        <v>40</v>
      </c>
      <c r="Z14" s="1" t="s">
        <v>40</v>
      </c>
      <c r="AA14" s="1" t="s">
        <v>40</v>
      </c>
    </row>
    <row r="15" spans="1:27" hidden="1">
      <c r="A15" s="1">
        <v>2236</v>
      </c>
      <c r="B15" s="1" t="s">
        <v>110</v>
      </c>
      <c r="C15" s="1"/>
      <c r="D15" s="1"/>
      <c r="E15" s="1"/>
      <c r="F15" s="1"/>
      <c r="G15" s="1"/>
      <c r="H15" s="1"/>
      <c r="I15" s="1"/>
      <c r="J15" s="1">
        <v>5370</v>
      </c>
      <c r="K15" s="1" t="s">
        <v>27</v>
      </c>
      <c r="L15" s="1" t="s">
        <v>53</v>
      </c>
      <c r="M15" s="1" t="s">
        <v>64</v>
      </c>
      <c r="N15" s="1" t="s">
        <v>111</v>
      </c>
      <c r="O15" s="1" t="s">
        <v>45</v>
      </c>
      <c r="P15" s="1" t="s">
        <v>32</v>
      </c>
      <c r="Q15" s="1" t="s">
        <v>112</v>
      </c>
      <c r="R15" s="1" t="s">
        <v>109</v>
      </c>
      <c r="S15" s="1">
        <v>220</v>
      </c>
      <c r="T15" s="1" t="s">
        <v>49</v>
      </c>
      <c r="U15" s="1" t="s">
        <v>49</v>
      </c>
      <c r="V15" s="1" t="s">
        <v>37</v>
      </c>
      <c r="W15" s="1" t="s">
        <v>38</v>
      </c>
      <c r="X15" s="1" t="s">
        <v>62</v>
      </c>
      <c r="Y15" s="1" t="s">
        <v>40</v>
      </c>
      <c r="Z15" s="1" t="s">
        <v>40</v>
      </c>
      <c r="AA15" s="1" t="s">
        <v>40</v>
      </c>
    </row>
    <row r="16" spans="1:27" hidden="1">
      <c r="A16" s="1">
        <v>2235</v>
      </c>
      <c r="B16" s="1" t="s">
        <v>113</v>
      </c>
      <c r="C16" s="1"/>
      <c r="D16" s="1"/>
      <c r="E16" s="1"/>
      <c r="F16" s="1"/>
      <c r="G16" s="1"/>
      <c r="H16" s="1"/>
      <c r="I16" s="1"/>
      <c r="J16" s="1">
        <v>5361</v>
      </c>
      <c r="K16" s="1" t="s">
        <v>27</v>
      </c>
      <c r="L16" s="1" t="s">
        <v>53</v>
      </c>
      <c r="M16" s="1" t="s">
        <v>64</v>
      </c>
      <c r="N16" s="1" t="s">
        <v>114</v>
      </c>
      <c r="O16" s="1" t="s">
        <v>45</v>
      </c>
      <c r="P16" s="1" t="s">
        <v>32</v>
      </c>
      <c r="Q16" s="1" t="s">
        <v>112</v>
      </c>
      <c r="R16" s="1" t="s">
        <v>115</v>
      </c>
      <c r="S16" s="1">
        <v>220</v>
      </c>
      <c r="T16" s="1" t="s">
        <v>49</v>
      </c>
      <c r="U16" s="1" t="s">
        <v>49</v>
      </c>
      <c r="V16" s="1" t="s">
        <v>98</v>
      </c>
      <c r="W16" s="1" t="s">
        <v>116</v>
      </c>
      <c r="X16" s="1" t="s">
        <v>62</v>
      </c>
      <c r="Y16" s="1" t="s">
        <v>40</v>
      </c>
      <c r="Z16" s="1" t="s">
        <v>40</v>
      </c>
      <c r="AA16" s="1" t="s">
        <v>40</v>
      </c>
    </row>
    <row r="17" spans="1:27" hidden="1">
      <c r="A17" s="1">
        <v>2234</v>
      </c>
      <c r="B17" s="1" t="s">
        <v>117</v>
      </c>
      <c r="C17" s="1"/>
      <c r="D17" s="1"/>
      <c r="E17" s="1"/>
      <c r="F17" s="1"/>
      <c r="G17" s="1"/>
      <c r="H17" s="1"/>
      <c r="I17" s="1"/>
      <c r="J17" s="1"/>
      <c r="K17" s="1" t="s">
        <v>27</v>
      </c>
      <c r="L17" s="1" t="s">
        <v>53</v>
      </c>
      <c r="M17" s="1" t="s">
        <v>64</v>
      </c>
      <c r="N17" s="1" t="s">
        <v>118</v>
      </c>
      <c r="O17" s="1" t="s">
        <v>119</v>
      </c>
      <c r="P17" s="1" t="s">
        <v>32</v>
      </c>
      <c r="Q17" s="1" t="s">
        <v>112</v>
      </c>
      <c r="R17" s="1" t="s">
        <v>115</v>
      </c>
      <c r="S17" s="1">
        <v>220</v>
      </c>
      <c r="T17" s="1" t="s">
        <v>49</v>
      </c>
      <c r="U17" s="1" t="s">
        <v>49</v>
      </c>
      <c r="V17" s="1" t="s">
        <v>98</v>
      </c>
      <c r="W17" s="1" t="s">
        <v>116</v>
      </c>
      <c r="X17" s="1" t="s">
        <v>62</v>
      </c>
      <c r="Y17" s="1" t="s">
        <v>40</v>
      </c>
      <c r="Z17" s="1" t="s">
        <v>40</v>
      </c>
      <c r="AA17" s="1" t="s">
        <v>40</v>
      </c>
    </row>
    <row r="18" spans="1:27">
      <c r="A18" s="2">
        <v>2068</v>
      </c>
      <c r="B18" s="1" t="s">
        <v>120</v>
      </c>
      <c r="C18" s="1"/>
      <c r="D18" s="1"/>
      <c r="E18" s="1"/>
      <c r="F18" s="1"/>
      <c r="G18" s="1"/>
      <c r="H18" s="1"/>
      <c r="I18" s="1"/>
      <c r="J18" s="1">
        <v>5065</v>
      </c>
      <c r="K18" s="1" t="s">
        <v>27</v>
      </c>
      <c r="L18" s="1" t="s">
        <v>42</v>
      </c>
      <c r="M18" s="1" t="s">
        <v>121</v>
      </c>
      <c r="N18" s="1" t="s">
        <v>122</v>
      </c>
      <c r="O18" s="1" t="s">
        <v>45</v>
      </c>
      <c r="P18" s="1" t="s">
        <v>32</v>
      </c>
      <c r="Q18" s="1" t="s">
        <v>123</v>
      </c>
      <c r="R18" s="1" t="s">
        <v>124</v>
      </c>
      <c r="S18" s="1">
        <v>33</v>
      </c>
      <c r="T18" s="1" t="s">
        <v>48</v>
      </c>
      <c r="U18" s="1" t="s">
        <v>49</v>
      </c>
      <c r="V18" s="1" t="s">
        <v>50</v>
      </c>
      <c r="W18" s="1" t="s">
        <v>51</v>
      </c>
      <c r="X18" s="1" t="s">
        <v>39</v>
      </c>
      <c r="Y18" s="1" t="s">
        <v>40</v>
      </c>
      <c r="Z18" s="1" t="s">
        <v>125</v>
      </c>
      <c r="AA18" s="1" t="s">
        <v>40</v>
      </c>
    </row>
    <row r="19" spans="1:27">
      <c r="A19" s="2">
        <v>1919</v>
      </c>
      <c r="B19" s="1" t="s">
        <v>126</v>
      </c>
      <c r="C19" s="1"/>
      <c r="D19" s="1"/>
      <c r="E19" s="1"/>
      <c r="F19" s="1"/>
      <c r="G19" s="1"/>
      <c r="H19" s="1"/>
      <c r="I19" s="1"/>
      <c r="J19" s="1">
        <v>4814</v>
      </c>
      <c r="K19" s="1" t="s">
        <v>27</v>
      </c>
      <c r="L19" s="1" t="s">
        <v>53</v>
      </c>
      <c r="M19" s="1" t="s">
        <v>127</v>
      </c>
      <c r="N19" s="1" t="s">
        <v>128</v>
      </c>
      <c r="O19" s="1" t="s">
        <v>56</v>
      </c>
      <c r="P19" s="1" t="s">
        <v>32</v>
      </c>
      <c r="Q19" s="1" t="s">
        <v>129</v>
      </c>
      <c r="R19" s="1" t="s">
        <v>130</v>
      </c>
      <c r="S19" s="1">
        <v>110</v>
      </c>
      <c r="T19" s="1" t="s">
        <v>67</v>
      </c>
      <c r="U19" s="1" t="s">
        <v>77</v>
      </c>
      <c r="V19" s="1" t="s">
        <v>78</v>
      </c>
      <c r="W19" s="1" t="s">
        <v>131</v>
      </c>
      <c r="X19" s="1" t="s">
        <v>132</v>
      </c>
      <c r="Y19" s="1" t="s">
        <v>40</v>
      </c>
      <c r="Z19" s="1" t="s">
        <v>40</v>
      </c>
      <c r="AA19" s="1" t="s">
        <v>40</v>
      </c>
    </row>
    <row r="20" spans="1:27" hidden="1">
      <c r="A20" s="1">
        <v>1912</v>
      </c>
      <c r="B20" s="1" t="s">
        <v>133</v>
      </c>
      <c r="C20" s="1"/>
      <c r="D20" s="1"/>
      <c r="E20" s="1"/>
      <c r="F20" s="1"/>
      <c r="G20" s="1"/>
      <c r="H20" s="1"/>
      <c r="I20" s="1"/>
      <c r="J20" s="1">
        <v>4806</v>
      </c>
      <c r="K20" s="1" t="s">
        <v>27</v>
      </c>
      <c r="L20" s="1" t="s">
        <v>28</v>
      </c>
      <c r="M20" s="1" t="s">
        <v>64</v>
      </c>
      <c r="N20" s="1" t="s">
        <v>134</v>
      </c>
      <c r="O20" s="1" t="s">
        <v>135</v>
      </c>
      <c r="P20" s="1" t="s">
        <v>32</v>
      </c>
      <c r="Q20" s="1" t="s">
        <v>136</v>
      </c>
      <c r="R20" s="1" t="s">
        <v>137</v>
      </c>
      <c r="S20" s="1">
        <v>220</v>
      </c>
      <c r="T20" s="1" t="s">
        <v>67</v>
      </c>
      <c r="U20" s="1" t="s">
        <v>138</v>
      </c>
      <c r="V20" s="1" t="s">
        <v>78</v>
      </c>
      <c r="W20" s="1" t="s">
        <v>139</v>
      </c>
      <c r="X20" s="1" t="s">
        <v>39</v>
      </c>
      <c r="Y20" s="1" t="s">
        <v>40</v>
      </c>
      <c r="Z20" s="1" t="s">
        <v>40</v>
      </c>
      <c r="AA20" s="1" t="s">
        <v>40</v>
      </c>
    </row>
    <row r="21" spans="1:27">
      <c r="A21" s="2">
        <v>1911</v>
      </c>
      <c r="B21" s="1" t="s">
        <v>140</v>
      </c>
      <c r="C21" s="1"/>
      <c r="D21" s="1"/>
      <c r="E21" s="1"/>
      <c r="F21" s="1"/>
      <c r="G21" s="1"/>
      <c r="H21" s="1"/>
      <c r="I21" s="1"/>
      <c r="J21" s="1">
        <v>4805</v>
      </c>
      <c r="K21" s="1" t="s">
        <v>27</v>
      </c>
      <c r="L21" s="1" t="s">
        <v>53</v>
      </c>
      <c r="M21" s="1" t="s">
        <v>141</v>
      </c>
      <c r="N21" s="1" t="s">
        <v>142</v>
      </c>
      <c r="O21" s="1" t="s">
        <v>56</v>
      </c>
      <c r="P21" s="1" t="s">
        <v>32</v>
      </c>
      <c r="Q21" s="1" t="s">
        <v>129</v>
      </c>
      <c r="R21" s="1" t="s">
        <v>143</v>
      </c>
      <c r="S21" s="1">
        <v>110</v>
      </c>
      <c r="T21" s="1" t="s">
        <v>67</v>
      </c>
      <c r="U21" s="1" t="s">
        <v>77</v>
      </c>
      <c r="V21" s="1" t="s">
        <v>78</v>
      </c>
      <c r="W21" s="1" t="s">
        <v>144</v>
      </c>
      <c r="X21" s="1" t="s">
        <v>62</v>
      </c>
      <c r="Y21" s="1" t="s">
        <v>145</v>
      </c>
      <c r="Z21" s="1" t="s">
        <v>146</v>
      </c>
      <c r="AA21" s="1" t="s">
        <v>40</v>
      </c>
    </row>
    <row r="22" spans="1:27">
      <c r="A22" s="2">
        <v>1904</v>
      </c>
      <c r="B22" s="1" t="s">
        <v>147</v>
      </c>
      <c r="C22" s="1"/>
      <c r="D22" s="1"/>
      <c r="E22" s="1"/>
      <c r="F22" s="1"/>
      <c r="G22" s="1"/>
      <c r="H22" s="1"/>
      <c r="I22" s="1"/>
      <c r="J22" s="1">
        <v>4790</v>
      </c>
      <c r="K22" s="1" t="s">
        <v>27</v>
      </c>
      <c r="L22" s="1" t="s">
        <v>53</v>
      </c>
      <c r="M22" s="1" t="s">
        <v>141</v>
      </c>
      <c r="N22" s="1" t="s">
        <v>148</v>
      </c>
      <c r="O22" s="1" t="s">
        <v>149</v>
      </c>
      <c r="P22" s="1" t="s">
        <v>32</v>
      </c>
      <c r="Q22" s="1" t="s">
        <v>129</v>
      </c>
      <c r="R22" s="1" t="s">
        <v>150</v>
      </c>
      <c r="S22" s="1">
        <v>23</v>
      </c>
      <c r="T22" s="1" t="s">
        <v>151</v>
      </c>
      <c r="U22" s="1" t="s">
        <v>152</v>
      </c>
      <c r="V22" s="1" t="s">
        <v>153</v>
      </c>
      <c r="W22" s="1" t="s">
        <v>154</v>
      </c>
      <c r="X22" s="1" t="s">
        <v>132</v>
      </c>
      <c r="Y22" s="1" t="s">
        <v>155</v>
      </c>
      <c r="Z22" s="1" t="s">
        <v>146</v>
      </c>
      <c r="AA22" s="1" t="s">
        <v>40</v>
      </c>
    </row>
    <row r="23" spans="1:27">
      <c r="A23" s="2">
        <v>1865</v>
      </c>
      <c r="B23" s="1" t="s">
        <v>156</v>
      </c>
      <c r="C23" s="1"/>
      <c r="D23" s="1"/>
      <c r="E23" s="1"/>
      <c r="F23" s="1"/>
      <c r="G23" s="1"/>
      <c r="H23" s="1"/>
      <c r="I23" s="1"/>
      <c r="J23" s="1">
        <v>4734</v>
      </c>
      <c r="K23" s="1" t="s">
        <v>27</v>
      </c>
      <c r="L23" s="1" t="s">
        <v>53</v>
      </c>
      <c r="M23" s="1" t="s">
        <v>127</v>
      </c>
      <c r="N23" s="1" t="s">
        <v>157</v>
      </c>
      <c r="O23" s="1" t="s">
        <v>56</v>
      </c>
      <c r="P23" s="1" t="s">
        <v>32</v>
      </c>
      <c r="Q23" s="1" t="s">
        <v>129</v>
      </c>
      <c r="R23" s="1" t="s">
        <v>158</v>
      </c>
      <c r="S23" s="1">
        <v>110</v>
      </c>
      <c r="T23" s="1" t="s">
        <v>67</v>
      </c>
      <c r="U23" s="1" t="s">
        <v>77</v>
      </c>
      <c r="V23" s="1" t="s">
        <v>68</v>
      </c>
      <c r="W23" s="1" t="s">
        <v>159</v>
      </c>
      <c r="X23" s="1" t="s">
        <v>62</v>
      </c>
      <c r="Y23" s="1" t="s">
        <v>40</v>
      </c>
      <c r="Z23" s="1" t="s">
        <v>40</v>
      </c>
      <c r="AA23" s="1" t="s">
        <v>40</v>
      </c>
    </row>
    <row r="24" spans="1:27">
      <c r="A24" s="2">
        <v>1864</v>
      </c>
      <c r="B24" s="1" t="s">
        <v>160</v>
      </c>
      <c r="C24" s="1"/>
      <c r="D24" s="1"/>
      <c r="E24" s="1"/>
      <c r="F24" s="1"/>
      <c r="G24" s="1"/>
      <c r="H24" s="1"/>
      <c r="I24" s="1"/>
      <c r="J24" s="1">
        <v>4735</v>
      </c>
      <c r="K24" s="1" t="s">
        <v>27</v>
      </c>
      <c r="L24" s="1" t="s">
        <v>53</v>
      </c>
      <c r="M24" s="1" t="s">
        <v>141</v>
      </c>
      <c r="N24" s="1" t="s">
        <v>161</v>
      </c>
      <c r="O24" s="1" t="s">
        <v>162</v>
      </c>
      <c r="P24" s="1" t="s">
        <v>32</v>
      </c>
      <c r="Q24" s="1" t="s">
        <v>129</v>
      </c>
      <c r="R24" s="1" t="s">
        <v>163</v>
      </c>
      <c r="S24" s="1">
        <v>154</v>
      </c>
      <c r="T24" s="1" t="s">
        <v>67</v>
      </c>
      <c r="U24" s="1" t="s">
        <v>97</v>
      </c>
      <c r="V24" s="1" t="s">
        <v>68</v>
      </c>
      <c r="W24" s="1" t="s">
        <v>159</v>
      </c>
      <c r="X24" s="1" t="s">
        <v>62</v>
      </c>
      <c r="Y24" s="1" t="s">
        <v>164</v>
      </c>
      <c r="Z24" s="1" t="s">
        <v>165</v>
      </c>
      <c r="AA24" s="1" t="s">
        <v>40</v>
      </c>
    </row>
    <row r="25" spans="1:27">
      <c r="A25" s="2">
        <v>1863</v>
      </c>
      <c r="B25" s="1" t="s">
        <v>166</v>
      </c>
      <c r="C25" s="1"/>
      <c r="D25" s="1"/>
      <c r="E25" s="1"/>
      <c r="F25" s="1"/>
      <c r="G25" s="1"/>
      <c r="H25" s="1"/>
      <c r="I25" s="1"/>
      <c r="J25" s="1">
        <v>4732</v>
      </c>
      <c r="K25" s="1" t="s">
        <v>27</v>
      </c>
      <c r="L25" s="1" t="s">
        <v>53</v>
      </c>
      <c r="M25" s="1" t="s">
        <v>127</v>
      </c>
      <c r="N25" s="1" t="s">
        <v>167</v>
      </c>
      <c r="O25" s="1" t="s">
        <v>45</v>
      </c>
      <c r="P25" s="1" t="s">
        <v>32</v>
      </c>
      <c r="Q25" s="1" t="s">
        <v>129</v>
      </c>
      <c r="R25" s="1" t="s">
        <v>168</v>
      </c>
      <c r="S25" s="1">
        <v>220</v>
      </c>
      <c r="T25" s="1" t="s">
        <v>67</v>
      </c>
      <c r="U25" s="1" t="s">
        <v>97</v>
      </c>
      <c r="V25" s="1" t="s">
        <v>68</v>
      </c>
      <c r="W25" s="1" t="s">
        <v>159</v>
      </c>
      <c r="X25" s="1" t="s">
        <v>62</v>
      </c>
      <c r="Y25" s="1" t="s">
        <v>40</v>
      </c>
      <c r="Z25" s="1" t="s">
        <v>40</v>
      </c>
      <c r="AA25" s="1" t="s">
        <v>40</v>
      </c>
    </row>
    <row r="26" spans="1:27">
      <c r="A26" s="2">
        <v>1856</v>
      </c>
      <c r="B26" s="1" t="s">
        <v>169</v>
      </c>
      <c r="C26" s="1"/>
      <c r="D26" s="1"/>
      <c r="E26" s="1"/>
      <c r="F26" s="1"/>
      <c r="G26" s="1"/>
      <c r="H26" s="1"/>
      <c r="I26" s="1"/>
      <c r="J26" s="1">
        <v>4723</v>
      </c>
      <c r="K26" s="1" t="s">
        <v>27</v>
      </c>
      <c r="L26" s="1" t="s">
        <v>53</v>
      </c>
      <c r="M26" s="1" t="s">
        <v>54</v>
      </c>
      <c r="N26" s="1" t="s">
        <v>170</v>
      </c>
      <c r="O26" s="1" t="s">
        <v>56</v>
      </c>
      <c r="P26" s="1" t="s">
        <v>32</v>
      </c>
      <c r="Q26" s="1" t="s">
        <v>129</v>
      </c>
      <c r="R26" s="1" t="s">
        <v>171</v>
      </c>
      <c r="S26" s="1">
        <v>66</v>
      </c>
      <c r="T26" s="1" t="s">
        <v>67</v>
      </c>
      <c r="U26" s="1" t="s">
        <v>97</v>
      </c>
      <c r="V26" s="1" t="s">
        <v>172</v>
      </c>
      <c r="W26" s="1" t="s">
        <v>173</v>
      </c>
      <c r="X26" s="1" t="s">
        <v>132</v>
      </c>
      <c r="Y26" s="1" t="s">
        <v>40</v>
      </c>
      <c r="Z26" s="1" t="s">
        <v>40</v>
      </c>
      <c r="AA26" s="1" t="s">
        <v>40</v>
      </c>
    </row>
    <row r="27" spans="1:27">
      <c r="A27" s="2">
        <v>1850</v>
      </c>
      <c r="B27" s="1" t="s">
        <v>174</v>
      </c>
      <c r="C27" s="1"/>
      <c r="D27" s="1"/>
      <c r="E27" s="1"/>
      <c r="F27" s="1"/>
      <c r="G27" s="1"/>
      <c r="H27" s="1"/>
      <c r="I27" s="1"/>
      <c r="J27" s="1">
        <v>4718</v>
      </c>
      <c r="K27" s="1" t="s">
        <v>27</v>
      </c>
      <c r="L27" s="1" t="s">
        <v>53</v>
      </c>
      <c r="M27" s="1" t="s">
        <v>175</v>
      </c>
      <c r="N27" s="1" t="s">
        <v>176</v>
      </c>
      <c r="O27" s="1" t="s">
        <v>56</v>
      </c>
      <c r="P27" s="1" t="s">
        <v>32</v>
      </c>
      <c r="Q27" s="1" t="s">
        <v>129</v>
      </c>
      <c r="R27" s="1" t="s">
        <v>177</v>
      </c>
      <c r="S27" s="1">
        <v>110</v>
      </c>
      <c r="T27" s="1" t="s">
        <v>67</v>
      </c>
      <c r="U27" s="1" t="s">
        <v>178</v>
      </c>
      <c r="V27" s="1" t="s">
        <v>179</v>
      </c>
      <c r="W27" s="1" t="s">
        <v>180</v>
      </c>
      <c r="X27" s="1" t="s">
        <v>132</v>
      </c>
      <c r="Y27" s="1" t="s">
        <v>40</v>
      </c>
      <c r="Z27" s="1" t="s">
        <v>40</v>
      </c>
      <c r="AA27" s="1" t="s">
        <v>40</v>
      </c>
    </row>
    <row r="28" spans="1:27">
      <c r="A28" s="2">
        <v>1827</v>
      </c>
      <c r="B28" s="1" t="s">
        <v>181</v>
      </c>
      <c r="C28" s="1"/>
      <c r="D28" s="1"/>
      <c r="E28" s="1"/>
      <c r="F28" s="1"/>
      <c r="G28" s="1"/>
      <c r="H28" s="1"/>
      <c r="I28" s="1"/>
      <c r="J28" s="1">
        <v>4684</v>
      </c>
      <c r="K28" s="1" t="s">
        <v>27</v>
      </c>
      <c r="L28" s="1" t="s">
        <v>53</v>
      </c>
      <c r="M28" s="1" t="s">
        <v>141</v>
      </c>
      <c r="N28" s="1" t="s">
        <v>182</v>
      </c>
      <c r="O28" s="1" t="s">
        <v>56</v>
      </c>
      <c r="P28" s="1" t="s">
        <v>32</v>
      </c>
      <c r="Q28" s="1" t="s">
        <v>129</v>
      </c>
      <c r="R28" s="1" t="s">
        <v>183</v>
      </c>
      <c r="S28" s="1">
        <v>110</v>
      </c>
      <c r="T28" s="1" t="s">
        <v>67</v>
      </c>
      <c r="U28" s="1" t="s">
        <v>77</v>
      </c>
      <c r="V28" s="1" t="s">
        <v>68</v>
      </c>
      <c r="W28" s="1" t="s">
        <v>184</v>
      </c>
      <c r="X28" s="1" t="s">
        <v>132</v>
      </c>
      <c r="Y28" s="1" t="s">
        <v>185</v>
      </c>
      <c r="Z28" s="1" t="s">
        <v>186</v>
      </c>
      <c r="AA28" s="1" t="s">
        <v>40</v>
      </c>
    </row>
    <row r="29" spans="1:27">
      <c r="A29" s="2">
        <v>1826</v>
      </c>
      <c r="B29" s="1" t="s">
        <v>187</v>
      </c>
      <c r="C29" s="1"/>
      <c r="D29" s="1"/>
      <c r="E29" s="1"/>
      <c r="F29" s="1"/>
      <c r="G29" s="1"/>
      <c r="H29" s="1"/>
      <c r="I29" s="1"/>
      <c r="J29" s="1">
        <v>4683</v>
      </c>
      <c r="K29" s="1" t="s">
        <v>27</v>
      </c>
      <c r="L29" s="1" t="s">
        <v>53</v>
      </c>
      <c r="M29" s="1" t="s">
        <v>188</v>
      </c>
      <c r="N29" s="1" t="s">
        <v>189</v>
      </c>
      <c r="O29" s="1" t="s">
        <v>56</v>
      </c>
      <c r="P29" s="1" t="s">
        <v>32</v>
      </c>
      <c r="Q29" s="1" t="s">
        <v>129</v>
      </c>
      <c r="R29" s="1" t="s">
        <v>190</v>
      </c>
      <c r="S29" s="1">
        <v>110</v>
      </c>
      <c r="T29" s="1" t="s">
        <v>67</v>
      </c>
      <c r="U29" s="1" t="s">
        <v>36</v>
      </c>
      <c r="V29" s="1" t="s">
        <v>68</v>
      </c>
      <c r="W29" s="1" t="s">
        <v>191</v>
      </c>
      <c r="X29" s="1" t="s">
        <v>132</v>
      </c>
      <c r="Y29" s="1" t="s">
        <v>40</v>
      </c>
      <c r="Z29" s="1" t="s">
        <v>40</v>
      </c>
      <c r="AA29" s="1" t="s">
        <v>40</v>
      </c>
    </row>
    <row r="30" spans="1:27">
      <c r="A30" s="2">
        <v>1792</v>
      </c>
      <c r="B30" s="1" t="s">
        <v>192</v>
      </c>
      <c r="C30" s="1"/>
      <c r="D30" s="1"/>
      <c r="E30" s="1"/>
      <c r="F30" s="1"/>
      <c r="G30" s="1"/>
      <c r="H30" s="1"/>
      <c r="I30" s="1"/>
      <c r="J30" s="1">
        <v>4647</v>
      </c>
      <c r="K30" s="1" t="s">
        <v>27</v>
      </c>
      <c r="L30" s="1" t="s">
        <v>42</v>
      </c>
      <c r="M30" s="1" t="s">
        <v>141</v>
      </c>
      <c r="N30" s="1" t="s">
        <v>193</v>
      </c>
      <c r="O30" s="1" t="s">
        <v>194</v>
      </c>
      <c r="P30" s="1" t="s">
        <v>32</v>
      </c>
      <c r="Q30" s="1" t="s">
        <v>195</v>
      </c>
      <c r="R30" s="1" t="s">
        <v>196</v>
      </c>
      <c r="S30" s="1">
        <v>13</v>
      </c>
      <c r="T30" s="1" t="s">
        <v>67</v>
      </c>
      <c r="U30" s="1" t="s">
        <v>77</v>
      </c>
      <c r="V30" s="1" t="s">
        <v>172</v>
      </c>
      <c r="W30" s="1" t="s">
        <v>197</v>
      </c>
      <c r="X30" s="1" t="s">
        <v>39</v>
      </c>
      <c r="Y30" s="1" t="s">
        <v>40</v>
      </c>
      <c r="Z30" s="1" t="s">
        <v>198</v>
      </c>
      <c r="AA30" s="1" t="s">
        <v>40</v>
      </c>
    </row>
    <row r="31" spans="1:27">
      <c r="A31" s="2">
        <v>1790</v>
      </c>
      <c r="B31" s="1" t="s">
        <v>199</v>
      </c>
      <c r="C31" s="1"/>
      <c r="D31" s="1"/>
      <c r="E31" s="1"/>
      <c r="F31" s="1"/>
      <c r="G31" s="1"/>
      <c r="H31" s="1"/>
      <c r="I31" s="1"/>
      <c r="J31" s="1">
        <v>4636</v>
      </c>
      <c r="K31" s="1" t="s">
        <v>27</v>
      </c>
      <c r="L31" s="1" t="s">
        <v>42</v>
      </c>
      <c r="M31" s="1" t="s">
        <v>121</v>
      </c>
      <c r="N31" s="1" t="s">
        <v>200</v>
      </c>
      <c r="O31" s="1" t="s">
        <v>201</v>
      </c>
      <c r="P31" s="1" t="s">
        <v>32</v>
      </c>
      <c r="Q31" s="1" t="s">
        <v>202</v>
      </c>
      <c r="R31" s="1" t="s">
        <v>203</v>
      </c>
      <c r="S31" s="1">
        <v>33</v>
      </c>
      <c r="T31" s="1" t="s">
        <v>67</v>
      </c>
      <c r="U31" s="1" t="s">
        <v>77</v>
      </c>
      <c r="V31" s="1" t="s">
        <v>98</v>
      </c>
      <c r="W31" s="1" t="s">
        <v>204</v>
      </c>
      <c r="X31" s="1" t="s">
        <v>39</v>
      </c>
      <c r="Y31" s="1" t="s">
        <v>40</v>
      </c>
      <c r="Z31" s="1" t="s">
        <v>205</v>
      </c>
      <c r="AA31" s="1" t="s">
        <v>40</v>
      </c>
    </row>
    <row r="32" spans="1:27">
      <c r="A32" s="2">
        <v>1789</v>
      </c>
      <c r="B32" s="1" t="s">
        <v>206</v>
      </c>
      <c r="C32" s="1"/>
      <c r="D32" s="1"/>
      <c r="E32" s="1"/>
      <c r="F32" s="1"/>
      <c r="G32" s="1"/>
      <c r="H32" s="1"/>
      <c r="I32" s="1"/>
      <c r="J32" s="1">
        <v>4635</v>
      </c>
      <c r="K32" s="1" t="s">
        <v>27</v>
      </c>
      <c r="L32" s="1" t="s">
        <v>42</v>
      </c>
      <c r="M32" s="1" t="s">
        <v>121</v>
      </c>
      <c r="N32" s="1" t="s">
        <v>207</v>
      </c>
      <c r="O32" s="1" t="s">
        <v>45</v>
      </c>
      <c r="P32" s="1" t="s">
        <v>32</v>
      </c>
      <c r="Q32" s="1" t="s">
        <v>208</v>
      </c>
      <c r="R32" s="1" t="s">
        <v>209</v>
      </c>
      <c r="S32" s="1">
        <v>33</v>
      </c>
      <c r="T32" s="1" t="s">
        <v>67</v>
      </c>
      <c r="U32" s="1" t="s">
        <v>36</v>
      </c>
      <c r="V32" s="1" t="s">
        <v>50</v>
      </c>
      <c r="W32" s="1" t="s">
        <v>51</v>
      </c>
      <c r="X32" s="1" t="s">
        <v>39</v>
      </c>
      <c r="Y32" s="1" t="s">
        <v>40</v>
      </c>
      <c r="Z32" s="1" t="s">
        <v>210</v>
      </c>
      <c r="AA32" s="1" t="s">
        <v>40</v>
      </c>
    </row>
    <row r="33" spans="1:27" hidden="1">
      <c r="A33" s="1">
        <v>1763</v>
      </c>
      <c r="B33" s="1" t="s">
        <v>211</v>
      </c>
      <c r="C33" s="1"/>
      <c r="D33" s="1"/>
      <c r="E33" s="1"/>
      <c r="F33" s="1"/>
      <c r="G33" s="1"/>
      <c r="H33" s="1"/>
      <c r="I33" s="1"/>
      <c r="J33" s="1">
        <v>4595</v>
      </c>
      <c r="K33" s="1" t="s">
        <v>27</v>
      </c>
      <c r="L33" s="1" t="s">
        <v>28</v>
      </c>
      <c r="M33" s="1" t="s">
        <v>64</v>
      </c>
      <c r="N33" s="1" t="s">
        <v>212</v>
      </c>
      <c r="O33" s="1" t="s">
        <v>135</v>
      </c>
      <c r="P33" s="1" t="s">
        <v>32</v>
      </c>
      <c r="Q33" s="1" t="s">
        <v>136</v>
      </c>
      <c r="R33" s="1" t="s">
        <v>213</v>
      </c>
      <c r="S33" s="1">
        <v>220</v>
      </c>
      <c r="T33" s="1" t="s">
        <v>67</v>
      </c>
      <c r="U33" s="1" t="s">
        <v>36</v>
      </c>
      <c r="V33" s="1" t="s">
        <v>78</v>
      </c>
      <c r="W33" s="1" t="s">
        <v>139</v>
      </c>
      <c r="X33" s="1" t="s">
        <v>39</v>
      </c>
      <c r="Y33" s="1" t="s">
        <v>214</v>
      </c>
      <c r="Z33" s="1" t="s">
        <v>215</v>
      </c>
      <c r="AA33" s="1" t="s">
        <v>40</v>
      </c>
    </row>
    <row r="34" spans="1:27">
      <c r="A34" s="2">
        <v>1735</v>
      </c>
      <c r="B34" s="1" t="s">
        <v>216</v>
      </c>
      <c r="C34" s="1"/>
      <c r="D34" s="1"/>
      <c r="E34" s="1"/>
      <c r="F34" s="1"/>
      <c r="G34" s="1"/>
      <c r="H34" s="1"/>
      <c r="I34" s="1"/>
      <c r="J34" s="1">
        <v>4566</v>
      </c>
      <c r="K34" s="1" t="s">
        <v>27</v>
      </c>
      <c r="L34" s="1" t="s">
        <v>53</v>
      </c>
      <c r="M34" s="1" t="s">
        <v>54</v>
      </c>
      <c r="N34" s="1" t="s">
        <v>217</v>
      </c>
      <c r="O34" s="1" t="s">
        <v>45</v>
      </c>
      <c r="P34" s="1" t="s">
        <v>32</v>
      </c>
      <c r="Q34" s="1" t="s">
        <v>218</v>
      </c>
      <c r="R34" s="1" t="s">
        <v>219</v>
      </c>
      <c r="S34" s="1">
        <v>220</v>
      </c>
      <c r="T34" s="1" t="s">
        <v>220</v>
      </c>
      <c r="U34" s="1" t="s">
        <v>36</v>
      </c>
      <c r="V34" s="1" t="s">
        <v>172</v>
      </c>
      <c r="W34" s="1" t="s">
        <v>221</v>
      </c>
      <c r="X34" s="1" t="s">
        <v>62</v>
      </c>
      <c r="Y34" s="1" t="s">
        <v>40</v>
      </c>
      <c r="Z34" s="1" t="s">
        <v>40</v>
      </c>
      <c r="AA34" s="1" t="s">
        <v>40</v>
      </c>
    </row>
    <row r="35" spans="1:27">
      <c r="A35" s="2">
        <v>1734</v>
      </c>
      <c r="B35" s="1" t="s">
        <v>222</v>
      </c>
      <c r="C35" s="1"/>
      <c r="D35" s="1"/>
      <c r="E35" s="1"/>
      <c r="F35" s="1"/>
      <c r="G35" s="1"/>
      <c r="H35" s="1"/>
      <c r="I35" s="1"/>
      <c r="J35" s="1">
        <v>4567</v>
      </c>
      <c r="K35" s="1" t="s">
        <v>27</v>
      </c>
      <c r="L35" s="1" t="s">
        <v>53</v>
      </c>
      <c r="M35" s="1" t="s">
        <v>54</v>
      </c>
      <c r="N35" s="1" t="s">
        <v>223</v>
      </c>
      <c r="O35" s="1" t="s">
        <v>56</v>
      </c>
      <c r="P35" s="1" t="s">
        <v>32</v>
      </c>
      <c r="Q35" s="1" t="s">
        <v>218</v>
      </c>
      <c r="R35" s="1" t="s">
        <v>224</v>
      </c>
      <c r="S35" s="1">
        <v>110</v>
      </c>
      <c r="T35" s="1" t="s">
        <v>67</v>
      </c>
      <c r="U35" s="1" t="s">
        <v>36</v>
      </c>
      <c r="V35" s="1" t="s">
        <v>68</v>
      </c>
      <c r="W35" s="1" t="s">
        <v>159</v>
      </c>
      <c r="X35" s="1" t="s">
        <v>132</v>
      </c>
      <c r="Y35" s="1" t="s">
        <v>40</v>
      </c>
      <c r="Z35" s="1" t="s">
        <v>40</v>
      </c>
      <c r="AA35" s="1" t="s">
        <v>40</v>
      </c>
    </row>
    <row r="36" spans="1:27" hidden="1">
      <c r="A36" s="1">
        <v>1732</v>
      </c>
      <c r="B36" s="1" t="s">
        <v>225</v>
      </c>
      <c r="C36" s="1"/>
      <c r="D36" s="1"/>
      <c r="E36" s="1"/>
      <c r="F36" s="1"/>
      <c r="G36" s="1"/>
      <c r="H36" s="1"/>
      <c r="I36" s="1"/>
      <c r="J36" s="1"/>
      <c r="K36" s="1" t="s">
        <v>27</v>
      </c>
      <c r="L36" s="1" t="s">
        <v>53</v>
      </c>
      <c r="M36" s="1" t="s">
        <v>43</v>
      </c>
      <c r="N36" s="1" t="s">
        <v>226</v>
      </c>
      <c r="O36" s="1" t="s">
        <v>45</v>
      </c>
      <c r="P36" s="1" t="s">
        <v>32</v>
      </c>
      <c r="Q36" s="1" t="s">
        <v>218</v>
      </c>
      <c r="R36" s="1" t="s">
        <v>227</v>
      </c>
      <c r="S36" s="1">
        <v>220</v>
      </c>
      <c r="T36" s="1" t="s">
        <v>228</v>
      </c>
      <c r="U36" s="1" t="s">
        <v>36</v>
      </c>
      <c r="V36" s="1" t="s">
        <v>172</v>
      </c>
      <c r="W36" s="1" t="s">
        <v>221</v>
      </c>
      <c r="X36" s="1" t="s">
        <v>62</v>
      </c>
      <c r="Y36" s="1" t="s">
        <v>40</v>
      </c>
      <c r="Z36" s="1" t="s">
        <v>40</v>
      </c>
      <c r="AA36" s="1" t="s">
        <v>40</v>
      </c>
    </row>
    <row r="37" spans="1:27">
      <c r="A37" s="2">
        <v>1730</v>
      </c>
      <c r="B37" s="1" t="s">
        <v>229</v>
      </c>
      <c r="C37" s="1"/>
      <c r="D37" s="1"/>
      <c r="E37" s="1"/>
      <c r="F37" s="1"/>
      <c r="G37" s="1"/>
      <c r="H37" s="1"/>
      <c r="I37" s="1"/>
      <c r="J37" s="1">
        <v>4554</v>
      </c>
      <c r="K37" s="1" t="s">
        <v>27</v>
      </c>
      <c r="L37" s="1" t="s">
        <v>53</v>
      </c>
      <c r="M37" s="1" t="s">
        <v>54</v>
      </c>
      <c r="N37" s="1" t="s">
        <v>230</v>
      </c>
      <c r="O37" s="1" t="s">
        <v>231</v>
      </c>
      <c r="P37" s="1" t="s">
        <v>32</v>
      </c>
      <c r="Q37" s="1" t="s">
        <v>218</v>
      </c>
      <c r="R37" s="1" t="s">
        <v>232</v>
      </c>
      <c r="S37" s="1">
        <v>66</v>
      </c>
      <c r="T37" s="1" t="s">
        <v>59</v>
      </c>
      <c r="U37" s="1" t="s">
        <v>36</v>
      </c>
      <c r="V37" s="1" t="s">
        <v>172</v>
      </c>
      <c r="W37" s="1" t="s">
        <v>233</v>
      </c>
      <c r="X37" s="1" t="s">
        <v>132</v>
      </c>
      <c r="Y37" s="1" t="s">
        <v>40</v>
      </c>
      <c r="Z37" s="1" t="s">
        <v>40</v>
      </c>
      <c r="AA37" s="1" t="s">
        <v>40</v>
      </c>
    </row>
    <row r="38" spans="1:27">
      <c r="A38" s="2">
        <v>1729</v>
      </c>
      <c r="B38" s="1" t="s">
        <v>234</v>
      </c>
      <c r="C38" s="1"/>
      <c r="D38" s="1"/>
      <c r="E38" s="1"/>
      <c r="F38" s="1"/>
      <c r="G38" s="1"/>
      <c r="H38" s="1"/>
      <c r="I38" s="1"/>
      <c r="J38" s="1">
        <v>4545</v>
      </c>
      <c r="K38" s="1" t="s">
        <v>27</v>
      </c>
      <c r="L38" s="1" t="s">
        <v>53</v>
      </c>
      <c r="M38" s="1" t="s">
        <v>54</v>
      </c>
      <c r="N38" s="1" t="s">
        <v>235</v>
      </c>
      <c r="O38" s="1" t="s">
        <v>56</v>
      </c>
      <c r="P38" s="1" t="s">
        <v>32</v>
      </c>
      <c r="Q38" s="1" t="s">
        <v>218</v>
      </c>
      <c r="R38" s="1" t="s">
        <v>236</v>
      </c>
      <c r="S38" s="1">
        <v>110</v>
      </c>
      <c r="T38" s="1" t="s">
        <v>67</v>
      </c>
      <c r="U38" s="1" t="s">
        <v>237</v>
      </c>
      <c r="V38" s="1" t="s">
        <v>78</v>
      </c>
      <c r="W38" s="1" t="s">
        <v>238</v>
      </c>
      <c r="X38" s="1" t="s">
        <v>62</v>
      </c>
      <c r="Y38" s="1" t="s">
        <v>40</v>
      </c>
      <c r="Z38" s="1" t="s">
        <v>40</v>
      </c>
      <c r="AA38" s="1" t="s">
        <v>40</v>
      </c>
    </row>
    <row r="39" spans="1:27" hidden="1">
      <c r="A39" s="1">
        <v>1727</v>
      </c>
      <c r="B39" s="1" t="s">
        <v>45</v>
      </c>
      <c r="C39" s="1"/>
      <c r="D39" s="1"/>
      <c r="E39" s="1"/>
      <c r="F39" s="1"/>
      <c r="G39" s="1"/>
      <c r="H39" s="1"/>
      <c r="I39" s="1"/>
      <c r="J39" s="1"/>
      <c r="K39" s="1" t="s">
        <v>27</v>
      </c>
      <c r="L39" s="1" t="s">
        <v>53</v>
      </c>
      <c r="M39" s="1" t="s">
        <v>43</v>
      </c>
      <c r="N39" s="1" t="s">
        <v>239</v>
      </c>
      <c r="O39" s="1" t="s">
        <v>45</v>
      </c>
      <c r="P39" s="1" t="s">
        <v>32</v>
      </c>
      <c r="Q39" s="1" t="s">
        <v>218</v>
      </c>
      <c r="R39" s="1" t="s">
        <v>227</v>
      </c>
      <c r="S39" s="1">
        <v>220</v>
      </c>
      <c r="T39" s="1" t="s">
        <v>240</v>
      </c>
      <c r="U39" s="1" t="s">
        <v>36</v>
      </c>
      <c r="V39" s="1" t="s">
        <v>172</v>
      </c>
      <c r="W39" s="1" t="s">
        <v>221</v>
      </c>
      <c r="X39" s="1" t="s">
        <v>62</v>
      </c>
      <c r="Y39" s="1" t="s">
        <v>40</v>
      </c>
      <c r="Z39" s="1" t="s">
        <v>40</v>
      </c>
      <c r="AA39" s="1" t="s">
        <v>40</v>
      </c>
    </row>
    <row r="40" spans="1:27">
      <c r="A40" s="2">
        <v>1726</v>
      </c>
      <c r="B40" s="1" t="s">
        <v>241</v>
      </c>
      <c r="C40" s="1"/>
      <c r="D40" s="1"/>
      <c r="E40" s="1"/>
      <c r="F40" s="1"/>
      <c r="G40" s="1"/>
      <c r="H40" s="1"/>
      <c r="I40" s="1"/>
      <c r="J40" s="1">
        <v>4529</v>
      </c>
      <c r="K40" s="1" t="s">
        <v>27</v>
      </c>
      <c r="L40" s="1" t="s">
        <v>53</v>
      </c>
      <c r="M40" s="1" t="s">
        <v>54</v>
      </c>
      <c r="N40" s="1" t="s">
        <v>242</v>
      </c>
      <c r="O40" s="1" t="s">
        <v>56</v>
      </c>
      <c r="P40" s="1" t="s">
        <v>32</v>
      </c>
      <c r="Q40" s="1" t="s">
        <v>218</v>
      </c>
      <c r="R40" s="1" t="s">
        <v>243</v>
      </c>
      <c r="S40" s="1">
        <v>110</v>
      </c>
      <c r="T40" s="1" t="s">
        <v>67</v>
      </c>
      <c r="U40" s="1" t="s">
        <v>237</v>
      </c>
      <c r="V40" s="1" t="s">
        <v>68</v>
      </c>
      <c r="W40" s="1" t="s">
        <v>244</v>
      </c>
      <c r="X40" s="1" t="s">
        <v>62</v>
      </c>
      <c r="Y40" s="1" t="s">
        <v>40</v>
      </c>
      <c r="Z40" s="1" t="s">
        <v>40</v>
      </c>
      <c r="AA40" s="1" t="s">
        <v>40</v>
      </c>
    </row>
    <row r="41" spans="1:27">
      <c r="A41" s="2">
        <v>1723</v>
      </c>
      <c r="B41" s="1" t="s">
        <v>245</v>
      </c>
      <c r="C41" s="1"/>
      <c r="D41" s="1"/>
      <c r="E41" s="1"/>
      <c r="F41" s="1"/>
      <c r="G41" s="1"/>
      <c r="H41" s="1"/>
      <c r="I41" s="1"/>
      <c r="J41" s="1">
        <v>4562</v>
      </c>
      <c r="K41" s="1" t="s">
        <v>27</v>
      </c>
      <c r="L41" s="1" t="s">
        <v>53</v>
      </c>
      <c r="M41" s="1" t="s">
        <v>54</v>
      </c>
      <c r="N41" s="1" t="s">
        <v>246</v>
      </c>
      <c r="O41" s="1" t="s">
        <v>162</v>
      </c>
      <c r="P41" s="1" t="s">
        <v>32</v>
      </c>
      <c r="Q41" s="1" t="s">
        <v>218</v>
      </c>
      <c r="R41" s="1" t="s">
        <v>247</v>
      </c>
      <c r="S41" s="1">
        <v>154</v>
      </c>
      <c r="T41" s="1" t="s">
        <v>248</v>
      </c>
      <c r="U41" s="1" t="s">
        <v>36</v>
      </c>
      <c r="V41" s="1" t="s">
        <v>68</v>
      </c>
      <c r="W41" s="1" t="s">
        <v>159</v>
      </c>
      <c r="X41" s="1" t="s">
        <v>132</v>
      </c>
      <c r="Y41" s="1" t="s">
        <v>40</v>
      </c>
      <c r="Z41" s="1" t="s">
        <v>40</v>
      </c>
      <c r="AA41" s="1" t="s">
        <v>40</v>
      </c>
    </row>
    <row r="42" spans="1:27" hidden="1">
      <c r="A42" s="1">
        <v>1721</v>
      </c>
      <c r="B42" s="1" t="s">
        <v>249</v>
      </c>
      <c r="C42" s="1"/>
      <c r="D42" s="1"/>
      <c r="E42" s="1"/>
      <c r="F42" s="1"/>
      <c r="G42" s="1"/>
      <c r="H42" s="1"/>
      <c r="I42" s="1"/>
      <c r="J42" s="1">
        <v>4540</v>
      </c>
      <c r="K42" s="1" t="s">
        <v>27</v>
      </c>
      <c r="L42" s="1" t="s">
        <v>53</v>
      </c>
      <c r="M42" s="1" t="s">
        <v>64</v>
      </c>
      <c r="N42" s="1" t="s">
        <v>250</v>
      </c>
      <c r="O42" s="1" t="s">
        <v>56</v>
      </c>
      <c r="P42" s="1" t="s">
        <v>32</v>
      </c>
      <c r="Q42" s="1" t="s">
        <v>218</v>
      </c>
      <c r="R42" s="1" t="s">
        <v>251</v>
      </c>
      <c r="S42" s="1">
        <v>110</v>
      </c>
      <c r="T42" s="1" t="s">
        <v>252</v>
      </c>
      <c r="U42" s="1" t="s">
        <v>36</v>
      </c>
      <c r="V42" s="1" t="s">
        <v>172</v>
      </c>
      <c r="W42" s="1" t="s">
        <v>253</v>
      </c>
      <c r="X42" s="1" t="s">
        <v>132</v>
      </c>
      <c r="Y42" s="1" t="s">
        <v>40</v>
      </c>
      <c r="Z42" s="1" t="s">
        <v>40</v>
      </c>
      <c r="AA42" s="1" t="s">
        <v>40</v>
      </c>
    </row>
    <row r="43" spans="1:27">
      <c r="A43" s="2">
        <v>1700</v>
      </c>
      <c r="B43" s="1" t="s">
        <v>254</v>
      </c>
      <c r="C43" s="1"/>
      <c r="D43" s="1"/>
      <c r="E43" s="1"/>
      <c r="F43" s="1"/>
      <c r="G43" s="1"/>
      <c r="H43" s="1"/>
      <c r="I43" s="1"/>
      <c r="J43" s="1">
        <v>4550</v>
      </c>
      <c r="K43" s="1" t="s">
        <v>27</v>
      </c>
      <c r="L43" s="1" t="s">
        <v>53</v>
      </c>
      <c r="M43" s="1" t="s">
        <v>54</v>
      </c>
      <c r="N43" s="1" t="s">
        <v>255</v>
      </c>
      <c r="O43" s="1" t="s">
        <v>45</v>
      </c>
      <c r="P43" s="1" t="s">
        <v>32</v>
      </c>
      <c r="Q43" s="1" t="s">
        <v>218</v>
      </c>
      <c r="R43" s="1" t="s">
        <v>256</v>
      </c>
      <c r="S43" s="1">
        <v>220</v>
      </c>
      <c r="T43" s="1" t="s">
        <v>257</v>
      </c>
      <c r="U43" s="1" t="s">
        <v>36</v>
      </c>
      <c r="V43" s="1" t="s">
        <v>68</v>
      </c>
      <c r="W43" s="1" t="s">
        <v>244</v>
      </c>
      <c r="X43" s="1" t="s">
        <v>62</v>
      </c>
      <c r="Y43" s="1" t="s">
        <v>40</v>
      </c>
      <c r="Z43" s="1" t="s">
        <v>40</v>
      </c>
      <c r="AA43" s="1" t="s">
        <v>40</v>
      </c>
    </row>
    <row r="44" spans="1:27">
      <c r="A44" s="2">
        <v>1600</v>
      </c>
      <c r="B44" s="1" t="s">
        <v>258</v>
      </c>
      <c r="C44" s="1"/>
      <c r="D44" s="1"/>
      <c r="E44" s="1"/>
      <c r="F44" s="1"/>
      <c r="G44" s="1"/>
      <c r="H44" s="1"/>
      <c r="I44" s="1"/>
      <c r="J44" s="1">
        <v>4384</v>
      </c>
      <c r="K44" s="1" t="s">
        <v>27</v>
      </c>
      <c r="L44" s="1" t="s">
        <v>53</v>
      </c>
      <c r="M44" s="1" t="s">
        <v>141</v>
      </c>
      <c r="N44" s="1" t="s">
        <v>259</v>
      </c>
      <c r="O44" s="1" t="s">
        <v>56</v>
      </c>
      <c r="P44" s="1" t="s">
        <v>32</v>
      </c>
      <c r="Q44" s="1" t="s">
        <v>260</v>
      </c>
      <c r="R44" s="1" t="s">
        <v>261</v>
      </c>
      <c r="S44" s="1">
        <v>220</v>
      </c>
      <c r="T44" s="1" t="s">
        <v>262</v>
      </c>
      <c r="U44" s="1" t="s">
        <v>263</v>
      </c>
      <c r="V44" s="1" t="s">
        <v>37</v>
      </c>
      <c r="W44" s="1" t="s">
        <v>264</v>
      </c>
      <c r="X44" s="1" t="s">
        <v>62</v>
      </c>
      <c r="Y44" s="1" t="s">
        <v>265</v>
      </c>
      <c r="Z44" s="1" t="s">
        <v>266</v>
      </c>
      <c r="AA44" s="1" t="s">
        <v>40</v>
      </c>
    </row>
    <row r="45" spans="1:27" hidden="1">
      <c r="A45" s="1">
        <v>1599</v>
      </c>
      <c r="B45" s="1" t="s">
        <v>267</v>
      </c>
      <c r="C45" s="1"/>
      <c r="D45" s="1"/>
      <c r="E45" s="1"/>
      <c r="F45" s="1"/>
      <c r="G45" s="1"/>
      <c r="H45" s="1"/>
      <c r="I45" s="1"/>
      <c r="J45" s="1">
        <v>4378</v>
      </c>
      <c r="K45" s="1" t="s">
        <v>27</v>
      </c>
      <c r="L45" s="1" t="s">
        <v>53</v>
      </c>
      <c r="M45" s="1" t="s">
        <v>64</v>
      </c>
      <c r="N45" s="1" t="s">
        <v>268</v>
      </c>
      <c r="O45" s="1" t="s">
        <v>56</v>
      </c>
      <c r="P45" s="1" t="s">
        <v>32</v>
      </c>
      <c r="Q45" s="1" t="s">
        <v>260</v>
      </c>
      <c r="R45" s="1" t="s">
        <v>269</v>
      </c>
      <c r="S45" s="1">
        <v>220</v>
      </c>
      <c r="T45" s="1" t="s">
        <v>270</v>
      </c>
      <c r="U45" s="1" t="s">
        <v>271</v>
      </c>
      <c r="V45" s="1" t="s">
        <v>37</v>
      </c>
      <c r="W45" s="1" t="s">
        <v>272</v>
      </c>
      <c r="X45" s="1" t="s">
        <v>132</v>
      </c>
      <c r="Y45" s="1" t="s">
        <v>40</v>
      </c>
      <c r="Z45" s="1" t="s">
        <v>40</v>
      </c>
      <c r="AA45" s="1" t="s">
        <v>40</v>
      </c>
    </row>
    <row r="46" spans="1:27">
      <c r="A46" s="2">
        <v>1598</v>
      </c>
      <c r="B46" s="1" t="s">
        <v>273</v>
      </c>
      <c r="C46" s="1"/>
      <c r="D46" s="1"/>
      <c r="E46" s="1"/>
      <c r="F46" s="1"/>
      <c r="G46" s="1"/>
      <c r="H46" s="1"/>
      <c r="I46" s="1"/>
      <c r="J46" s="1">
        <v>4381</v>
      </c>
      <c r="K46" s="1" t="s">
        <v>27</v>
      </c>
      <c r="L46" s="1" t="s">
        <v>53</v>
      </c>
      <c r="M46" s="1" t="s">
        <v>54</v>
      </c>
      <c r="N46" s="1" t="s">
        <v>274</v>
      </c>
      <c r="O46" s="1" t="s">
        <v>56</v>
      </c>
      <c r="P46" s="1" t="s">
        <v>32</v>
      </c>
      <c r="Q46" s="1" t="s">
        <v>260</v>
      </c>
      <c r="R46" s="1" t="s">
        <v>275</v>
      </c>
      <c r="S46" s="1">
        <v>220</v>
      </c>
      <c r="T46" s="1" t="s">
        <v>276</v>
      </c>
      <c r="U46" s="1" t="s">
        <v>277</v>
      </c>
      <c r="V46" s="1" t="s">
        <v>78</v>
      </c>
      <c r="W46" s="1" t="s">
        <v>278</v>
      </c>
      <c r="X46" s="1" t="s">
        <v>62</v>
      </c>
      <c r="Y46" s="1" t="s">
        <v>40</v>
      </c>
      <c r="Z46" s="1" t="s">
        <v>40</v>
      </c>
      <c r="AA46" s="1" t="s">
        <v>40</v>
      </c>
    </row>
    <row r="47" spans="1:27">
      <c r="A47" s="2">
        <v>1597</v>
      </c>
      <c r="B47" s="1" t="s">
        <v>279</v>
      </c>
      <c r="C47" s="1"/>
      <c r="D47" s="1"/>
      <c r="E47" s="1"/>
      <c r="F47" s="1"/>
      <c r="G47" s="1"/>
      <c r="H47" s="1"/>
      <c r="I47" s="1"/>
      <c r="J47" s="1">
        <v>4382</v>
      </c>
      <c r="K47" s="1" t="s">
        <v>27</v>
      </c>
      <c r="L47" s="1" t="s">
        <v>53</v>
      </c>
      <c r="M47" s="1" t="s">
        <v>54</v>
      </c>
      <c r="N47" s="1" t="s">
        <v>280</v>
      </c>
      <c r="O47" s="1" t="s">
        <v>162</v>
      </c>
      <c r="P47" s="1" t="s">
        <v>32</v>
      </c>
      <c r="Q47" s="1" t="s">
        <v>260</v>
      </c>
      <c r="R47" s="1" t="s">
        <v>281</v>
      </c>
      <c r="S47" s="1">
        <v>220</v>
      </c>
      <c r="T47" s="1" t="s">
        <v>282</v>
      </c>
      <c r="U47" s="1" t="s">
        <v>283</v>
      </c>
      <c r="V47" s="1" t="s">
        <v>179</v>
      </c>
      <c r="W47" s="1" t="s">
        <v>284</v>
      </c>
      <c r="X47" s="1" t="s">
        <v>62</v>
      </c>
      <c r="Y47" s="1" t="s">
        <v>40</v>
      </c>
      <c r="Z47" s="1" t="s">
        <v>40</v>
      </c>
      <c r="AA47" s="1" t="s">
        <v>40</v>
      </c>
    </row>
    <row r="48" spans="1:27">
      <c r="A48" s="2">
        <v>1470</v>
      </c>
      <c r="B48" s="1" t="s">
        <v>285</v>
      </c>
      <c r="C48" s="1"/>
      <c r="D48" s="1"/>
      <c r="E48" s="1"/>
      <c r="F48" s="1"/>
      <c r="G48" s="1"/>
      <c r="H48" s="1"/>
      <c r="I48" s="1"/>
      <c r="J48" s="1">
        <v>4100</v>
      </c>
      <c r="K48" s="1" t="s">
        <v>27</v>
      </c>
      <c r="L48" s="1" t="s">
        <v>28</v>
      </c>
      <c r="M48" s="1" t="s">
        <v>286</v>
      </c>
      <c r="N48" s="1" t="s">
        <v>287</v>
      </c>
      <c r="O48" s="1" t="s">
        <v>194</v>
      </c>
      <c r="P48" s="1" t="s">
        <v>32</v>
      </c>
      <c r="Q48" s="1" t="s">
        <v>288</v>
      </c>
      <c r="R48" s="1" t="s">
        <v>289</v>
      </c>
      <c r="S48" s="1">
        <v>23</v>
      </c>
      <c r="T48" s="1" t="s">
        <v>290</v>
      </c>
      <c r="U48" s="1" t="s">
        <v>291</v>
      </c>
      <c r="V48" s="1" t="s">
        <v>98</v>
      </c>
      <c r="W48" s="1" t="s">
        <v>116</v>
      </c>
      <c r="X48" s="1" t="s">
        <v>39</v>
      </c>
      <c r="Y48" s="1" t="s">
        <v>40</v>
      </c>
      <c r="Z48" s="1" t="s">
        <v>40</v>
      </c>
      <c r="AA48" s="1" t="s">
        <v>40</v>
      </c>
    </row>
    <row r="49" spans="1:27">
      <c r="A49" s="2">
        <v>1469</v>
      </c>
      <c r="B49" s="1" t="s">
        <v>292</v>
      </c>
      <c r="C49" s="1"/>
      <c r="D49" s="1"/>
      <c r="E49" s="1"/>
      <c r="F49" s="1"/>
      <c r="G49" s="1"/>
      <c r="H49" s="1"/>
      <c r="I49" s="1"/>
      <c r="J49" s="1">
        <v>4099</v>
      </c>
      <c r="K49" s="1" t="s">
        <v>27</v>
      </c>
      <c r="L49" s="1" t="s">
        <v>28</v>
      </c>
      <c r="M49" s="1" t="s">
        <v>293</v>
      </c>
      <c r="N49" s="1" t="s">
        <v>294</v>
      </c>
      <c r="O49" s="1" t="s">
        <v>194</v>
      </c>
      <c r="P49" s="1" t="s">
        <v>295</v>
      </c>
      <c r="Q49" s="1" t="s">
        <v>296</v>
      </c>
      <c r="R49" s="1" t="s">
        <v>297</v>
      </c>
      <c r="S49" s="1">
        <v>23</v>
      </c>
      <c r="T49" s="1" t="s">
        <v>298</v>
      </c>
      <c r="U49" s="1" t="s">
        <v>299</v>
      </c>
      <c r="V49" s="1" t="s">
        <v>98</v>
      </c>
      <c r="W49" s="1" t="s">
        <v>99</v>
      </c>
      <c r="X49" s="1" t="s">
        <v>39</v>
      </c>
      <c r="Y49" s="1" t="s">
        <v>40</v>
      </c>
      <c r="Z49" s="1" t="s">
        <v>40</v>
      </c>
      <c r="AA49" s="1" t="s">
        <v>40</v>
      </c>
    </row>
    <row r="50" spans="1:27">
      <c r="A50" s="2">
        <v>1364</v>
      </c>
      <c r="B50" s="1" t="s">
        <v>300</v>
      </c>
      <c r="C50" s="1"/>
      <c r="D50" s="1"/>
      <c r="E50" s="1"/>
      <c r="F50" s="1"/>
      <c r="G50" s="1"/>
      <c r="H50" s="1"/>
      <c r="I50" s="1"/>
      <c r="J50" s="1">
        <v>3904</v>
      </c>
      <c r="K50" s="1" t="s">
        <v>27</v>
      </c>
      <c r="L50" s="1" t="s">
        <v>28</v>
      </c>
      <c r="M50" s="1" t="s">
        <v>301</v>
      </c>
      <c r="N50" s="1" t="s">
        <v>302</v>
      </c>
      <c r="O50" s="1" t="s">
        <v>31</v>
      </c>
      <c r="P50" s="1" t="s">
        <v>295</v>
      </c>
      <c r="Q50" s="1" t="s">
        <v>136</v>
      </c>
      <c r="R50" s="1" t="s">
        <v>303</v>
      </c>
      <c r="S50" s="1">
        <v>220</v>
      </c>
      <c r="T50" s="1" t="s">
        <v>67</v>
      </c>
      <c r="U50" s="1" t="s">
        <v>138</v>
      </c>
      <c r="V50" s="1" t="s">
        <v>37</v>
      </c>
      <c r="W50" s="1" t="s">
        <v>38</v>
      </c>
      <c r="X50" s="1" t="s">
        <v>39</v>
      </c>
      <c r="Y50" s="1" t="s">
        <v>304</v>
      </c>
      <c r="Z50" s="1" t="s">
        <v>305</v>
      </c>
      <c r="AA50" s="1" t="s">
        <v>186</v>
      </c>
    </row>
    <row r="51" spans="1:27">
      <c r="A51" s="2">
        <v>1353</v>
      </c>
      <c r="B51" s="1" t="s">
        <v>306</v>
      </c>
      <c r="C51" s="1"/>
      <c r="D51" s="1"/>
      <c r="E51" s="1"/>
      <c r="F51" s="1"/>
      <c r="G51" s="1"/>
      <c r="H51" s="1"/>
      <c r="I51" s="1"/>
      <c r="J51" s="1">
        <v>3849</v>
      </c>
      <c r="K51" s="1" t="s">
        <v>27</v>
      </c>
      <c r="L51" s="1" t="s">
        <v>28</v>
      </c>
      <c r="M51" s="1" t="s">
        <v>307</v>
      </c>
      <c r="N51" s="1" t="s">
        <v>308</v>
      </c>
      <c r="O51" s="1" t="s">
        <v>201</v>
      </c>
      <c r="P51" s="1" t="s">
        <v>295</v>
      </c>
      <c r="Q51" s="1" t="s">
        <v>136</v>
      </c>
      <c r="R51" s="1" t="s">
        <v>309</v>
      </c>
      <c r="S51" s="1">
        <v>220</v>
      </c>
      <c r="T51" s="1" t="s">
        <v>310</v>
      </c>
      <c r="U51" s="1" t="s">
        <v>311</v>
      </c>
      <c r="V51" s="1" t="s">
        <v>98</v>
      </c>
      <c r="W51" s="1" t="s">
        <v>204</v>
      </c>
      <c r="X51" s="1" t="s">
        <v>39</v>
      </c>
      <c r="Y51" s="1" t="s">
        <v>312</v>
      </c>
      <c r="Z51" s="1" t="s">
        <v>313</v>
      </c>
      <c r="AA51" s="1" t="s">
        <v>40</v>
      </c>
    </row>
    <row r="52" spans="1:27" hidden="1">
      <c r="A52" s="1">
        <v>1336</v>
      </c>
      <c r="B52" s="1" t="s">
        <v>314</v>
      </c>
      <c r="C52" s="1"/>
      <c r="D52" s="1"/>
      <c r="E52" s="1"/>
      <c r="F52" s="1"/>
      <c r="G52" s="1"/>
      <c r="H52" s="1"/>
      <c r="I52" s="1"/>
      <c r="J52" s="1">
        <v>3811</v>
      </c>
      <c r="K52" s="1" t="s">
        <v>27</v>
      </c>
      <c r="L52" s="1" t="s">
        <v>28</v>
      </c>
      <c r="M52" s="1" t="s">
        <v>64</v>
      </c>
      <c r="N52" s="1" t="s">
        <v>315</v>
      </c>
      <c r="O52" s="1" t="s">
        <v>316</v>
      </c>
      <c r="P52" s="1" t="s">
        <v>295</v>
      </c>
      <c r="Q52" s="1" t="s">
        <v>317</v>
      </c>
      <c r="R52" s="1" t="s">
        <v>318</v>
      </c>
      <c r="S52" s="1">
        <v>13</v>
      </c>
      <c r="T52" s="1" t="s">
        <v>319</v>
      </c>
      <c r="U52" s="1" t="s">
        <v>320</v>
      </c>
      <c r="V52" s="1" t="s">
        <v>98</v>
      </c>
      <c r="W52" s="1" t="s">
        <v>98</v>
      </c>
      <c r="X52" s="1" t="s">
        <v>39</v>
      </c>
      <c r="Y52" s="1" t="s">
        <v>321</v>
      </c>
      <c r="Z52" s="1" t="s">
        <v>322</v>
      </c>
      <c r="AA52" s="1" t="s">
        <v>40</v>
      </c>
    </row>
    <row r="53" spans="1:27">
      <c r="A53" s="2">
        <v>1275</v>
      </c>
      <c r="B53" s="1" t="s">
        <v>323</v>
      </c>
      <c r="C53" s="1"/>
      <c r="D53" s="1"/>
      <c r="E53" s="1"/>
      <c r="F53" s="1"/>
      <c r="G53" s="1"/>
      <c r="H53" s="1"/>
      <c r="I53" s="1"/>
      <c r="J53" s="1">
        <v>3680</v>
      </c>
      <c r="K53" s="1" t="s">
        <v>27</v>
      </c>
      <c r="L53" s="1" t="s">
        <v>53</v>
      </c>
      <c r="M53" s="1" t="s">
        <v>54</v>
      </c>
      <c r="N53" s="1" t="s">
        <v>324</v>
      </c>
      <c r="O53" s="1" t="s">
        <v>325</v>
      </c>
      <c r="P53" s="1" t="s">
        <v>295</v>
      </c>
      <c r="Q53" s="1" t="s">
        <v>326</v>
      </c>
      <c r="R53" s="1" t="s">
        <v>327</v>
      </c>
      <c r="S53" s="1">
        <v>110</v>
      </c>
      <c r="T53" s="1" t="s">
        <v>59</v>
      </c>
      <c r="U53" s="1" t="s">
        <v>328</v>
      </c>
      <c r="V53" s="1" t="s">
        <v>153</v>
      </c>
      <c r="W53" s="1" t="s">
        <v>329</v>
      </c>
      <c r="X53" s="1" t="s">
        <v>132</v>
      </c>
      <c r="Y53" s="1" t="s">
        <v>40</v>
      </c>
      <c r="Z53" s="1" t="s">
        <v>40</v>
      </c>
      <c r="AA53" s="1" t="s">
        <v>40</v>
      </c>
    </row>
    <row r="54" spans="1:27" hidden="1">
      <c r="A54" s="1">
        <v>1273</v>
      </c>
      <c r="B54" s="1" t="s">
        <v>330</v>
      </c>
      <c r="C54" s="1"/>
      <c r="D54" s="1"/>
      <c r="E54" s="1"/>
      <c r="F54" s="1"/>
      <c r="G54" s="1"/>
      <c r="H54" s="1"/>
      <c r="I54" s="1"/>
      <c r="J54" s="1">
        <v>3679</v>
      </c>
      <c r="K54" s="1" t="s">
        <v>27</v>
      </c>
      <c r="L54" s="1" t="s">
        <v>53</v>
      </c>
      <c r="M54" s="1" t="s">
        <v>64</v>
      </c>
      <c r="N54" s="1" t="s">
        <v>331</v>
      </c>
      <c r="O54" s="1" t="s">
        <v>162</v>
      </c>
      <c r="P54" s="1" t="s">
        <v>295</v>
      </c>
      <c r="Q54" s="1" t="s">
        <v>326</v>
      </c>
      <c r="R54" s="1" t="s">
        <v>332</v>
      </c>
      <c r="S54" s="1">
        <v>154</v>
      </c>
      <c r="T54" s="1" t="s">
        <v>59</v>
      </c>
      <c r="U54" s="1" t="s">
        <v>333</v>
      </c>
      <c r="V54" s="1" t="s">
        <v>334</v>
      </c>
      <c r="W54" s="1" t="s">
        <v>335</v>
      </c>
      <c r="X54" s="1" t="s">
        <v>132</v>
      </c>
      <c r="Y54" s="1" t="s">
        <v>40</v>
      </c>
      <c r="Z54" s="1" t="s">
        <v>40</v>
      </c>
      <c r="AA54" s="1" t="s">
        <v>40</v>
      </c>
    </row>
    <row r="55" spans="1:27">
      <c r="A55" s="2">
        <v>1272</v>
      </c>
      <c r="B55" s="1" t="s">
        <v>336</v>
      </c>
      <c r="C55" s="1"/>
      <c r="D55" s="1"/>
      <c r="E55" s="1"/>
      <c r="F55" s="1"/>
      <c r="G55" s="1"/>
      <c r="H55" s="1"/>
      <c r="I55" s="1"/>
      <c r="J55" s="1">
        <v>3677</v>
      </c>
      <c r="K55" s="1" t="s">
        <v>27</v>
      </c>
      <c r="L55" s="1" t="s">
        <v>53</v>
      </c>
      <c r="M55" s="1" t="s">
        <v>54</v>
      </c>
      <c r="N55" s="1" t="s">
        <v>337</v>
      </c>
      <c r="O55" s="1" t="s">
        <v>338</v>
      </c>
      <c r="P55" s="1" t="s">
        <v>295</v>
      </c>
      <c r="Q55" s="1" t="s">
        <v>326</v>
      </c>
      <c r="R55" s="1" t="s">
        <v>339</v>
      </c>
      <c r="S55" s="1">
        <v>220</v>
      </c>
      <c r="T55" s="1" t="s">
        <v>340</v>
      </c>
      <c r="U55" s="1" t="s">
        <v>341</v>
      </c>
      <c r="V55" s="1" t="s">
        <v>172</v>
      </c>
      <c r="W55" s="1" t="s">
        <v>173</v>
      </c>
      <c r="X55" s="1" t="s">
        <v>132</v>
      </c>
      <c r="Y55" s="1" t="s">
        <v>40</v>
      </c>
      <c r="Z55" s="1" t="s">
        <v>40</v>
      </c>
      <c r="AA55" s="1" t="s">
        <v>40</v>
      </c>
    </row>
    <row r="56" spans="1:27" hidden="1">
      <c r="A56" s="1">
        <v>1271</v>
      </c>
      <c r="B56" s="1" t="s">
        <v>342</v>
      </c>
      <c r="C56" s="1"/>
      <c r="D56" s="1"/>
      <c r="E56" s="1"/>
      <c r="F56" s="1"/>
      <c r="G56" s="1"/>
      <c r="H56" s="1"/>
      <c r="I56" s="1"/>
      <c r="J56" s="1">
        <v>3676</v>
      </c>
      <c r="K56" s="1" t="s">
        <v>27</v>
      </c>
      <c r="L56" s="1" t="s">
        <v>53</v>
      </c>
      <c r="M56" s="1" t="s">
        <v>64</v>
      </c>
      <c r="N56" s="1" t="s">
        <v>343</v>
      </c>
      <c r="O56" s="1" t="s">
        <v>338</v>
      </c>
      <c r="P56" s="1" t="s">
        <v>295</v>
      </c>
      <c r="Q56" s="1" t="s">
        <v>326</v>
      </c>
      <c r="R56" s="1" t="s">
        <v>344</v>
      </c>
      <c r="S56" s="1">
        <v>220</v>
      </c>
      <c r="T56" s="1" t="s">
        <v>340</v>
      </c>
      <c r="U56" s="1" t="s">
        <v>345</v>
      </c>
      <c r="V56" s="1" t="s">
        <v>153</v>
      </c>
      <c r="W56" s="1" t="s">
        <v>329</v>
      </c>
      <c r="X56" s="1" t="s">
        <v>132</v>
      </c>
      <c r="Y56" s="1" t="s">
        <v>40</v>
      </c>
      <c r="Z56" s="1" t="s">
        <v>40</v>
      </c>
      <c r="AA56" s="1" t="s">
        <v>40</v>
      </c>
    </row>
    <row r="57" spans="1:27" hidden="1">
      <c r="A57" s="1">
        <v>1186</v>
      </c>
      <c r="B57" s="1" t="s">
        <v>346</v>
      </c>
      <c r="C57" s="1"/>
      <c r="D57" s="1"/>
      <c r="E57" s="1"/>
      <c r="F57" s="1"/>
      <c r="G57" s="1"/>
      <c r="H57" s="1"/>
      <c r="I57" s="1"/>
      <c r="J57" s="1">
        <v>3500</v>
      </c>
      <c r="K57" s="1" t="s">
        <v>27</v>
      </c>
      <c r="L57" s="1" t="s">
        <v>28</v>
      </c>
      <c r="M57" s="1" t="s">
        <v>64</v>
      </c>
      <c r="N57" s="1" t="s">
        <v>347</v>
      </c>
      <c r="O57" s="1" t="s">
        <v>56</v>
      </c>
      <c r="P57" s="1" t="s">
        <v>295</v>
      </c>
      <c r="Q57" s="1" t="s">
        <v>348</v>
      </c>
      <c r="R57" s="1" t="s">
        <v>349</v>
      </c>
      <c r="S57" s="1">
        <v>154</v>
      </c>
      <c r="T57" s="1" t="s">
        <v>350</v>
      </c>
      <c r="U57" s="1" t="s">
        <v>351</v>
      </c>
      <c r="V57" s="1" t="s">
        <v>60</v>
      </c>
      <c r="W57" s="1" t="s">
        <v>352</v>
      </c>
      <c r="X57" s="1" t="s">
        <v>39</v>
      </c>
      <c r="Y57" s="1" t="s">
        <v>353</v>
      </c>
      <c r="Z57" s="1" t="s">
        <v>322</v>
      </c>
      <c r="AA57" s="1" t="s">
        <v>40</v>
      </c>
    </row>
    <row r="58" spans="1:27" hidden="1">
      <c r="A58" s="1">
        <v>1184</v>
      </c>
      <c r="B58" s="1" t="s">
        <v>354</v>
      </c>
      <c r="C58" s="1"/>
      <c r="D58" s="1"/>
      <c r="E58" s="1"/>
      <c r="F58" s="1"/>
      <c r="G58" s="1"/>
      <c r="H58" s="1"/>
      <c r="I58" s="1"/>
      <c r="J58" s="1">
        <v>3495</v>
      </c>
      <c r="K58" s="1" t="s">
        <v>27</v>
      </c>
      <c r="L58" s="1" t="s">
        <v>28</v>
      </c>
      <c r="M58" s="1" t="s">
        <v>64</v>
      </c>
      <c r="N58" s="1" t="s">
        <v>355</v>
      </c>
      <c r="O58" s="1" t="s">
        <v>135</v>
      </c>
      <c r="P58" s="1" t="s">
        <v>295</v>
      </c>
      <c r="Q58" s="1" t="s">
        <v>348</v>
      </c>
      <c r="R58" s="1" t="s">
        <v>356</v>
      </c>
      <c r="S58" s="1">
        <v>220</v>
      </c>
      <c r="T58" s="1" t="s">
        <v>357</v>
      </c>
      <c r="U58" s="1" t="s">
        <v>36</v>
      </c>
      <c r="V58" s="1" t="s">
        <v>78</v>
      </c>
      <c r="W58" s="1" t="s">
        <v>139</v>
      </c>
      <c r="X58" s="1" t="s">
        <v>39</v>
      </c>
      <c r="Y58" s="1" t="s">
        <v>40</v>
      </c>
      <c r="Z58" s="1" t="s">
        <v>40</v>
      </c>
      <c r="AA58" s="1" t="s">
        <v>40</v>
      </c>
    </row>
    <row r="59" spans="1:27" hidden="1">
      <c r="A59" s="1">
        <v>1156</v>
      </c>
      <c r="B59" s="1" t="s">
        <v>358</v>
      </c>
      <c r="C59" s="1"/>
      <c r="D59" s="1"/>
      <c r="E59" s="1"/>
      <c r="F59" s="1"/>
      <c r="G59" s="1"/>
      <c r="H59" s="1"/>
      <c r="I59" s="1"/>
      <c r="J59" s="1">
        <v>3426</v>
      </c>
      <c r="K59" s="1" t="s">
        <v>27</v>
      </c>
      <c r="L59" s="1" t="s">
        <v>28</v>
      </c>
      <c r="M59" s="1" t="s">
        <v>64</v>
      </c>
      <c r="N59" s="1" t="s">
        <v>359</v>
      </c>
      <c r="O59" s="1" t="s">
        <v>45</v>
      </c>
      <c r="P59" s="1" t="s">
        <v>295</v>
      </c>
      <c r="Q59" s="1" t="s">
        <v>348</v>
      </c>
      <c r="R59" s="1" t="s">
        <v>360</v>
      </c>
      <c r="S59" s="1">
        <v>220</v>
      </c>
      <c r="T59" s="1" t="s">
        <v>361</v>
      </c>
      <c r="U59" s="1" t="s">
        <v>362</v>
      </c>
      <c r="V59" s="1" t="s">
        <v>37</v>
      </c>
      <c r="W59" s="1" t="s">
        <v>363</v>
      </c>
      <c r="X59" s="1" t="s">
        <v>39</v>
      </c>
      <c r="Y59" s="1" t="s">
        <v>40</v>
      </c>
      <c r="Z59" s="1" t="s">
        <v>40</v>
      </c>
      <c r="AA59" s="1" t="s">
        <v>40</v>
      </c>
    </row>
    <row r="60" spans="1:27" hidden="1">
      <c r="A60" s="1">
        <v>1039</v>
      </c>
      <c r="B60" s="1" t="s">
        <v>364</v>
      </c>
      <c r="C60" s="1"/>
      <c r="D60" s="1"/>
      <c r="E60" s="1"/>
      <c r="F60" s="1"/>
      <c r="G60" s="1"/>
      <c r="H60" s="1"/>
      <c r="I60" s="1"/>
      <c r="J60" s="1">
        <v>2984</v>
      </c>
      <c r="K60" s="1" t="s">
        <v>27</v>
      </c>
      <c r="L60" s="1" t="s">
        <v>28</v>
      </c>
      <c r="M60" s="1" t="s">
        <v>64</v>
      </c>
      <c r="N60" s="1" t="s">
        <v>365</v>
      </c>
      <c r="O60" s="1" t="s">
        <v>366</v>
      </c>
      <c r="P60" s="1" t="s">
        <v>295</v>
      </c>
      <c r="Q60" s="1" t="s">
        <v>367</v>
      </c>
      <c r="R60" s="1" t="s">
        <v>368</v>
      </c>
      <c r="S60" s="1">
        <v>110</v>
      </c>
      <c r="T60" s="1" t="s">
        <v>369</v>
      </c>
      <c r="U60" s="1" t="s">
        <v>369</v>
      </c>
      <c r="V60" s="1" t="s">
        <v>98</v>
      </c>
      <c r="W60" s="1" t="s">
        <v>370</v>
      </c>
      <c r="X60" s="1" t="s">
        <v>39</v>
      </c>
      <c r="Y60" s="1" t="s">
        <v>40</v>
      </c>
      <c r="Z60" s="1" t="s">
        <v>40</v>
      </c>
      <c r="AA60" s="1" t="s">
        <v>40</v>
      </c>
    </row>
    <row r="61" spans="1:27" hidden="1">
      <c r="A61" s="1">
        <v>1032</v>
      </c>
      <c r="B61" s="1" t="s">
        <v>371</v>
      </c>
      <c r="C61" s="1"/>
      <c r="D61" s="1"/>
      <c r="E61" s="1"/>
      <c r="F61" s="1"/>
      <c r="G61" s="1"/>
      <c r="H61" s="1"/>
      <c r="I61" s="1"/>
      <c r="J61" s="1">
        <v>2964</v>
      </c>
      <c r="K61" s="1" t="s">
        <v>27</v>
      </c>
      <c r="L61" s="1" t="s">
        <v>53</v>
      </c>
      <c r="M61" s="1" t="s">
        <v>64</v>
      </c>
      <c r="N61" s="1" t="s">
        <v>372</v>
      </c>
      <c r="O61" s="1" t="s">
        <v>231</v>
      </c>
      <c r="P61" s="1" t="s">
        <v>295</v>
      </c>
      <c r="Q61" s="1" t="s">
        <v>373</v>
      </c>
      <c r="R61" s="1" t="s">
        <v>374</v>
      </c>
      <c r="S61" s="1">
        <v>66</v>
      </c>
      <c r="T61" s="1" t="s">
        <v>375</v>
      </c>
      <c r="U61" s="1" t="s">
        <v>376</v>
      </c>
      <c r="V61" s="1" t="s">
        <v>334</v>
      </c>
      <c r="W61" s="1" t="s">
        <v>335</v>
      </c>
      <c r="X61" s="1" t="s">
        <v>132</v>
      </c>
      <c r="Y61" s="1" t="s">
        <v>377</v>
      </c>
      <c r="Z61" s="1" t="s">
        <v>322</v>
      </c>
      <c r="AA61" s="1" t="s">
        <v>40</v>
      </c>
    </row>
    <row r="62" spans="1:27" hidden="1">
      <c r="A62" s="1">
        <v>1019</v>
      </c>
      <c r="B62" s="1" t="s">
        <v>378</v>
      </c>
      <c r="C62" s="1"/>
      <c r="D62" s="1"/>
      <c r="E62" s="1"/>
      <c r="F62" s="1"/>
      <c r="G62" s="1"/>
      <c r="H62" s="1"/>
      <c r="I62" s="1"/>
      <c r="J62" s="1">
        <v>2813</v>
      </c>
      <c r="K62" s="1" t="s">
        <v>27</v>
      </c>
      <c r="L62" s="1" t="s">
        <v>53</v>
      </c>
      <c r="M62" s="1" t="s">
        <v>64</v>
      </c>
      <c r="N62" s="1" t="s">
        <v>379</v>
      </c>
      <c r="O62" s="1" t="s">
        <v>325</v>
      </c>
      <c r="P62" s="1" t="s">
        <v>380</v>
      </c>
      <c r="Q62" s="1" t="s">
        <v>296</v>
      </c>
      <c r="R62" s="1" t="s">
        <v>381</v>
      </c>
      <c r="S62" s="1">
        <v>220</v>
      </c>
      <c r="T62" s="1" t="s">
        <v>59</v>
      </c>
      <c r="U62" s="1" t="s">
        <v>77</v>
      </c>
      <c r="V62" s="1" t="s">
        <v>382</v>
      </c>
      <c r="W62" s="1" t="s">
        <v>383</v>
      </c>
      <c r="X62" s="1" t="s">
        <v>132</v>
      </c>
      <c r="Y62" s="1" t="s">
        <v>40</v>
      </c>
      <c r="Z62" s="1" t="s">
        <v>40</v>
      </c>
      <c r="AA62" s="1" t="s">
        <v>40</v>
      </c>
    </row>
    <row r="63" spans="1:27" hidden="1">
      <c r="A63" s="1">
        <v>1016</v>
      </c>
      <c r="B63" s="1" t="s">
        <v>384</v>
      </c>
      <c r="C63" s="1"/>
      <c r="D63" s="1"/>
      <c r="E63" s="1"/>
      <c r="F63" s="1"/>
      <c r="G63" s="1"/>
      <c r="H63" s="1"/>
      <c r="I63" s="1"/>
      <c r="J63" s="1"/>
      <c r="K63" s="1" t="s">
        <v>27</v>
      </c>
      <c r="L63" s="1" t="s">
        <v>53</v>
      </c>
      <c r="M63" s="1" t="s">
        <v>64</v>
      </c>
      <c r="N63" s="1" t="s">
        <v>385</v>
      </c>
      <c r="O63" s="1" t="s">
        <v>231</v>
      </c>
      <c r="P63" s="1" t="s">
        <v>380</v>
      </c>
      <c r="Q63" s="1" t="s">
        <v>386</v>
      </c>
      <c r="R63" s="1" t="s">
        <v>387</v>
      </c>
      <c r="S63" s="1">
        <v>66</v>
      </c>
      <c r="T63" s="1" t="s">
        <v>59</v>
      </c>
      <c r="U63" s="1" t="s">
        <v>388</v>
      </c>
      <c r="V63" s="1" t="s">
        <v>334</v>
      </c>
      <c r="W63" s="1" t="s">
        <v>389</v>
      </c>
      <c r="X63" s="1" t="s">
        <v>132</v>
      </c>
      <c r="Y63" s="1" t="s">
        <v>40</v>
      </c>
      <c r="Z63" s="1" t="s">
        <v>40</v>
      </c>
      <c r="AA63" s="1" t="s">
        <v>40</v>
      </c>
    </row>
    <row r="64" spans="1:27" hidden="1">
      <c r="A64" s="1">
        <v>1015</v>
      </c>
      <c r="B64" s="1" t="s">
        <v>390</v>
      </c>
      <c r="C64" s="1"/>
      <c r="D64" s="1"/>
      <c r="E64" s="1"/>
      <c r="F64" s="1"/>
      <c r="G64" s="1"/>
      <c r="H64" s="1"/>
      <c r="I64" s="1"/>
      <c r="J64" s="1"/>
      <c r="K64" s="1" t="s">
        <v>27</v>
      </c>
      <c r="L64" s="1" t="s">
        <v>53</v>
      </c>
      <c r="M64" s="1" t="s">
        <v>64</v>
      </c>
      <c r="N64" s="1" t="s">
        <v>391</v>
      </c>
      <c r="O64" s="1" t="s">
        <v>392</v>
      </c>
      <c r="P64" s="1" t="s">
        <v>380</v>
      </c>
      <c r="Q64" s="1" t="s">
        <v>393</v>
      </c>
      <c r="R64" s="1" t="s">
        <v>394</v>
      </c>
      <c r="S64" s="1">
        <v>220</v>
      </c>
      <c r="T64" s="1" t="s">
        <v>395</v>
      </c>
      <c r="U64" s="1" t="s">
        <v>396</v>
      </c>
      <c r="V64" s="1" t="s">
        <v>153</v>
      </c>
      <c r="W64" s="1" t="s">
        <v>329</v>
      </c>
      <c r="X64" s="1" t="s">
        <v>62</v>
      </c>
      <c r="Y64" s="1" t="s">
        <v>40</v>
      </c>
      <c r="Z64" s="1" t="s">
        <v>40</v>
      </c>
      <c r="AA64" s="1" t="s">
        <v>40</v>
      </c>
    </row>
    <row r="65" spans="1:27" hidden="1">
      <c r="A65" s="1">
        <v>815</v>
      </c>
      <c r="B65" s="1" t="s">
        <v>397</v>
      </c>
      <c r="C65" s="1"/>
      <c r="D65" s="1"/>
      <c r="E65" s="1"/>
      <c r="F65" s="1"/>
      <c r="G65" s="1"/>
      <c r="H65" s="1"/>
      <c r="I65" s="1"/>
      <c r="J65" s="1">
        <v>2514</v>
      </c>
      <c r="K65" s="1" t="s">
        <v>27</v>
      </c>
      <c r="L65" s="1" t="s">
        <v>53</v>
      </c>
      <c r="M65" s="1" t="s">
        <v>64</v>
      </c>
      <c r="N65" s="1" t="s">
        <v>398</v>
      </c>
      <c r="O65" s="1" t="s">
        <v>399</v>
      </c>
      <c r="P65" s="1" t="s">
        <v>295</v>
      </c>
      <c r="Q65" s="1" t="s">
        <v>400</v>
      </c>
      <c r="R65" s="1" t="s">
        <v>401</v>
      </c>
      <c r="S65" s="1">
        <v>44</v>
      </c>
      <c r="T65" s="1" t="s">
        <v>59</v>
      </c>
      <c r="U65" s="1" t="s">
        <v>402</v>
      </c>
      <c r="V65" s="1" t="s">
        <v>68</v>
      </c>
      <c r="W65" s="1" t="s">
        <v>403</v>
      </c>
      <c r="X65" s="1" t="s">
        <v>132</v>
      </c>
      <c r="Y65" s="1" t="s">
        <v>40</v>
      </c>
      <c r="Z65" s="1" t="s">
        <v>40</v>
      </c>
      <c r="AA65" s="1" t="s">
        <v>40</v>
      </c>
    </row>
    <row r="66" spans="1:27" hidden="1">
      <c r="A66" s="1">
        <v>661</v>
      </c>
      <c r="B66" s="1" t="s">
        <v>404</v>
      </c>
      <c r="C66" s="1"/>
      <c r="D66" s="1"/>
      <c r="E66" s="1"/>
      <c r="F66" s="1"/>
      <c r="G66" s="1"/>
      <c r="H66" s="1"/>
      <c r="I66" s="1"/>
      <c r="J66" s="1"/>
      <c r="K66" s="1" t="s">
        <v>27</v>
      </c>
      <c r="L66" s="1" t="s">
        <v>53</v>
      </c>
      <c r="M66" s="1" t="s">
        <v>43</v>
      </c>
      <c r="N66" s="1" t="s">
        <v>405</v>
      </c>
      <c r="O66" s="1" t="s">
        <v>406</v>
      </c>
      <c r="P66" s="1" t="s">
        <v>295</v>
      </c>
      <c r="Q66" s="1" t="s">
        <v>407</v>
      </c>
      <c r="R66" s="1" t="s">
        <v>408</v>
      </c>
      <c r="S66" s="1">
        <v>110</v>
      </c>
      <c r="T66" s="1" t="s">
        <v>395</v>
      </c>
      <c r="U66" s="1" t="s">
        <v>333</v>
      </c>
      <c r="V66" s="1" t="s">
        <v>153</v>
      </c>
      <c r="W66" s="1" t="s">
        <v>329</v>
      </c>
      <c r="X66" s="1" t="s">
        <v>132</v>
      </c>
      <c r="Y66" s="1" t="s">
        <v>40</v>
      </c>
      <c r="Z66" s="1" t="s">
        <v>40</v>
      </c>
      <c r="AA66" s="1" t="s">
        <v>40</v>
      </c>
    </row>
    <row r="67" spans="1:27">
      <c r="A67" s="2">
        <v>660</v>
      </c>
      <c r="B67" s="1" t="s">
        <v>409</v>
      </c>
      <c r="C67" s="1"/>
      <c r="D67" s="1"/>
      <c r="E67" s="1"/>
      <c r="F67" s="1"/>
      <c r="G67" s="1"/>
      <c r="H67" s="1"/>
      <c r="I67" s="1"/>
      <c r="J67" s="1">
        <v>2303</v>
      </c>
      <c r="K67" s="1" t="s">
        <v>27</v>
      </c>
      <c r="L67" s="1" t="s">
        <v>53</v>
      </c>
      <c r="M67" s="1" t="s">
        <v>307</v>
      </c>
      <c r="N67" s="1" t="s">
        <v>410</v>
      </c>
      <c r="O67" s="1" t="s">
        <v>411</v>
      </c>
      <c r="P67" s="1" t="s">
        <v>295</v>
      </c>
      <c r="Q67" s="1" t="s">
        <v>407</v>
      </c>
      <c r="R67" s="1" t="s">
        <v>412</v>
      </c>
      <c r="S67" s="1">
        <v>66</v>
      </c>
      <c r="T67" s="1" t="s">
        <v>395</v>
      </c>
      <c r="U67" s="1" t="s">
        <v>388</v>
      </c>
      <c r="V67" s="1" t="s">
        <v>60</v>
      </c>
      <c r="W67" s="1" t="s">
        <v>413</v>
      </c>
      <c r="X67" s="1" t="s">
        <v>132</v>
      </c>
      <c r="Y67" s="1" t="s">
        <v>414</v>
      </c>
      <c r="Z67" s="1" t="s">
        <v>415</v>
      </c>
      <c r="AA67" s="1" t="s">
        <v>40</v>
      </c>
    </row>
    <row r="68" spans="1:27" hidden="1">
      <c r="A68" s="1">
        <v>575</v>
      </c>
      <c r="B68" s="1" t="s">
        <v>409</v>
      </c>
      <c r="C68" s="1"/>
      <c r="D68" s="1"/>
      <c r="E68" s="1"/>
      <c r="F68" s="1"/>
      <c r="G68" s="1"/>
      <c r="H68" s="1"/>
      <c r="I68" s="1"/>
      <c r="J68" s="1"/>
      <c r="K68" s="1" t="s">
        <v>27</v>
      </c>
      <c r="L68" s="1" t="s">
        <v>53</v>
      </c>
      <c r="M68" s="1" t="s">
        <v>64</v>
      </c>
      <c r="N68" s="1" t="s">
        <v>416</v>
      </c>
      <c r="O68" s="1" t="s">
        <v>411</v>
      </c>
      <c r="P68" s="1" t="s">
        <v>295</v>
      </c>
      <c r="Q68" s="1" t="s">
        <v>417</v>
      </c>
      <c r="R68" s="1" t="s">
        <v>418</v>
      </c>
      <c r="S68" s="1">
        <v>66</v>
      </c>
      <c r="T68" s="1" t="s">
        <v>59</v>
      </c>
      <c r="U68" s="1" t="s">
        <v>77</v>
      </c>
      <c r="V68" s="1" t="s">
        <v>60</v>
      </c>
      <c r="W68" s="1" t="s">
        <v>419</v>
      </c>
      <c r="X68" s="1" t="s">
        <v>132</v>
      </c>
      <c r="Y68" s="1" t="s">
        <v>40</v>
      </c>
      <c r="Z68" s="1" t="s">
        <v>40</v>
      </c>
      <c r="AA68" s="1" t="s">
        <v>40</v>
      </c>
    </row>
    <row r="69" spans="1:27" hidden="1">
      <c r="A69" s="1">
        <v>574</v>
      </c>
      <c r="B69" s="1" t="s">
        <v>420</v>
      </c>
      <c r="C69" s="1"/>
      <c r="D69" s="1"/>
      <c r="E69" s="1"/>
      <c r="F69" s="1"/>
      <c r="G69" s="1"/>
      <c r="H69" s="1"/>
      <c r="I69" s="1"/>
      <c r="J69" s="1"/>
      <c r="K69" s="1" t="s">
        <v>27</v>
      </c>
      <c r="L69" s="1" t="s">
        <v>53</v>
      </c>
      <c r="M69" s="1" t="s">
        <v>64</v>
      </c>
      <c r="N69" s="1" t="s">
        <v>421</v>
      </c>
      <c r="O69" s="1" t="s">
        <v>411</v>
      </c>
      <c r="P69" s="1" t="s">
        <v>295</v>
      </c>
      <c r="Q69" s="1" t="s">
        <v>417</v>
      </c>
      <c r="R69" s="1" t="s">
        <v>422</v>
      </c>
      <c r="S69" s="1">
        <v>66</v>
      </c>
      <c r="T69" s="1" t="s">
        <v>59</v>
      </c>
      <c r="U69" s="1" t="s">
        <v>77</v>
      </c>
      <c r="V69" s="1" t="s">
        <v>334</v>
      </c>
      <c r="W69" s="1" t="s">
        <v>423</v>
      </c>
      <c r="X69" s="1" t="s">
        <v>132</v>
      </c>
      <c r="Y69" s="1" t="s">
        <v>40</v>
      </c>
      <c r="Z69" s="1" t="s">
        <v>40</v>
      </c>
      <c r="AA69" s="1" t="s">
        <v>40</v>
      </c>
    </row>
    <row r="70" spans="1:27" hidden="1">
      <c r="A70" s="1">
        <v>573</v>
      </c>
      <c r="B70" s="1" t="s">
        <v>424</v>
      </c>
      <c r="C70" s="1"/>
      <c r="D70" s="1"/>
      <c r="E70" s="1"/>
      <c r="F70" s="1"/>
      <c r="G70" s="1"/>
      <c r="H70" s="1"/>
      <c r="I70" s="1"/>
      <c r="J70" s="1"/>
      <c r="K70" s="1" t="s">
        <v>27</v>
      </c>
      <c r="L70" s="1" t="s">
        <v>53</v>
      </c>
      <c r="M70" s="1" t="s">
        <v>64</v>
      </c>
      <c r="N70" s="1" t="s">
        <v>425</v>
      </c>
      <c r="O70" s="1" t="s">
        <v>426</v>
      </c>
      <c r="P70" s="1" t="s">
        <v>295</v>
      </c>
      <c r="Q70" s="1" t="s">
        <v>417</v>
      </c>
      <c r="R70" s="1" t="s">
        <v>427</v>
      </c>
      <c r="S70" s="1">
        <v>66</v>
      </c>
      <c r="T70" s="1" t="s">
        <v>59</v>
      </c>
      <c r="U70" s="1" t="s">
        <v>77</v>
      </c>
      <c r="V70" s="1" t="s">
        <v>60</v>
      </c>
      <c r="W70" s="1" t="s">
        <v>428</v>
      </c>
      <c r="X70" s="1" t="s">
        <v>132</v>
      </c>
      <c r="Y70" s="1" t="s">
        <v>40</v>
      </c>
      <c r="Z70" s="1" t="s">
        <v>40</v>
      </c>
      <c r="AA70" s="1" t="s">
        <v>40</v>
      </c>
    </row>
    <row r="71" spans="1:27" hidden="1">
      <c r="A71" s="1">
        <v>564</v>
      </c>
      <c r="B71" s="1" t="s">
        <v>429</v>
      </c>
      <c r="C71" s="1"/>
      <c r="D71" s="1"/>
      <c r="E71" s="1"/>
      <c r="F71" s="1"/>
      <c r="G71" s="1"/>
      <c r="H71" s="1"/>
      <c r="I71" s="1"/>
      <c r="J71" s="1"/>
      <c r="K71" s="1" t="s">
        <v>27</v>
      </c>
      <c r="L71" s="1" t="s">
        <v>53</v>
      </c>
      <c r="M71" s="1" t="s">
        <v>64</v>
      </c>
      <c r="N71" s="1" t="s">
        <v>430</v>
      </c>
      <c r="O71" s="1" t="s">
        <v>231</v>
      </c>
      <c r="P71" s="1" t="s">
        <v>295</v>
      </c>
      <c r="Q71" s="1" t="s">
        <v>417</v>
      </c>
      <c r="R71" s="1" t="s">
        <v>431</v>
      </c>
      <c r="S71" s="1">
        <v>66</v>
      </c>
      <c r="T71" s="1" t="s">
        <v>59</v>
      </c>
      <c r="U71" s="1" t="s">
        <v>77</v>
      </c>
      <c r="V71" s="1" t="s">
        <v>172</v>
      </c>
      <c r="W71" s="1" t="s">
        <v>432</v>
      </c>
      <c r="X71" s="1" t="s">
        <v>132</v>
      </c>
      <c r="Y71" s="1" t="s">
        <v>40</v>
      </c>
      <c r="Z71" s="1" t="s">
        <v>40</v>
      </c>
      <c r="AA71" s="1" t="s">
        <v>40</v>
      </c>
    </row>
    <row r="72" spans="1:27" hidden="1">
      <c r="A72" s="1">
        <v>563</v>
      </c>
      <c r="B72" s="1" t="s">
        <v>433</v>
      </c>
      <c r="C72" s="1"/>
      <c r="D72" s="1"/>
      <c r="E72" s="1"/>
      <c r="F72" s="1"/>
      <c r="G72" s="1"/>
      <c r="H72" s="1"/>
      <c r="I72" s="1"/>
      <c r="J72" s="1"/>
      <c r="K72" s="1" t="s">
        <v>27</v>
      </c>
      <c r="L72" s="1" t="s">
        <v>53</v>
      </c>
      <c r="M72" s="1" t="s">
        <v>43</v>
      </c>
      <c r="N72" s="1" t="s">
        <v>434</v>
      </c>
      <c r="O72" s="1" t="s">
        <v>411</v>
      </c>
      <c r="P72" s="1" t="s">
        <v>295</v>
      </c>
      <c r="Q72" s="1" t="s">
        <v>417</v>
      </c>
      <c r="R72" s="1" t="s">
        <v>435</v>
      </c>
      <c r="S72" s="1">
        <v>66</v>
      </c>
      <c r="T72" s="1" t="s">
        <v>59</v>
      </c>
      <c r="U72" s="1" t="s">
        <v>77</v>
      </c>
      <c r="V72" s="1" t="s">
        <v>60</v>
      </c>
      <c r="W72" s="1" t="s">
        <v>436</v>
      </c>
      <c r="X72" s="1" t="s">
        <v>132</v>
      </c>
      <c r="Y72" s="1" t="s">
        <v>40</v>
      </c>
      <c r="Z72" s="1" t="s">
        <v>40</v>
      </c>
      <c r="AA72" s="1" t="s">
        <v>40</v>
      </c>
    </row>
    <row r="73" spans="1:27" hidden="1">
      <c r="A73" s="1">
        <v>562</v>
      </c>
      <c r="B73" s="1" t="s">
        <v>437</v>
      </c>
      <c r="C73" s="1"/>
      <c r="D73" s="1"/>
      <c r="E73" s="1"/>
      <c r="F73" s="1"/>
      <c r="G73" s="1"/>
      <c r="H73" s="1"/>
      <c r="I73" s="1"/>
      <c r="J73" s="1"/>
      <c r="K73" s="1" t="s">
        <v>27</v>
      </c>
      <c r="L73" s="1" t="s">
        <v>28</v>
      </c>
      <c r="M73" s="1" t="s">
        <v>43</v>
      </c>
      <c r="N73" s="1" t="s">
        <v>438</v>
      </c>
      <c r="O73" s="1" t="s">
        <v>162</v>
      </c>
      <c r="P73" s="1" t="s">
        <v>295</v>
      </c>
      <c r="Q73" s="1" t="s">
        <v>417</v>
      </c>
      <c r="R73" s="1" t="s">
        <v>439</v>
      </c>
      <c r="S73" s="1">
        <v>220</v>
      </c>
      <c r="T73" s="1" t="s">
        <v>59</v>
      </c>
      <c r="U73" s="1" t="s">
        <v>77</v>
      </c>
      <c r="V73" s="1" t="s">
        <v>78</v>
      </c>
      <c r="W73" s="1" t="s">
        <v>440</v>
      </c>
      <c r="X73" s="1" t="s">
        <v>39</v>
      </c>
      <c r="Y73" s="1" t="s">
        <v>40</v>
      </c>
      <c r="Z73" s="1" t="s">
        <v>40</v>
      </c>
      <c r="AA73" s="1" t="s">
        <v>40</v>
      </c>
    </row>
    <row r="74" spans="1:27" hidden="1">
      <c r="A74" s="1">
        <v>561</v>
      </c>
      <c r="B74" s="1" t="s">
        <v>441</v>
      </c>
      <c r="C74" s="1"/>
      <c r="D74" s="1"/>
      <c r="E74" s="1"/>
      <c r="F74" s="1"/>
      <c r="G74" s="1"/>
      <c r="H74" s="1"/>
      <c r="I74" s="1"/>
      <c r="J74" s="1"/>
      <c r="K74" s="1" t="s">
        <v>27</v>
      </c>
      <c r="L74" s="1" t="s">
        <v>53</v>
      </c>
      <c r="M74" s="1" t="s">
        <v>43</v>
      </c>
      <c r="N74" s="1" t="s">
        <v>442</v>
      </c>
      <c r="O74" s="1" t="s">
        <v>411</v>
      </c>
      <c r="P74" s="1" t="s">
        <v>380</v>
      </c>
      <c r="Q74" s="1" t="s">
        <v>417</v>
      </c>
      <c r="R74" s="1" t="s">
        <v>443</v>
      </c>
      <c r="S74" s="1">
        <v>66</v>
      </c>
      <c r="T74" s="1" t="s">
        <v>444</v>
      </c>
      <c r="U74" s="1" t="s">
        <v>445</v>
      </c>
      <c r="V74" s="1" t="s">
        <v>382</v>
      </c>
      <c r="W74" s="1" t="s">
        <v>446</v>
      </c>
      <c r="X74" s="1" t="s">
        <v>132</v>
      </c>
      <c r="Y74" s="1" t="s">
        <v>40</v>
      </c>
      <c r="Z74" s="1" t="s">
        <v>40</v>
      </c>
      <c r="AA74" s="1" t="s">
        <v>40</v>
      </c>
    </row>
    <row r="75" spans="1:27">
      <c r="A75" s="2">
        <v>557</v>
      </c>
      <c r="B75" s="1" t="s">
        <v>447</v>
      </c>
      <c r="C75" s="1"/>
      <c r="D75" s="1"/>
      <c r="E75" s="1"/>
      <c r="F75" s="1"/>
      <c r="G75" s="1"/>
      <c r="H75" s="1"/>
      <c r="I75" s="1"/>
      <c r="J75" s="1">
        <v>2139</v>
      </c>
      <c r="K75" s="1" t="s">
        <v>27</v>
      </c>
      <c r="L75" s="1" t="s">
        <v>53</v>
      </c>
      <c r="M75" s="1" t="s">
        <v>307</v>
      </c>
      <c r="N75" s="1" t="s">
        <v>448</v>
      </c>
      <c r="O75" s="1" t="s">
        <v>45</v>
      </c>
      <c r="P75" s="1" t="s">
        <v>295</v>
      </c>
      <c r="Q75" s="1" t="s">
        <v>449</v>
      </c>
      <c r="R75" s="1" t="s">
        <v>450</v>
      </c>
      <c r="S75" s="1">
        <v>220</v>
      </c>
      <c r="T75" s="1" t="s">
        <v>451</v>
      </c>
      <c r="U75" s="1" t="s">
        <v>452</v>
      </c>
      <c r="V75" s="1" t="s">
        <v>50</v>
      </c>
      <c r="W75" s="1" t="s">
        <v>51</v>
      </c>
      <c r="X75" s="1" t="s">
        <v>132</v>
      </c>
      <c r="Y75" s="1" t="s">
        <v>453</v>
      </c>
      <c r="Z75" s="1" t="s">
        <v>454</v>
      </c>
      <c r="AA75" s="1" t="s">
        <v>455</v>
      </c>
    </row>
    <row r="76" spans="1:27" hidden="1">
      <c r="A76" s="1">
        <v>555</v>
      </c>
      <c r="B76" s="1" t="s">
        <v>456</v>
      </c>
      <c r="C76" s="1"/>
      <c r="D76" s="1"/>
      <c r="E76" s="1"/>
      <c r="F76" s="1"/>
      <c r="G76" s="1"/>
      <c r="H76" s="1"/>
      <c r="I76" s="1"/>
      <c r="J76" s="1">
        <v>2194</v>
      </c>
      <c r="K76" s="1" t="s">
        <v>27</v>
      </c>
      <c r="L76" s="1" t="s">
        <v>28</v>
      </c>
      <c r="M76" s="1" t="s">
        <v>64</v>
      </c>
      <c r="N76" s="1" t="s">
        <v>457</v>
      </c>
      <c r="O76" s="1" t="s">
        <v>458</v>
      </c>
      <c r="P76" s="1" t="s">
        <v>380</v>
      </c>
      <c r="Q76" s="1" t="s">
        <v>459</v>
      </c>
      <c r="R76" s="1" t="s">
        <v>460</v>
      </c>
      <c r="S76" s="1">
        <v>110</v>
      </c>
      <c r="T76" s="1" t="s">
        <v>59</v>
      </c>
      <c r="U76" s="1" t="s">
        <v>36</v>
      </c>
      <c r="V76" s="1" t="s">
        <v>83</v>
      </c>
      <c r="W76" s="1" t="s">
        <v>461</v>
      </c>
      <c r="X76" s="1" t="s">
        <v>39</v>
      </c>
      <c r="Y76" s="1" t="s">
        <v>40</v>
      </c>
      <c r="Z76" s="1" t="s">
        <v>40</v>
      </c>
      <c r="AA76" s="1" t="s">
        <v>40</v>
      </c>
    </row>
    <row r="77" spans="1:27" hidden="1">
      <c r="A77" s="1">
        <v>549</v>
      </c>
      <c r="B77" s="1" t="s">
        <v>462</v>
      </c>
      <c r="C77" s="1"/>
      <c r="D77" s="1"/>
      <c r="E77" s="1"/>
      <c r="F77" s="1"/>
      <c r="G77" s="1"/>
      <c r="H77" s="1"/>
      <c r="I77" s="1"/>
      <c r="J77" s="1"/>
      <c r="K77" s="1" t="s">
        <v>27</v>
      </c>
      <c r="L77" s="1" t="s">
        <v>53</v>
      </c>
      <c r="M77" s="1" t="s">
        <v>43</v>
      </c>
      <c r="N77" s="1" t="s">
        <v>463</v>
      </c>
      <c r="O77" s="1" t="s">
        <v>464</v>
      </c>
      <c r="P77" s="1" t="s">
        <v>380</v>
      </c>
      <c r="Q77" s="1" t="s">
        <v>407</v>
      </c>
      <c r="R77" s="1" t="s">
        <v>465</v>
      </c>
      <c r="S77" s="1">
        <v>66</v>
      </c>
      <c r="T77" s="1" t="s">
        <v>340</v>
      </c>
      <c r="U77" s="1" t="s">
        <v>466</v>
      </c>
      <c r="V77" s="1" t="s">
        <v>83</v>
      </c>
      <c r="W77" s="1" t="s">
        <v>467</v>
      </c>
      <c r="X77" s="1" t="s">
        <v>132</v>
      </c>
      <c r="Y77" s="1" t="s">
        <v>40</v>
      </c>
      <c r="Z77" s="1" t="s">
        <v>40</v>
      </c>
      <c r="AA77" s="1" t="s">
        <v>40</v>
      </c>
    </row>
    <row r="78" spans="1:27" hidden="1">
      <c r="A78" s="1">
        <v>530</v>
      </c>
      <c r="B78" s="1" t="s">
        <v>468</v>
      </c>
      <c r="C78" s="1"/>
      <c r="D78" s="1"/>
      <c r="E78" s="1"/>
      <c r="F78" s="1"/>
      <c r="G78" s="1"/>
      <c r="H78" s="1"/>
      <c r="I78" s="1"/>
      <c r="J78" s="1">
        <v>2083</v>
      </c>
      <c r="K78" s="1" t="s">
        <v>27</v>
      </c>
      <c r="L78" s="1" t="s">
        <v>53</v>
      </c>
      <c r="M78" s="1" t="s">
        <v>64</v>
      </c>
      <c r="N78" s="1" t="s">
        <v>469</v>
      </c>
      <c r="O78" s="1" t="s">
        <v>194</v>
      </c>
      <c r="P78" s="1" t="s">
        <v>295</v>
      </c>
      <c r="Q78" s="1" t="s">
        <v>470</v>
      </c>
      <c r="R78" s="1" t="s">
        <v>471</v>
      </c>
      <c r="S78" s="1">
        <v>13</v>
      </c>
      <c r="T78" s="1" t="s">
        <v>59</v>
      </c>
      <c r="U78" s="1" t="s">
        <v>36</v>
      </c>
      <c r="V78" s="1" t="s">
        <v>60</v>
      </c>
      <c r="W78" s="1" t="s">
        <v>472</v>
      </c>
      <c r="X78" s="1" t="s">
        <v>132</v>
      </c>
      <c r="Y78" s="1" t="s">
        <v>40</v>
      </c>
      <c r="Z78" s="1" t="s">
        <v>40</v>
      </c>
      <c r="AA78" s="1" t="s">
        <v>40</v>
      </c>
    </row>
    <row r="79" spans="1:27">
      <c r="A79" s="2">
        <v>529</v>
      </c>
      <c r="B79" s="1" t="s">
        <v>473</v>
      </c>
      <c r="C79" s="1"/>
      <c r="D79" s="1"/>
      <c r="E79" s="1"/>
      <c r="F79" s="1"/>
      <c r="G79" s="1"/>
      <c r="H79" s="1"/>
      <c r="I79" s="1"/>
      <c r="J79" s="1">
        <v>2086</v>
      </c>
      <c r="K79" s="1" t="s">
        <v>27</v>
      </c>
      <c r="L79" s="1" t="s">
        <v>53</v>
      </c>
      <c r="M79" s="1" t="s">
        <v>307</v>
      </c>
      <c r="N79" s="1" t="s">
        <v>474</v>
      </c>
      <c r="O79" s="1" t="s">
        <v>475</v>
      </c>
      <c r="P79" s="1" t="s">
        <v>295</v>
      </c>
      <c r="Q79" s="1" t="s">
        <v>470</v>
      </c>
      <c r="R79" s="1" t="s">
        <v>476</v>
      </c>
      <c r="S79" s="1">
        <v>13</v>
      </c>
      <c r="T79" s="1" t="s">
        <v>67</v>
      </c>
      <c r="U79" s="1" t="s">
        <v>36</v>
      </c>
      <c r="V79" s="1" t="s">
        <v>172</v>
      </c>
      <c r="W79" s="1" t="s">
        <v>197</v>
      </c>
      <c r="X79" s="1" t="s">
        <v>132</v>
      </c>
      <c r="Y79" s="1" t="s">
        <v>477</v>
      </c>
      <c r="Z79" s="1" t="s">
        <v>40</v>
      </c>
      <c r="AA79" s="1" t="s">
        <v>40</v>
      </c>
    </row>
    <row r="80" spans="1:27" hidden="1">
      <c r="A80" s="1">
        <v>583</v>
      </c>
      <c r="B80" s="1" t="s">
        <v>478</v>
      </c>
      <c r="C80" s="1"/>
      <c r="D80" s="1"/>
      <c r="E80" s="1"/>
      <c r="F80" s="1"/>
      <c r="G80" s="1"/>
      <c r="H80" s="1"/>
      <c r="I80" s="1"/>
      <c r="J80" s="1">
        <v>1271</v>
      </c>
      <c r="K80" s="1" t="s">
        <v>27</v>
      </c>
      <c r="L80" s="1" t="s">
        <v>53</v>
      </c>
      <c r="M80" s="1" t="s">
        <v>64</v>
      </c>
      <c r="N80" s="1" t="s">
        <v>479</v>
      </c>
      <c r="O80" s="1" t="s">
        <v>406</v>
      </c>
      <c r="P80" s="1" t="s">
        <v>295</v>
      </c>
      <c r="Q80" s="1" t="s">
        <v>480</v>
      </c>
      <c r="R80" s="1" t="s">
        <v>481</v>
      </c>
      <c r="S80" s="1">
        <v>66</v>
      </c>
      <c r="T80" s="1" t="s">
        <v>395</v>
      </c>
      <c r="U80" s="1" t="s">
        <v>482</v>
      </c>
      <c r="V80" s="1" t="s">
        <v>78</v>
      </c>
      <c r="W80" s="1" t="s">
        <v>483</v>
      </c>
      <c r="X80" s="1" t="s">
        <v>132</v>
      </c>
      <c r="Y80" s="1" t="s">
        <v>40</v>
      </c>
      <c r="Z80" s="1" t="s">
        <v>40</v>
      </c>
      <c r="AA80" s="1" t="s">
        <v>40</v>
      </c>
    </row>
    <row r="81" spans="1:27" hidden="1">
      <c r="A81" s="1">
        <v>230</v>
      </c>
      <c r="B81" s="1" t="s">
        <v>484</v>
      </c>
      <c r="C81" s="1"/>
      <c r="D81" s="1"/>
      <c r="E81" s="1"/>
      <c r="F81" s="1"/>
      <c r="G81" s="1"/>
      <c r="H81" s="1"/>
      <c r="I81" s="1"/>
      <c r="J81" s="1">
        <v>1729</v>
      </c>
      <c r="K81" s="1" t="s">
        <v>27</v>
      </c>
      <c r="L81" s="1" t="s">
        <v>28</v>
      </c>
      <c r="M81" s="1" t="s">
        <v>43</v>
      </c>
      <c r="N81" s="1" t="s">
        <v>485</v>
      </c>
      <c r="O81" s="1" t="s">
        <v>194</v>
      </c>
      <c r="P81" s="1" t="s">
        <v>295</v>
      </c>
      <c r="Q81" s="1" t="s">
        <v>486</v>
      </c>
      <c r="R81" s="1" t="s">
        <v>487</v>
      </c>
      <c r="S81" s="1">
        <v>33</v>
      </c>
      <c r="T81" s="1" t="s">
        <v>488</v>
      </c>
      <c r="U81" s="1" t="s">
        <v>488</v>
      </c>
      <c r="V81" s="1" t="s">
        <v>98</v>
      </c>
      <c r="W81" s="1" t="s">
        <v>204</v>
      </c>
      <c r="X81" s="1" t="s">
        <v>39</v>
      </c>
      <c r="Y81" s="1" t="s">
        <v>40</v>
      </c>
      <c r="Z81" s="1" t="s">
        <v>40</v>
      </c>
      <c r="AA81" s="1" t="s">
        <v>40</v>
      </c>
    </row>
    <row r="82" spans="1:27" hidden="1">
      <c r="A82" s="1">
        <v>231</v>
      </c>
      <c r="B82" s="1" t="s">
        <v>489</v>
      </c>
      <c r="C82" s="1"/>
      <c r="D82" s="1"/>
      <c r="E82" s="1"/>
      <c r="F82" s="1"/>
      <c r="G82" s="1"/>
      <c r="H82" s="1"/>
      <c r="I82" s="1"/>
      <c r="J82" s="1">
        <v>1730</v>
      </c>
      <c r="K82" s="1" t="s">
        <v>27</v>
      </c>
      <c r="L82" s="1" t="s">
        <v>28</v>
      </c>
      <c r="M82" s="1" t="s">
        <v>64</v>
      </c>
      <c r="N82" s="1" t="s">
        <v>485</v>
      </c>
      <c r="O82" s="1" t="s">
        <v>194</v>
      </c>
      <c r="P82" s="1" t="s">
        <v>295</v>
      </c>
      <c r="Q82" s="1" t="s">
        <v>486</v>
      </c>
      <c r="R82" s="1" t="s">
        <v>490</v>
      </c>
      <c r="S82" s="1">
        <v>23</v>
      </c>
      <c r="T82" s="1" t="s">
        <v>488</v>
      </c>
      <c r="U82" s="1" t="s">
        <v>488</v>
      </c>
      <c r="V82" s="1" t="s">
        <v>98</v>
      </c>
      <c r="W82" s="1" t="s">
        <v>491</v>
      </c>
      <c r="X82" s="1" t="s">
        <v>39</v>
      </c>
      <c r="Y82" s="1" t="s">
        <v>40</v>
      </c>
      <c r="Z82" s="1" t="s">
        <v>40</v>
      </c>
      <c r="AA82" s="1" t="s">
        <v>40</v>
      </c>
    </row>
    <row r="83" spans="1:27" hidden="1">
      <c r="A83" s="1">
        <v>441</v>
      </c>
      <c r="B83" s="1" t="s">
        <v>492</v>
      </c>
      <c r="C83" s="1"/>
      <c r="D83" s="1"/>
      <c r="E83" s="1"/>
      <c r="F83" s="1"/>
      <c r="G83" s="1"/>
      <c r="H83" s="1"/>
      <c r="I83" s="1"/>
      <c r="J83" s="1">
        <v>1959</v>
      </c>
      <c r="K83" s="1" t="s">
        <v>27</v>
      </c>
      <c r="L83" s="1" t="s">
        <v>28</v>
      </c>
      <c r="M83" s="1" t="s">
        <v>64</v>
      </c>
      <c r="N83" s="1" t="s">
        <v>493</v>
      </c>
      <c r="O83" s="1" t="s">
        <v>194</v>
      </c>
      <c r="P83" s="1" t="s">
        <v>295</v>
      </c>
      <c r="Q83" s="1" t="s">
        <v>494</v>
      </c>
      <c r="R83" s="1" t="s">
        <v>495</v>
      </c>
      <c r="S83" s="1">
        <v>23</v>
      </c>
      <c r="T83" s="1" t="s">
        <v>59</v>
      </c>
      <c r="U83" s="1" t="s">
        <v>488</v>
      </c>
      <c r="V83" s="1" t="s">
        <v>50</v>
      </c>
      <c r="W83" s="1" t="s">
        <v>496</v>
      </c>
      <c r="X83" s="1" t="s">
        <v>132</v>
      </c>
      <c r="Y83" s="1" t="s">
        <v>40</v>
      </c>
      <c r="Z83" s="1" t="s">
        <v>40</v>
      </c>
      <c r="AA83" s="1" t="s">
        <v>40</v>
      </c>
    </row>
    <row r="84" spans="1:27" hidden="1">
      <c r="A84" s="1">
        <v>442</v>
      </c>
      <c r="B84" s="1" t="s">
        <v>497</v>
      </c>
      <c r="C84" s="1"/>
      <c r="D84" s="1"/>
      <c r="E84" s="1"/>
      <c r="F84" s="1"/>
      <c r="G84" s="1"/>
      <c r="H84" s="1"/>
      <c r="I84" s="1"/>
      <c r="J84" s="1">
        <v>1960</v>
      </c>
      <c r="K84" s="1" t="s">
        <v>27</v>
      </c>
      <c r="L84" s="1" t="s">
        <v>28</v>
      </c>
      <c r="M84" s="1" t="s">
        <v>64</v>
      </c>
      <c r="N84" s="1" t="s">
        <v>493</v>
      </c>
      <c r="O84" s="1" t="s">
        <v>194</v>
      </c>
      <c r="P84" s="1" t="s">
        <v>295</v>
      </c>
      <c r="Q84" s="1" t="s">
        <v>494</v>
      </c>
      <c r="R84" s="1" t="s">
        <v>495</v>
      </c>
      <c r="S84" s="1">
        <v>23</v>
      </c>
      <c r="T84" s="1" t="s">
        <v>59</v>
      </c>
      <c r="U84" s="1" t="s">
        <v>488</v>
      </c>
      <c r="V84" s="1" t="s">
        <v>50</v>
      </c>
      <c r="W84" s="1" t="s">
        <v>496</v>
      </c>
      <c r="X84" s="1" t="s">
        <v>132</v>
      </c>
      <c r="Y84" s="1" t="s">
        <v>40</v>
      </c>
      <c r="Z84" s="1" t="s">
        <v>40</v>
      </c>
      <c r="AA84" s="1" t="s">
        <v>40</v>
      </c>
    </row>
    <row r="85" spans="1:27" hidden="1">
      <c r="A85" s="1">
        <v>453</v>
      </c>
      <c r="B85" s="1" t="s">
        <v>498</v>
      </c>
      <c r="C85" s="1"/>
      <c r="D85" s="1"/>
      <c r="E85" s="1"/>
      <c r="F85" s="1"/>
      <c r="G85" s="1"/>
      <c r="H85" s="1"/>
      <c r="I85" s="1"/>
      <c r="J85" s="1">
        <v>1959</v>
      </c>
      <c r="K85" s="1" t="s">
        <v>27</v>
      </c>
      <c r="L85" s="1" t="s">
        <v>53</v>
      </c>
      <c r="M85" s="1" t="s">
        <v>43</v>
      </c>
      <c r="N85" s="1" t="s">
        <v>499</v>
      </c>
      <c r="O85" s="1" t="s">
        <v>194</v>
      </c>
      <c r="P85" s="1" t="s">
        <v>295</v>
      </c>
      <c r="Q85" s="1" t="s">
        <v>494</v>
      </c>
      <c r="R85" s="1" t="s">
        <v>495</v>
      </c>
      <c r="S85" s="1">
        <v>23</v>
      </c>
      <c r="T85" s="1" t="s">
        <v>59</v>
      </c>
      <c r="U85" s="1" t="s">
        <v>488</v>
      </c>
      <c r="V85" s="1" t="s">
        <v>50</v>
      </c>
      <c r="W85" s="1" t="s">
        <v>496</v>
      </c>
      <c r="X85" s="1" t="s">
        <v>39</v>
      </c>
      <c r="Y85" s="1" t="s">
        <v>40</v>
      </c>
      <c r="Z85" s="1" t="s">
        <v>40</v>
      </c>
      <c r="AA85" s="1" t="s">
        <v>40</v>
      </c>
    </row>
    <row r="86" spans="1:27" hidden="1">
      <c r="A86" s="1">
        <v>454</v>
      </c>
      <c r="B86" s="1" t="s">
        <v>500</v>
      </c>
      <c r="C86" s="1"/>
      <c r="D86" s="1"/>
      <c r="E86" s="1"/>
      <c r="F86" s="1"/>
      <c r="G86" s="1"/>
      <c r="H86" s="1"/>
      <c r="I86" s="1"/>
      <c r="J86" s="1">
        <v>1960</v>
      </c>
      <c r="K86" s="1" t="s">
        <v>27</v>
      </c>
      <c r="L86" s="1" t="s">
        <v>53</v>
      </c>
      <c r="M86" s="1" t="s">
        <v>43</v>
      </c>
      <c r="N86" s="1" t="s">
        <v>499</v>
      </c>
      <c r="O86" s="1" t="s">
        <v>194</v>
      </c>
      <c r="P86" s="1" t="s">
        <v>295</v>
      </c>
      <c r="Q86" s="1" t="s">
        <v>494</v>
      </c>
      <c r="R86" s="1" t="s">
        <v>495</v>
      </c>
      <c r="S86" s="1">
        <v>23</v>
      </c>
      <c r="T86" s="1" t="s">
        <v>59</v>
      </c>
      <c r="U86" s="1" t="s">
        <v>488</v>
      </c>
      <c r="V86" s="1" t="s">
        <v>50</v>
      </c>
      <c r="W86" s="1" t="s">
        <v>496</v>
      </c>
      <c r="X86" s="1" t="s">
        <v>39</v>
      </c>
      <c r="Y86" s="1" t="s">
        <v>40</v>
      </c>
      <c r="Z86" s="1" t="s">
        <v>40</v>
      </c>
      <c r="AA86" s="1" t="s">
        <v>40</v>
      </c>
    </row>
    <row r="87" spans="1:27" hidden="1">
      <c r="A87" s="1">
        <v>391</v>
      </c>
      <c r="B87" s="1" t="s">
        <v>501</v>
      </c>
      <c r="C87" s="1"/>
      <c r="D87" s="1"/>
      <c r="E87" s="1"/>
      <c r="F87" s="1"/>
      <c r="G87" s="1"/>
      <c r="H87" s="1"/>
      <c r="I87" s="1"/>
      <c r="J87" s="1">
        <v>1829</v>
      </c>
      <c r="K87" s="1" t="s">
        <v>27</v>
      </c>
      <c r="L87" s="1" t="s">
        <v>28</v>
      </c>
      <c r="M87" s="1" t="s">
        <v>64</v>
      </c>
      <c r="N87" s="1" t="s">
        <v>502</v>
      </c>
      <c r="O87" s="1" t="s">
        <v>194</v>
      </c>
      <c r="P87" s="1" t="s">
        <v>295</v>
      </c>
      <c r="Q87" s="1" t="s">
        <v>503</v>
      </c>
      <c r="R87" s="1" t="s">
        <v>504</v>
      </c>
      <c r="S87" s="1">
        <v>23</v>
      </c>
      <c r="T87" s="1" t="s">
        <v>395</v>
      </c>
      <c r="U87" s="1" t="s">
        <v>488</v>
      </c>
      <c r="V87" s="1" t="s">
        <v>98</v>
      </c>
      <c r="W87" s="1" t="s">
        <v>370</v>
      </c>
      <c r="X87" s="1" t="s">
        <v>39</v>
      </c>
      <c r="Y87" s="1" t="s">
        <v>505</v>
      </c>
      <c r="Z87" s="1" t="s">
        <v>506</v>
      </c>
      <c r="AA87" s="1" t="s">
        <v>40</v>
      </c>
    </row>
    <row r="88" spans="1:27" hidden="1">
      <c r="A88" s="1">
        <v>392</v>
      </c>
      <c r="B88" s="1" t="s">
        <v>285</v>
      </c>
      <c r="C88" s="1"/>
      <c r="D88" s="1"/>
      <c r="E88" s="1"/>
      <c r="F88" s="1"/>
      <c r="G88" s="1"/>
      <c r="H88" s="1"/>
      <c r="I88" s="1"/>
      <c r="J88" s="1">
        <v>1830</v>
      </c>
      <c r="K88" s="1" t="s">
        <v>27</v>
      </c>
      <c r="L88" s="1" t="s">
        <v>28</v>
      </c>
      <c r="M88" s="1" t="s">
        <v>64</v>
      </c>
      <c r="N88" s="1" t="s">
        <v>507</v>
      </c>
      <c r="O88" s="1" t="s">
        <v>194</v>
      </c>
      <c r="P88" s="1" t="s">
        <v>295</v>
      </c>
      <c r="Q88" s="1" t="s">
        <v>494</v>
      </c>
      <c r="R88" s="1" t="s">
        <v>289</v>
      </c>
      <c r="S88" s="1">
        <v>23</v>
      </c>
      <c r="T88" s="1" t="s">
        <v>395</v>
      </c>
      <c r="U88" s="1" t="s">
        <v>488</v>
      </c>
      <c r="V88" s="1" t="s">
        <v>98</v>
      </c>
      <c r="W88" s="1" t="s">
        <v>116</v>
      </c>
      <c r="X88" s="1" t="s">
        <v>39</v>
      </c>
      <c r="Y88" s="1" t="s">
        <v>40</v>
      </c>
      <c r="Z88" s="1" t="s">
        <v>508</v>
      </c>
      <c r="AA88" s="1" t="s">
        <v>509</v>
      </c>
    </row>
    <row r="89" spans="1:27" hidden="1">
      <c r="A89" s="1">
        <v>372</v>
      </c>
      <c r="B89" s="1" t="s">
        <v>510</v>
      </c>
      <c r="C89" s="1"/>
      <c r="D89" s="1"/>
      <c r="E89" s="1"/>
      <c r="F89" s="1"/>
      <c r="G89" s="1"/>
      <c r="H89" s="1"/>
      <c r="I89" s="1"/>
      <c r="J89" s="1">
        <v>1796</v>
      </c>
      <c r="K89" s="1" t="s">
        <v>27</v>
      </c>
      <c r="L89" s="1" t="s">
        <v>53</v>
      </c>
      <c r="M89" s="1" t="s">
        <v>64</v>
      </c>
      <c r="N89" s="1" t="s">
        <v>511</v>
      </c>
      <c r="O89" s="1" t="s">
        <v>325</v>
      </c>
      <c r="P89" s="1" t="s">
        <v>295</v>
      </c>
      <c r="Q89" s="1" t="s">
        <v>512</v>
      </c>
      <c r="R89" s="1" t="s">
        <v>513</v>
      </c>
      <c r="S89" s="1">
        <v>220</v>
      </c>
      <c r="T89" s="1" t="s">
        <v>488</v>
      </c>
      <c r="U89" s="1" t="s">
        <v>396</v>
      </c>
      <c r="V89" s="1" t="s">
        <v>382</v>
      </c>
      <c r="W89" s="1" t="s">
        <v>383</v>
      </c>
      <c r="X89" s="1" t="s">
        <v>62</v>
      </c>
      <c r="Y89" s="1" t="s">
        <v>40</v>
      </c>
      <c r="Z89" s="1" t="s">
        <v>40</v>
      </c>
      <c r="AA89" s="1" t="s">
        <v>40</v>
      </c>
    </row>
    <row r="90" spans="1:27" hidden="1">
      <c r="A90" s="1">
        <v>328</v>
      </c>
      <c r="B90" s="1" t="s">
        <v>514</v>
      </c>
      <c r="C90" s="1"/>
      <c r="D90" s="1"/>
      <c r="E90" s="1"/>
      <c r="F90" s="1"/>
      <c r="G90" s="1"/>
      <c r="H90" s="1"/>
      <c r="I90" s="1"/>
      <c r="J90" s="1">
        <v>1773</v>
      </c>
      <c r="K90" s="1" t="s">
        <v>27</v>
      </c>
      <c r="L90" s="1" t="s">
        <v>53</v>
      </c>
      <c r="M90" s="1" t="s">
        <v>64</v>
      </c>
      <c r="N90" s="1" t="s">
        <v>515</v>
      </c>
      <c r="O90" s="1" t="s">
        <v>194</v>
      </c>
      <c r="P90" s="1" t="s">
        <v>295</v>
      </c>
      <c r="Q90" s="1" t="s">
        <v>516</v>
      </c>
      <c r="R90" s="1" t="s">
        <v>517</v>
      </c>
      <c r="S90" s="1">
        <v>132</v>
      </c>
      <c r="T90" s="1" t="s">
        <v>395</v>
      </c>
      <c r="U90" s="1" t="s">
        <v>488</v>
      </c>
      <c r="V90" s="1" t="s">
        <v>60</v>
      </c>
      <c r="W90" s="1" t="s">
        <v>61</v>
      </c>
      <c r="X90" s="1" t="s">
        <v>132</v>
      </c>
      <c r="Y90" s="1" t="s">
        <v>40</v>
      </c>
      <c r="Z90" s="1" t="s">
        <v>40</v>
      </c>
      <c r="AA90" s="1" t="s">
        <v>40</v>
      </c>
    </row>
    <row r="91" spans="1:27" hidden="1">
      <c r="A91" s="1">
        <v>321</v>
      </c>
      <c r="B91" s="1" t="s">
        <v>518</v>
      </c>
      <c r="C91" s="1"/>
      <c r="D91" s="1"/>
      <c r="E91" s="1"/>
      <c r="F91" s="1"/>
      <c r="G91" s="1"/>
      <c r="H91" s="1"/>
      <c r="I91" s="1"/>
      <c r="J91" s="1">
        <v>1740</v>
      </c>
      <c r="K91" s="1" t="s">
        <v>27</v>
      </c>
      <c r="L91" s="1" t="s">
        <v>53</v>
      </c>
      <c r="M91" s="1" t="s">
        <v>64</v>
      </c>
      <c r="N91" s="1" t="s">
        <v>519</v>
      </c>
      <c r="O91" s="1" t="s">
        <v>194</v>
      </c>
      <c r="P91" s="1" t="s">
        <v>295</v>
      </c>
      <c r="Q91" s="1" t="s">
        <v>516</v>
      </c>
      <c r="R91" s="1" t="s">
        <v>517</v>
      </c>
      <c r="S91" s="1">
        <v>132</v>
      </c>
      <c r="T91" s="1" t="s">
        <v>395</v>
      </c>
      <c r="U91" s="1" t="s">
        <v>488</v>
      </c>
      <c r="V91" s="1" t="s">
        <v>60</v>
      </c>
      <c r="W91" s="1" t="s">
        <v>61</v>
      </c>
      <c r="X91" s="1" t="s">
        <v>132</v>
      </c>
      <c r="Y91" s="1" t="s">
        <v>40</v>
      </c>
      <c r="Z91" s="1" t="s">
        <v>40</v>
      </c>
      <c r="AA91" s="1" t="s">
        <v>40</v>
      </c>
    </row>
    <row r="92" spans="1:27">
      <c r="A92" s="2">
        <v>233</v>
      </c>
      <c r="B92" s="1" t="s">
        <v>520</v>
      </c>
      <c r="C92" s="1"/>
      <c r="D92" s="1"/>
      <c r="E92" s="1"/>
      <c r="F92" s="1"/>
      <c r="G92" s="1"/>
      <c r="H92" s="1"/>
      <c r="I92" s="1"/>
      <c r="J92" s="1">
        <v>1741</v>
      </c>
      <c r="K92" s="1" t="s">
        <v>27</v>
      </c>
      <c r="L92" s="1" t="s">
        <v>28</v>
      </c>
      <c r="M92" s="1" t="s">
        <v>307</v>
      </c>
      <c r="N92" s="1" t="s">
        <v>519</v>
      </c>
      <c r="O92" s="1" t="s">
        <v>521</v>
      </c>
      <c r="P92" s="1" t="s">
        <v>295</v>
      </c>
      <c r="Q92" s="1" t="s">
        <v>522</v>
      </c>
      <c r="R92" s="1" t="s">
        <v>523</v>
      </c>
      <c r="S92" s="1">
        <v>23</v>
      </c>
      <c r="T92" s="1" t="s">
        <v>395</v>
      </c>
      <c r="U92" s="1" t="s">
        <v>488</v>
      </c>
      <c r="V92" s="1" t="s">
        <v>179</v>
      </c>
      <c r="W92" s="1" t="s">
        <v>524</v>
      </c>
      <c r="X92" s="1" t="s">
        <v>39</v>
      </c>
      <c r="Y92" s="1" t="s">
        <v>525</v>
      </c>
      <c r="Z92" s="1" t="s">
        <v>508</v>
      </c>
      <c r="AA92" s="1" t="s">
        <v>40</v>
      </c>
    </row>
    <row r="93" spans="1:27" hidden="1">
      <c r="A93" s="1">
        <v>234</v>
      </c>
      <c r="B93" s="1" t="s">
        <v>526</v>
      </c>
      <c r="C93" s="1"/>
      <c r="D93" s="1"/>
      <c r="E93" s="1"/>
      <c r="F93" s="1"/>
      <c r="G93" s="1"/>
      <c r="H93" s="1"/>
      <c r="I93" s="1"/>
      <c r="J93" s="1">
        <v>1742</v>
      </c>
      <c r="K93" s="1" t="s">
        <v>27</v>
      </c>
      <c r="L93" s="1" t="s">
        <v>28</v>
      </c>
      <c r="M93" s="1" t="s">
        <v>64</v>
      </c>
      <c r="N93" s="1" t="s">
        <v>519</v>
      </c>
      <c r="O93" s="1" t="s">
        <v>194</v>
      </c>
      <c r="P93" s="1" t="s">
        <v>295</v>
      </c>
      <c r="Q93" s="1" t="s">
        <v>373</v>
      </c>
      <c r="R93" s="1" t="s">
        <v>527</v>
      </c>
      <c r="S93" s="1">
        <v>13</v>
      </c>
      <c r="T93" s="1" t="s">
        <v>395</v>
      </c>
      <c r="U93" s="1" t="s">
        <v>528</v>
      </c>
      <c r="V93" s="1" t="s">
        <v>98</v>
      </c>
      <c r="W93" s="1" t="s">
        <v>98</v>
      </c>
      <c r="X93" s="1" t="s">
        <v>39</v>
      </c>
      <c r="Y93" s="1" t="s">
        <v>529</v>
      </c>
      <c r="Z93" s="1" t="s">
        <v>506</v>
      </c>
      <c r="AA93" s="1" t="s">
        <v>40</v>
      </c>
    </row>
    <row r="94" spans="1:27" hidden="1">
      <c r="A94" s="1">
        <v>235</v>
      </c>
      <c r="B94" s="1" t="s">
        <v>530</v>
      </c>
      <c r="C94" s="1"/>
      <c r="D94" s="1"/>
      <c r="E94" s="1"/>
      <c r="F94" s="1"/>
      <c r="G94" s="1"/>
      <c r="H94" s="1"/>
      <c r="I94" s="1"/>
      <c r="J94" s="1">
        <v>1743</v>
      </c>
      <c r="K94" s="1" t="s">
        <v>27</v>
      </c>
      <c r="L94" s="1" t="s">
        <v>28</v>
      </c>
      <c r="M94" s="1" t="s">
        <v>43</v>
      </c>
      <c r="N94" s="1" t="s">
        <v>519</v>
      </c>
      <c r="O94" s="1" t="s">
        <v>194</v>
      </c>
      <c r="P94" s="1" t="s">
        <v>295</v>
      </c>
      <c r="Q94" s="1" t="s">
        <v>486</v>
      </c>
      <c r="R94" s="1" t="s">
        <v>531</v>
      </c>
      <c r="S94" s="1">
        <v>138</v>
      </c>
      <c r="T94" s="1" t="s">
        <v>395</v>
      </c>
      <c r="U94" s="1" t="s">
        <v>488</v>
      </c>
      <c r="V94" s="1" t="s">
        <v>179</v>
      </c>
      <c r="W94" s="1" t="s">
        <v>532</v>
      </c>
      <c r="X94" s="1" t="s">
        <v>39</v>
      </c>
      <c r="Y94" s="1" t="s">
        <v>40</v>
      </c>
      <c r="Z94" s="1" t="s">
        <v>40</v>
      </c>
      <c r="AA94" s="1" t="s">
        <v>40</v>
      </c>
    </row>
    <row r="95" spans="1:27" hidden="1">
      <c r="A95" s="1">
        <v>236</v>
      </c>
      <c r="B95" s="1" t="s">
        <v>533</v>
      </c>
      <c r="C95" s="1"/>
      <c r="D95" s="1"/>
      <c r="E95" s="1"/>
      <c r="F95" s="1"/>
      <c r="G95" s="1"/>
      <c r="H95" s="1"/>
      <c r="I95" s="1"/>
      <c r="J95" s="1">
        <v>1744</v>
      </c>
      <c r="K95" s="1" t="s">
        <v>27</v>
      </c>
      <c r="L95" s="1" t="s">
        <v>28</v>
      </c>
      <c r="M95" s="1" t="s">
        <v>43</v>
      </c>
      <c r="N95" s="1" t="s">
        <v>519</v>
      </c>
      <c r="O95" s="1" t="s">
        <v>194</v>
      </c>
      <c r="P95" s="1" t="s">
        <v>295</v>
      </c>
      <c r="Q95" s="1" t="s">
        <v>486</v>
      </c>
      <c r="R95" s="1" t="s">
        <v>534</v>
      </c>
      <c r="S95" s="1">
        <v>23</v>
      </c>
      <c r="T95" s="1" t="s">
        <v>535</v>
      </c>
      <c r="U95" s="1" t="s">
        <v>488</v>
      </c>
      <c r="V95" s="1" t="s">
        <v>98</v>
      </c>
      <c r="W95" s="1" t="s">
        <v>204</v>
      </c>
      <c r="X95" s="1" t="s">
        <v>39</v>
      </c>
      <c r="Y95" s="1" t="s">
        <v>40</v>
      </c>
      <c r="Z95" s="1" t="s">
        <v>40</v>
      </c>
      <c r="AA95" s="1" t="s">
        <v>40</v>
      </c>
    </row>
    <row r="96" spans="1:27" hidden="1">
      <c r="A96" s="1">
        <v>237</v>
      </c>
      <c r="B96" s="1" t="s">
        <v>536</v>
      </c>
      <c r="C96" s="1"/>
      <c r="D96" s="1"/>
      <c r="E96" s="1"/>
      <c r="F96" s="1"/>
      <c r="G96" s="1"/>
      <c r="H96" s="1"/>
      <c r="I96" s="1"/>
      <c r="J96" s="1">
        <v>1745</v>
      </c>
      <c r="K96" s="1" t="s">
        <v>27</v>
      </c>
      <c r="L96" s="1" t="s">
        <v>28</v>
      </c>
      <c r="M96" s="1" t="s">
        <v>64</v>
      </c>
      <c r="N96" s="1" t="s">
        <v>519</v>
      </c>
      <c r="O96" s="1" t="s">
        <v>194</v>
      </c>
      <c r="P96" s="1" t="s">
        <v>295</v>
      </c>
      <c r="Q96" s="1" t="s">
        <v>486</v>
      </c>
      <c r="R96" s="1" t="s">
        <v>537</v>
      </c>
      <c r="S96" s="1">
        <v>23</v>
      </c>
      <c r="T96" s="1" t="s">
        <v>290</v>
      </c>
      <c r="U96" s="1" t="s">
        <v>488</v>
      </c>
      <c r="V96" s="1" t="s">
        <v>179</v>
      </c>
      <c r="W96" s="1" t="s">
        <v>538</v>
      </c>
      <c r="X96" s="1" t="s">
        <v>39</v>
      </c>
      <c r="Y96" s="1" t="s">
        <v>40</v>
      </c>
      <c r="Z96" s="1" t="s">
        <v>40</v>
      </c>
      <c r="AA96" s="1" t="s">
        <v>40</v>
      </c>
    </row>
    <row r="97" spans="1:27">
      <c r="A97" s="2">
        <v>229</v>
      </c>
      <c r="B97" s="1" t="s">
        <v>539</v>
      </c>
      <c r="C97" s="1"/>
      <c r="D97" s="1"/>
      <c r="E97" s="1"/>
      <c r="F97" s="1"/>
      <c r="G97" s="1"/>
      <c r="H97" s="1"/>
      <c r="I97" s="1"/>
      <c r="J97" s="1">
        <v>1721</v>
      </c>
      <c r="K97" s="1" t="s">
        <v>27</v>
      </c>
      <c r="L97" s="1" t="s">
        <v>28</v>
      </c>
      <c r="M97" s="1" t="s">
        <v>307</v>
      </c>
      <c r="N97" s="1" t="s">
        <v>540</v>
      </c>
      <c r="O97" s="1" t="s">
        <v>194</v>
      </c>
      <c r="P97" s="1" t="s">
        <v>295</v>
      </c>
      <c r="Q97" s="1" t="s">
        <v>486</v>
      </c>
      <c r="R97" s="1" t="s">
        <v>541</v>
      </c>
      <c r="S97" s="1">
        <v>23</v>
      </c>
      <c r="T97" s="1" t="s">
        <v>488</v>
      </c>
      <c r="U97" s="1" t="s">
        <v>488</v>
      </c>
      <c r="V97" s="1" t="s">
        <v>179</v>
      </c>
      <c r="W97" s="1" t="s">
        <v>524</v>
      </c>
      <c r="X97" s="1" t="s">
        <v>39</v>
      </c>
      <c r="Y97" s="1" t="s">
        <v>542</v>
      </c>
      <c r="Z97" s="1" t="s">
        <v>508</v>
      </c>
      <c r="AA97" s="1" t="s">
        <v>40</v>
      </c>
    </row>
    <row r="98" spans="1:27" hidden="1">
      <c r="A98" s="1">
        <v>317</v>
      </c>
      <c r="B98" s="1" t="s">
        <v>543</v>
      </c>
      <c r="C98" s="1"/>
      <c r="D98" s="1"/>
      <c r="E98" s="1"/>
      <c r="F98" s="1"/>
      <c r="G98" s="1"/>
      <c r="H98" s="1"/>
      <c r="I98" s="1"/>
      <c r="J98" s="1">
        <v>1710</v>
      </c>
      <c r="K98" s="1" t="s">
        <v>27</v>
      </c>
      <c r="L98" s="1" t="s">
        <v>53</v>
      </c>
      <c r="M98" s="1" t="s">
        <v>43</v>
      </c>
      <c r="N98" s="1" t="s">
        <v>544</v>
      </c>
      <c r="O98" s="1" t="s">
        <v>338</v>
      </c>
      <c r="P98" s="1" t="s">
        <v>295</v>
      </c>
      <c r="Q98" s="1" t="s">
        <v>486</v>
      </c>
      <c r="R98" s="1" t="s">
        <v>545</v>
      </c>
      <c r="S98" s="1">
        <v>220</v>
      </c>
      <c r="T98" s="1" t="s">
        <v>488</v>
      </c>
      <c r="U98" s="1" t="s">
        <v>77</v>
      </c>
      <c r="V98" s="1" t="s">
        <v>546</v>
      </c>
      <c r="W98" s="1" t="s">
        <v>547</v>
      </c>
      <c r="X98" s="1" t="s">
        <v>62</v>
      </c>
      <c r="Y98" s="1" t="s">
        <v>40</v>
      </c>
      <c r="Z98" s="1" t="s">
        <v>40</v>
      </c>
      <c r="AA98" s="1" t="s">
        <v>40</v>
      </c>
    </row>
    <row r="99" spans="1:27" hidden="1">
      <c r="A99" s="1">
        <v>293</v>
      </c>
      <c r="B99" s="1" t="s">
        <v>548</v>
      </c>
      <c r="C99" s="1"/>
      <c r="D99" s="1"/>
      <c r="E99" s="1"/>
      <c r="F99" s="1"/>
      <c r="G99" s="1"/>
      <c r="H99" s="1"/>
      <c r="I99" s="1"/>
      <c r="J99" s="1">
        <v>1664</v>
      </c>
      <c r="K99" s="1" t="s">
        <v>27</v>
      </c>
      <c r="L99" s="1" t="s">
        <v>53</v>
      </c>
      <c r="M99" s="1" t="s">
        <v>64</v>
      </c>
      <c r="N99" s="1" t="s">
        <v>549</v>
      </c>
      <c r="O99" s="1" t="s">
        <v>194</v>
      </c>
      <c r="P99" s="1" t="s">
        <v>295</v>
      </c>
      <c r="Q99" s="1" t="s">
        <v>550</v>
      </c>
      <c r="R99" s="1" t="s">
        <v>551</v>
      </c>
      <c r="S99" s="1">
        <v>23</v>
      </c>
      <c r="T99" s="1" t="s">
        <v>395</v>
      </c>
      <c r="U99" s="1" t="s">
        <v>299</v>
      </c>
      <c r="V99" s="1" t="s">
        <v>50</v>
      </c>
      <c r="W99" s="1" t="s">
        <v>51</v>
      </c>
      <c r="X99" s="1" t="s">
        <v>132</v>
      </c>
      <c r="Y99" s="1" t="s">
        <v>40</v>
      </c>
      <c r="Z99" s="1" t="s">
        <v>40</v>
      </c>
      <c r="AA99" s="1" t="s">
        <v>40</v>
      </c>
    </row>
    <row r="100" spans="1:27" hidden="1">
      <c r="A100" s="1">
        <v>294</v>
      </c>
      <c r="B100" s="1" t="s">
        <v>552</v>
      </c>
      <c r="C100" s="1"/>
      <c r="D100" s="1"/>
      <c r="E100" s="1"/>
      <c r="F100" s="1"/>
      <c r="G100" s="1"/>
      <c r="H100" s="1"/>
      <c r="I100" s="1"/>
      <c r="J100" s="1">
        <v>1665</v>
      </c>
      <c r="K100" s="1" t="s">
        <v>27</v>
      </c>
      <c r="L100" s="1" t="s">
        <v>53</v>
      </c>
      <c r="M100" s="1" t="s">
        <v>64</v>
      </c>
      <c r="N100" s="1" t="s">
        <v>549</v>
      </c>
      <c r="O100" s="1" t="s">
        <v>194</v>
      </c>
      <c r="P100" s="1" t="s">
        <v>295</v>
      </c>
      <c r="Q100" s="1" t="s">
        <v>486</v>
      </c>
      <c r="R100" s="1" t="s">
        <v>551</v>
      </c>
      <c r="S100" s="1">
        <v>23</v>
      </c>
      <c r="T100" s="1" t="s">
        <v>395</v>
      </c>
      <c r="U100" s="1" t="s">
        <v>553</v>
      </c>
      <c r="V100" s="1" t="s">
        <v>50</v>
      </c>
      <c r="W100" s="1" t="s">
        <v>51</v>
      </c>
      <c r="X100" s="1" t="s">
        <v>132</v>
      </c>
      <c r="Y100" s="1" t="s">
        <v>40</v>
      </c>
      <c r="Z100" s="1" t="s">
        <v>40</v>
      </c>
      <c r="AA100" s="1" t="s">
        <v>40</v>
      </c>
    </row>
    <row r="101" spans="1:27" hidden="1">
      <c r="A101" s="1">
        <v>225</v>
      </c>
      <c r="B101" s="1" t="s">
        <v>554</v>
      </c>
      <c r="C101" s="1"/>
      <c r="D101" s="1"/>
      <c r="E101" s="1"/>
      <c r="F101" s="1"/>
      <c r="G101" s="1"/>
      <c r="H101" s="1"/>
      <c r="I101" s="1"/>
      <c r="J101" s="1">
        <v>1686</v>
      </c>
      <c r="K101" s="1" t="s">
        <v>27</v>
      </c>
      <c r="L101" s="1" t="s">
        <v>28</v>
      </c>
      <c r="M101" s="1" t="s">
        <v>43</v>
      </c>
      <c r="N101" s="1" t="s">
        <v>555</v>
      </c>
      <c r="O101" s="1" t="s">
        <v>194</v>
      </c>
      <c r="P101" s="1" t="s">
        <v>295</v>
      </c>
      <c r="Q101" s="1" t="s">
        <v>486</v>
      </c>
      <c r="R101" s="1" t="s">
        <v>556</v>
      </c>
      <c r="S101" s="1">
        <v>132</v>
      </c>
      <c r="T101" s="1" t="s">
        <v>488</v>
      </c>
      <c r="U101" s="1" t="s">
        <v>488</v>
      </c>
      <c r="V101" s="1" t="s">
        <v>179</v>
      </c>
      <c r="W101" s="1" t="s">
        <v>557</v>
      </c>
      <c r="X101" s="1" t="s">
        <v>39</v>
      </c>
      <c r="Y101" s="1" t="s">
        <v>40</v>
      </c>
      <c r="Z101" s="1" t="s">
        <v>40</v>
      </c>
      <c r="AA101" s="1" t="s">
        <v>40</v>
      </c>
    </row>
    <row r="102" spans="1:27" hidden="1">
      <c r="A102" s="1">
        <v>226</v>
      </c>
      <c r="B102" s="1" t="s">
        <v>558</v>
      </c>
      <c r="C102" s="1"/>
      <c r="D102" s="1"/>
      <c r="E102" s="1"/>
      <c r="F102" s="1"/>
      <c r="G102" s="1"/>
      <c r="H102" s="1"/>
      <c r="I102" s="1"/>
      <c r="J102" s="1">
        <v>1687</v>
      </c>
      <c r="K102" s="1" t="s">
        <v>27</v>
      </c>
      <c r="L102" s="1" t="s">
        <v>28</v>
      </c>
      <c r="M102" s="1" t="s">
        <v>64</v>
      </c>
      <c r="N102" s="1" t="s">
        <v>555</v>
      </c>
      <c r="O102" s="1" t="s">
        <v>194</v>
      </c>
      <c r="P102" s="1" t="s">
        <v>295</v>
      </c>
      <c r="Q102" s="1" t="s">
        <v>486</v>
      </c>
      <c r="R102" s="1" t="s">
        <v>297</v>
      </c>
      <c r="S102" s="1">
        <v>23</v>
      </c>
      <c r="T102" s="1" t="s">
        <v>488</v>
      </c>
      <c r="U102" s="1" t="s">
        <v>488</v>
      </c>
      <c r="V102" s="1" t="s">
        <v>98</v>
      </c>
      <c r="W102" s="1" t="s">
        <v>99</v>
      </c>
      <c r="X102" s="1" t="s">
        <v>39</v>
      </c>
      <c r="Y102" s="1" t="s">
        <v>40</v>
      </c>
      <c r="Z102" s="1" t="s">
        <v>508</v>
      </c>
      <c r="AA102" s="1" t="s">
        <v>509</v>
      </c>
    </row>
    <row r="103" spans="1:27" hidden="1">
      <c r="A103" s="1">
        <v>17</v>
      </c>
      <c r="B103" s="1" t="s">
        <v>559</v>
      </c>
      <c r="C103" s="1"/>
      <c r="D103" s="1"/>
      <c r="E103" s="1"/>
      <c r="F103" s="1"/>
      <c r="G103" s="1"/>
      <c r="H103" s="1"/>
      <c r="I103" s="1"/>
      <c r="J103" s="1">
        <v>1230</v>
      </c>
      <c r="K103" s="1" t="s">
        <v>27</v>
      </c>
      <c r="L103" s="1" t="s">
        <v>28</v>
      </c>
      <c r="M103" s="1" t="s">
        <v>64</v>
      </c>
      <c r="N103" s="1" t="s">
        <v>560</v>
      </c>
      <c r="O103" s="1" t="s">
        <v>201</v>
      </c>
      <c r="P103" s="1" t="s">
        <v>295</v>
      </c>
      <c r="Q103" s="1" t="s">
        <v>486</v>
      </c>
      <c r="R103" s="1" t="s">
        <v>561</v>
      </c>
      <c r="S103" s="1">
        <v>220</v>
      </c>
      <c r="T103" s="1" t="s">
        <v>488</v>
      </c>
      <c r="U103" s="1" t="s">
        <v>488</v>
      </c>
      <c r="V103" s="1" t="s">
        <v>98</v>
      </c>
      <c r="W103" s="1" t="s">
        <v>204</v>
      </c>
      <c r="X103" s="1" t="s">
        <v>39</v>
      </c>
      <c r="Y103" s="1" t="s">
        <v>40</v>
      </c>
      <c r="Z103" s="1" t="s">
        <v>40</v>
      </c>
      <c r="AA103" s="1" t="s">
        <v>40</v>
      </c>
    </row>
    <row r="104" spans="1:27" hidden="1">
      <c r="A104" s="1">
        <v>99</v>
      </c>
      <c r="B104" s="1" t="s">
        <v>562</v>
      </c>
      <c r="C104" s="1"/>
      <c r="D104" s="1"/>
      <c r="E104" s="1"/>
      <c r="F104" s="1"/>
      <c r="G104" s="1"/>
      <c r="H104" s="1"/>
      <c r="I104" s="1"/>
      <c r="J104" s="1">
        <v>1388</v>
      </c>
      <c r="K104" s="1" t="s">
        <v>27</v>
      </c>
      <c r="L104" s="1" t="s">
        <v>53</v>
      </c>
      <c r="M104" s="1" t="s">
        <v>64</v>
      </c>
      <c r="N104" s="1" t="s">
        <v>563</v>
      </c>
      <c r="O104" s="1" t="s">
        <v>194</v>
      </c>
      <c r="P104" s="1" t="s">
        <v>295</v>
      </c>
      <c r="Q104" s="1" t="s">
        <v>516</v>
      </c>
      <c r="R104" s="1" t="s">
        <v>564</v>
      </c>
      <c r="S104" s="1">
        <v>23</v>
      </c>
      <c r="T104" s="1" t="s">
        <v>395</v>
      </c>
      <c r="U104" s="1" t="s">
        <v>565</v>
      </c>
      <c r="V104" s="1" t="s">
        <v>172</v>
      </c>
      <c r="W104" s="1" t="s">
        <v>197</v>
      </c>
      <c r="X104" s="1" t="s">
        <v>132</v>
      </c>
      <c r="Y104" s="1" t="s">
        <v>40</v>
      </c>
      <c r="Z104" s="1" t="s">
        <v>40</v>
      </c>
      <c r="AA104" s="1" t="s">
        <v>40</v>
      </c>
    </row>
    <row r="105" spans="1:27" hidden="1">
      <c r="A105" s="1">
        <v>101</v>
      </c>
      <c r="B105" s="1" t="s">
        <v>566</v>
      </c>
      <c r="C105" s="1"/>
      <c r="D105" s="1"/>
      <c r="E105" s="1"/>
      <c r="F105" s="1"/>
      <c r="G105" s="1"/>
      <c r="H105" s="1"/>
      <c r="I105" s="1"/>
      <c r="J105" s="1">
        <v>1389</v>
      </c>
      <c r="K105" s="1" t="s">
        <v>27</v>
      </c>
      <c r="L105" s="1" t="s">
        <v>53</v>
      </c>
      <c r="M105" s="1" t="s">
        <v>43</v>
      </c>
      <c r="N105" s="1" t="s">
        <v>563</v>
      </c>
      <c r="O105" s="1" t="s">
        <v>194</v>
      </c>
      <c r="P105" s="1" t="s">
        <v>295</v>
      </c>
      <c r="Q105" s="1" t="s">
        <v>567</v>
      </c>
      <c r="R105" s="1" t="s">
        <v>568</v>
      </c>
      <c r="S105" s="1">
        <v>23</v>
      </c>
      <c r="T105" s="1" t="s">
        <v>340</v>
      </c>
      <c r="U105" s="1" t="s">
        <v>77</v>
      </c>
      <c r="V105" s="1" t="s">
        <v>98</v>
      </c>
      <c r="W105" s="1" t="s">
        <v>569</v>
      </c>
      <c r="X105" s="1" t="s">
        <v>132</v>
      </c>
      <c r="Y105" s="1" t="s">
        <v>40</v>
      </c>
      <c r="Z105" s="1" t="s">
        <v>40</v>
      </c>
      <c r="AA105" s="1" t="s">
        <v>40</v>
      </c>
    </row>
    <row r="106" spans="1:27" hidden="1">
      <c r="A106" s="1">
        <v>102</v>
      </c>
      <c r="B106" s="1" t="s">
        <v>570</v>
      </c>
      <c r="C106" s="1"/>
      <c r="D106" s="1"/>
      <c r="E106" s="1"/>
      <c r="F106" s="1"/>
      <c r="G106" s="1"/>
      <c r="H106" s="1"/>
      <c r="I106" s="1"/>
      <c r="J106" s="1">
        <v>1387</v>
      </c>
      <c r="K106" s="1" t="s">
        <v>27</v>
      </c>
      <c r="L106" s="1" t="s">
        <v>53</v>
      </c>
      <c r="M106" s="1" t="s">
        <v>43</v>
      </c>
      <c r="N106" s="1" t="s">
        <v>563</v>
      </c>
      <c r="O106" s="1" t="s">
        <v>194</v>
      </c>
      <c r="P106" s="1" t="s">
        <v>295</v>
      </c>
      <c r="Q106" s="1" t="s">
        <v>567</v>
      </c>
      <c r="R106" s="1" t="s">
        <v>568</v>
      </c>
      <c r="S106" s="1">
        <v>23</v>
      </c>
      <c r="T106" s="1" t="s">
        <v>340</v>
      </c>
      <c r="U106" s="1" t="s">
        <v>77</v>
      </c>
      <c r="V106" s="1" t="s">
        <v>98</v>
      </c>
      <c r="W106" s="1" t="s">
        <v>569</v>
      </c>
      <c r="X106" s="1" t="s">
        <v>132</v>
      </c>
      <c r="Y106" s="1" t="s">
        <v>40</v>
      </c>
      <c r="Z106" s="1" t="s">
        <v>40</v>
      </c>
      <c r="AA106" s="1" t="s">
        <v>40</v>
      </c>
    </row>
    <row r="107" spans="1:27">
      <c r="A107" s="2">
        <v>104</v>
      </c>
      <c r="B107" s="1" t="s">
        <v>571</v>
      </c>
      <c r="C107" s="1"/>
      <c r="D107" s="1"/>
      <c r="E107" s="1"/>
      <c r="F107" s="1"/>
      <c r="G107" s="1"/>
      <c r="H107" s="1"/>
      <c r="I107" s="1"/>
      <c r="J107" s="1">
        <v>1409</v>
      </c>
      <c r="K107" s="1" t="s">
        <v>27</v>
      </c>
      <c r="L107" s="1" t="s">
        <v>53</v>
      </c>
      <c r="M107" s="1" t="s">
        <v>141</v>
      </c>
      <c r="N107" s="1" t="s">
        <v>572</v>
      </c>
      <c r="O107" s="1" t="s">
        <v>45</v>
      </c>
      <c r="P107" s="1" t="s">
        <v>295</v>
      </c>
      <c r="Q107" s="1" t="s">
        <v>573</v>
      </c>
      <c r="R107" s="1" t="s">
        <v>574</v>
      </c>
      <c r="S107" s="1">
        <v>220</v>
      </c>
      <c r="T107" s="1" t="s">
        <v>575</v>
      </c>
      <c r="U107" s="1" t="s">
        <v>77</v>
      </c>
      <c r="V107" s="1" t="s">
        <v>179</v>
      </c>
      <c r="W107" s="1" t="s">
        <v>284</v>
      </c>
      <c r="X107" s="1" t="s">
        <v>62</v>
      </c>
      <c r="Y107" s="1" t="s">
        <v>576</v>
      </c>
      <c r="Z107" s="1" t="s">
        <v>198</v>
      </c>
      <c r="AA107" s="1" t="s">
        <v>40</v>
      </c>
    </row>
    <row r="108" spans="1:27" hidden="1">
      <c r="A108" s="1">
        <v>105</v>
      </c>
      <c r="B108" s="1" t="s">
        <v>577</v>
      </c>
      <c r="C108" s="1"/>
      <c r="D108" s="1"/>
      <c r="E108" s="1"/>
      <c r="F108" s="1"/>
      <c r="G108" s="1"/>
      <c r="H108" s="1"/>
      <c r="I108" s="1"/>
      <c r="J108" s="1">
        <v>1410</v>
      </c>
      <c r="K108" s="1" t="s">
        <v>27</v>
      </c>
      <c r="L108" s="1" t="s">
        <v>53</v>
      </c>
      <c r="M108" s="1" t="s">
        <v>43</v>
      </c>
      <c r="N108" s="1" t="s">
        <v>572</v>
      </c>
      <c r="O108" s="1" t="s">
        <v>45</v>
      </c>
      <c r="P108" s="1" t="s">
        <v>295</v>
      </c>
      <c r="Q108" s="1" t="s">
        <v>400</v>
      </c>
      <c r="R108" s="1" t="s">
        <v>578</v>
      </c>
      <c r="S108" s="1">
        <v>220</v>
      </c>
      <c r="T108" s="1" t="s">
        <v>579</v>
      </c>
      <c r="U108" s="1" t="s">
        <v>77</v>
      </c>
      <c r="V108" s="1" t="s">
        <v>179</v>
      </c>
      <c r="W108" s="1" t="s">
        <v>524</v>
      </c>
      <c r="X108" s="1" t="s">
        <v>62</v>
      </c>
      <c r="Y108" s="1" t="s">
        <v>40</v>
      </c>
      <c r="Z108" s="1" t="s">
        <v>40</v>
      </c>
      <c r="AA108" s="1" t="s">
        <v>40</v>
      </c>
    </row>
    <row r="109" spans="1:27" hidden="1">
      <c r="A109" s="1">
        <v>40</v>
      </c>
      <c r="B109" s="1" t="s">
        <v>580</v>
      </c>
      <c r="C109" s="1"/>
      <c r="D109" s="1"/>
      <c r="E109" s="1"/>
      <c r="F109" s="1"/>
      <c r="G109" s="1"/>
      <c r="H109" s="1"/>
      <c r="I109" s="1"/>
      <c r="J109" s="1">
        <v>1519</v>
      </c>
      <c r="K109" s="1" t="s">
        <v>27</v>
      </c>
      <c r="L109" s="1" t="s">
        <v>28</v>
      </c>
      <c r="M109" s="1" t="s">
        <v>64</v>
      </c>
      <c r="N109" s="1" t="s">
        <v>581</v>
      </c>
      <c r="O109" s="1" t="s">
        <v>194</v>
      </c>
      <c r="P109" s="1" t="s">
        <v>295</v>
      </c>
      <c r="Q109" s="1" t="s">
        <v>522</v>
      </c>
      <c r="R109" s="1" t="s">
        <v>582</v>
      </c>
      <c r="S109" s="1">
        <v>66</v>
      </c>
      <c r="T109" s="1" t="s">
        <v>488</v>
      </c>
      <c r="U109" s="1" t="s">
        <v>488</v>
      </c>
      <c r="V109" s="1" t="s">
        <v>50</v>
      </c>
      <c r="W109" s="1" t="s">
        <v>51</v>
      </c>
      <c r="X109" s="1" t="s">
        <v>39</v>
      </c>
      <c r="Y109" s="1" t="s">
        <v>40</v>
      </c>
      <c r="Z109" s="1" t="s">
        <v>40</v>
      </c>
      <c r="AA109" s="1" t="s">
        <v>40</v>
      </c>
    </row>
    <row r="110" spans="1:27">
      <c r="A110" s="2">
        <v>26</v>
      </c>
      <c r="B110" s="1" t="s">
        <v>583</v>
      </c>
      <c r="C110" s="1"/>
      <c r="D110" s="1"/>
      <c r="E110" s="1"/>
      <c r="F110" s="1"/>
      <c r="G110" s="1"/>
      <c r="H110" s="1"/>
      <c r="I110" s="1"/>
      <c r="J110" s="1">
        <v>1359</v>
      </c>
      <c r="K110" s="1" t="s">
        <v>27</v>
      </c>
      <c r="L110" s="1" t="s">
        <v>28</v>
      </c>
      <c r="M110" s="1" t="s">
        <v>307</v>
      </c>
      <c r="N110" s="1" t="s">
        <v>584</v>
      </c>
      <c r="O110" s="1" t="s">
        <v>194</v>
      </c>
      <c r="P110" s="1" t="s">
        <v>295</v>
      </c>
      <c r="Q110" s="1" t="s">
        <v>585</v>
      </c>
      <c r="R110" s="1" t="s">
        <v>586</v>
      </c>
      <c r="S110" s="1">
        <v>23</v>
      </c>
      <c r="T110" s="1" t="s">
        <v>488</v>
      </c>
      <c r="U110" s="1" t="s">
        <v>488</v>
      </c>
      <c r="V110" s="1" t="s">
        <v>98</v>
      </c>
      <c r="W110" s="1" t="s">
        <v>98</v>
      </c>
      <c r="X110" s="1" t="s">
        <v>39</v>
      </c>
      <c r="Y110" s="1" t="s">
        <v>40</v>
      </c>
      <c r="Z110" s="1" t="s">
        <v>40</v>
      </c>
      <c r="AA110" s="1" t="s">
        <v>40</v>
      </c>
    </row>
    <row r="111" spans="1:27" hidden="1">
      <c r="A111" s="1">
        <v>276</v>
      </c>
      <c r="B111" s="1" t="s">
        <v>587</v>
      </c>
      <c r="C111" s="1"/>
      <c r="D111" s="1"/>
      <c r="E111" s="1"/>
      <c r="F111" s="1"/>
      <c r="G111" s="1"/>
      <c r="H111" s="1"/>
      <c r="I111" s="1"/>
      <c r="J111" s="1">
        <v>1319</v>
      </c>
      <c r="K111" s="1" t="s">
        <v>27</v>
      </c>
      <c r="L111" s="1" t="s">
        <v>53</v>
      </c>
      <c r="M111" s="1" t="s">
        <v>64</v>
      </c>
      <c r="N111" s="1" t="s">
        <v>588</v>
      </c>
      <c r="O111" s="1" t="s">
        <v>392</v>
      </c>
      <c r="P111" s="1" t="s">
        <v>380</v>
      </c>
      <c r="Q111" s="1" t="s">
        <v>367</v>
      </c>
      <c r="R111" s="1" t="s">
        <v>103</v>
      </c>
      <c r="S111" s="1">
        <v>220</v>
      </c>
      <c r="T111" s="1" t="s">
        <v>77</v>
      </c>
      <c r="U111" s="1" t="s">
        <v>77</v>
      </c>
      <c r="V111" s="1" t="s">
        <v>98</v>
      </c>
      <c r="W111" s="1" t="s">
        <v>99</v>
      </c>
      <c r="X111" s="1" t="s">
        <v>62</v>
      </c>
      <c r="Y111" s="1" t="s">
        <v>40</v>
      </c>
      <c r="Z111" s="1" t="s">
        <v>40</v>
      </c>
      <c r="AA111" s="1" t="s">
        <v>40</v>
      </c>
    </row>
    <row r="112" spans="1:27" hidden="1">
      <c r="A112" s="1">
        <v>227</v>
      </c>
      <c r="B112" s="1" t="s">
        <v>589</v>
      </c>
      <c r="C112" s="1"/>
      <c r="D112" s="1"/>
      <c r="E112" s="1"/>
      <c r="F112" s="1"/>
      <c r="G112" s="1"/>
      <c r="H112" s="1"/>
      <c r="I112" s="1"/>
      <c r="J112" s="1">
        <v>1688</v>
      </c>
      <c r="K112" s="1" t="s">
        <v>27</v>
      </c>
      <c r="L112" s="1" t="s">
        <v>28</v>
      </c>
      <c r="M112" s="1" t="s">
        <v>43</v>
      </c>
      <c r="N112" s="1" t="s">
        <v>590</v>
      </c>
      <c r="O112" s="1" t="s">
        <v>194</v>
      </c>
      <c r="P112" s="1" t="s">
        <v>295</v>
      </c>
      <c r="Q112" s="1" t="s">
        <v>486</v>
      </c>
      <c r="R112" s="1" t="s">
        <v>591</v>
      </c>
      <c r="S112" s="1">
        <v>125</v>
      </c>
      <c r="T112" s="1" t="s">
        <v>488</v>
      </c>
      <c r="U112" s="1" t="s">
        <v>488</v>
      </c>
      <c r="V112" s="1" t="s">
        <v>179</v>
      </c>
      <c r="W112" s="1" t="s">
        <v>592</v>
      </c>
      <c r="X112" s="1" t="s">
        <v>39</v>
      </c>
      <c r="Y112" s="1" t="s">
        <v>40</v>
      </c>
      <c r="Z112" s="1" t="s">
        <v>40</v>
      </c>
      <c r="AA112" s="1" t="s">
        <v>40</v>
      </c>
    </row>
    <row r="113" spans="1:27" hidden="1">
      <c r="A113" s="1">
        <v>23</v>
      </c>
      <c r="B113" s="1" t="s">
        <v>593</v>
      </c>
      <c r="C113" s="1"/>
      <c r="D113" s="1"/>
      <c r="E113" s="1"/>
      <c r="F113" s="1"/>
      <c r="G113" s="1"/>
      <c r="H113" s="1"/>
      <c r="I113" s="1"/>
      <c r="J113" s="1">
        <v>1289</v>
      </c>
      <c r="K113" s="1" t="s">
        <v>27</v>
      </c>
      <c r="L113" s="1" t="s">
        <v>28</v>
      </c>
      <c r="M113" s="1" t="s">
        <v>43</v>
      </c>
      <c r="N113" s="1" t="s">
        <v>594</v>
      </c>
      <c r="O113" s="1" t="s">
        <v>56</v>
      </c>
      <c r="P113" s="1" t="s">
        <v>295</v>
      </c>
      <c r="Q113" s="1" t="s">
        <v>486</v>
      </c>
      <c r="R113" s="1" t="s">
        <v>595</v>
      </c>
      <c r="S113" s="1">
        <v>220</v>
      </c>
      <c r="T113" s="1" t="s">
        <v>488</v>
      </c>
      <c r="U113" s="1" t="s">
        <v>488</v>
      </c>
      <c r="V113" s="1" t="s">
        <v>98</v>
      </c>
      <c r="W113" s="1" t="s">
        <v>569</v>
      </c>
      <c r="X113" s="1" t="s">
        <v>39</v>
      </c>
      <c r="Y113" s="1" t="s">
        <v>40</v>
      </c>
      <c r="Z113" s="1" t="s">
        <v>40</v>
      </c>
      <c r="AA113" s="1" t="s">
        <v>40</v>
      </c>
    </row>
    <row r="114" spans="1:27" hidden="1">
      <c r="A114" s="1">
        <v>24</v>
      </c>
      <c r="B114" s="1" t="s">
        <v>596</v>
      </c>
      <c r="C114" s="1"/>
      <c r="D114" s="1"/>
      <c r="E114" s="1"/>
      <c r="F114" s="1"/>
      <c r="G114" s="1"/>
      <c r="H114" s="1"/>
      <c r="I114" s="1"/>
      <c r="J114" s="1">
        <v>1290</v>
      </c>
      <c r="K114" s="1" t="s">
        <v>27</v>
      </c>
      <c r="L114" s="1" t="s">
        <v>28</v>
      </c>
      <c r="M114" s="1" t="s">
        <v>43</v>
      </c>
      <c r="N114" s="1" t="s">
        <v>594</v>
      </c>
      <c r="O114" s="1" t="s">
        <v>31</v>
      </c>
      <c r="P114" s="1" t="s">
        <v>295</v>
      </c>
      <c r="Q114" s="1" t="s">
        <v>597</v>
      </c>
      <c r="R114" s="1" t="s">
        <v>598</v>
      </c>
      <c r="S114" s="1">
        <v>220</v>
      </c>
      <c r="T114" s="1" t="s">
        <v>488</v>
      </c>
      <c r="U114" s="1" t="s">
        <v>488</v>
      </c>
      <c r="V114" s="1" t="s">
        <v>98</v>
      </c>
      <c r="W114" s="1" t="s">
        <v>569</v>
      </c>
      <c r="X114" s="1" t="s">
        <v>39</v>
      </c>
      <c r="Y114" s="1" t="s">
        <v>40</v>
      </c>
      <c r="Z114" s="1" t="s">
        <v>40</v>
      </c>
      <c r="AA114" s="1" t="s">
        <v>40</v>
      </c>
    </row>
    <row r="115" spans="1:27" hidden="1">
      <c r="A115" s="1">
        <v>85</v>
      </c>
      <c r="B115" s="1" t="s">
        <v>599</v>
      </c>
      <c r="C115" s="1"/>
      <c r="D115" s="1"/>
      <c r="E115" s="1"/>
      <c r="F115" s="1"/>
      <c r="G115" s="1"/>
      <c r="H115" s="1"/>
      <c r="I115" s="1"/>
      <c r="J115" s="1">
        <v>1264</v>
      </c>
      <c r="K115" s="1" t="s">
        <v>27</v>
      </c>
      <c r="L115" s="1" t="s">
        <v>53</v>
      </c>
      <c r="M115" s="1" t="s">
        <v>43</v>
      </c>
      <c r="N115" s="1" t="s">
        <v>600</v>
      </c>
      <c r="O115" s="1" t="s">
        <v>601</v>
      </c>
      <c r="P115" s="1" t="s">
        <v>295</v>
      </c>
      <c r="Q115" s="1" t="s">
        <v>602</v>
      </c>
      <c r="R115" s="1" t="s">
        <v>103</v>
      </c>
      <c r="S115" s="1">
        <v>220</v>
      </c>
      <c r="T115" s="1" t="s">
        <v>77</v>
      </c>
      <c r="U115" s="1" t="s">
        <v>77</v>
      </c>
      <c r="V115" s="1" t="s">
        <v>98</v>
      </c>
      <c r="W115" s="1" t="s">
        <v>99</v>
      </c>
      <c r="X115" s="1" t="s">
        <v>62</v>
      </c>
      <c r="Y115" s="1" t="s">
        <v>603</v>
      </c>
      <c r="Z115" s="1" t="s">
        <v>604</v>
      </c>
      <c r="AA115" s="1" t="s">
        <v>40</v>
      </c>
    </row>
    <row r="116" spans="1:27" hidden="1">
      <c r="A116" s="1">
        <v>266</v>
      </c>
      <c r="B116" s="1" t="s">
        <v>605</v>
      </c>
      <c r="C116" s="1"/>
      <c r="D116" s="1"/>
      <c r="E116" s="1"/>
      <c r="F116" s="1"/>
      <c r="G116" s="1"/>
      <c r="H116" s="1"/>
      <c r="I116" s="1"/>
      <c r="J116" s="1">
        <v>1070</v>
      </c>
      <c r="K116" s="1" t="s">
        <v>27</v>
      </c>
      <c r="L116" s="1" t="s">
        <v>53</v>
      </c>
      <c r="M116" s="1" t="s">
        <v>64</v>
      </c>
      <c r="N116" s="1" t="s">
        <v>606</v>
      </c>
      <c r="O116" s="1" t="s">
        <v>45</v>
      </c>
      <c r="P116" s="1" t="s">
        <v>295</v>
      </c>
      <c r="Q116" s="1" t="s">
        <v>486</v>
      </c>
      <c r="R116" s="1" t="s">
        <v>607</v>
      </c>
      <c r="S116" s="1">
        <v>154</v>
      </c>
      <c r="T116" s="1" t="s">
        <v>488</v>
      </c>
      <c r="U116" s="1" t="s">
        <v>488</v>
      </c>
      <c r="V116" s="1" t="s">
        <v>60</v>
      </c>
      <c r="W116" s="1" t="s">
        <v>608</v>
      </c>
      <c r="X116" s="1" t="s">
        <v>132</v>
      </c>
      <c r="Y116" s="1" t="s">
        <v>40</v>
      </c>
      <c r="Z116" s="1" t="s">
        <v>40</v>
      </c>
      <c r="AA116" s="1" t="s">
        <v>40</v>
      </c>
    </row>
    <row r="117" spans="1:27" hidden="1">
      <c r="A117" s="1">
        <v>222</v>
      </c>
      <c r="B117" s="1" t="s">
        <v>609</v>
      </c>
      <c r="C117" s="1"/>
      <c r="D117" s="1"/>
      <c r="E117" s="1"/>
      <c r="F117" s="1"/>
      <c r="G117" s="1"/>
      <c r="H117" s="1"/>
      <c r="I117" s="1"/>
      <c r="J117" s="1">
        <v>1685</v>
      </c>
      <c r="K117" s="1" t="s">
        <v>27</v>
      </c>
      <c r="L117" s="1" t="s">
        <v>28</v>
      </c>
      <c r="M117" s="1" t="s">
        <v>64</v>
      </c>
      <c r="N117" s="1" t="s">
        <v>610</v>
      </c>
      <c r="O117" s="1" t="s">
        <v>194</v>
      </c>
      <c r="P117" s="1" t="s">
        <v>295</v>
      </c>
      <c r="Q117" s="1" t="s">
        <v>597</v>
      </c>
      <c r="R117" s="1" t="s">
        <v>611</v>
      </c>
      <c r="S117" s="1">
        <v>132</v>
      </c>
      <c r="T117" s="1" t="s">
        <v>488</v>
      </c>
      <c r="U117" s="1" t="s">
        <v>488</v>
      </c>
      <c r="V117" s="1" t="s">
        <v>98</v>
      </c>
      <c r="W117" s="1" t="s">
        <v>98</v>
      </c>
      <c r="X117" s="1" t="s">
        <v>39</v>
      </c>
      <c r="Y117" s="1" t="s">
        <v>40</v>
      </c>
      <c r="Z117" s="1" t="s">
        <v>40</v>
      </c>
      <c r="AA117" s="1" t="s">
        <v>40</v>
      </c>
    </row>
    <row r="118" spans="1:27" hidden="1">
      <c r="A118" s="1">
        <v>357</v>
      </c>
      <c r="B118" s="1" t="s">
        <v>612</v>
      </c>
      <c r="C118" s="1"/>
      <c r="D118" s="1"/>
      <c r="E118" s="1"/>
      <c r="F118" s="1"/>
      <c r="G118" s="1"/>
      <c r="H118" s="1"/>
      <c r="I118" s="1"/>
      <c r="J118" s="1">
        <v>650</v>
      </c>
      <c r="K118" s="1" t="s">
        <v>27</v>
      </c>
      <c r="L118" s="1" t="s">
        <v>53</v>
      </c>
      <c r="M118" s="1" t="s">
        <v>43</v>
      </c>
      <c r="N118" s="1" t="s">
        <v>613</v>
      </c>
      <c r="O118" s="1" t="s">
        <v>194</v>
      </c>
      <c r="P118" s="1" t="s">
        <v>295</v>
      </c>
      <c r="Q118" s="1" t="s">
        <v>614</v>
      </c>
      <c r="R118" s="1" t="s">
        <v>615</v>
      </c>
      <c r="S118" s="1">
        <v>23</v>
      </c>
      <c r="T118" s="1" t="s">
        <v>290</v>
      </c>
      <c r="U118" s="1" t="s">
        <v>77</v>
      </c>
      <c r="V118" s="1" t="s">
        <v>50</v>
      </c>
      <c r="W118" s="1" t="s">
        <v>51</v>
      </c>
      <c r="X118" s="1" t="s">
        <v>132</v>
      </c>
      <c r="Y118" s="1" t="s">
        <v>40</v>
      </c>
      <c r="Z118" s="1" t="s">
        <v>40</v>
      </c>
      <c r="AA118" s="1" t="s">
        <v>40</v>
      </c>
    </row>
    <row r="119" spans="1:27" hidden="1">
      <c r="A119" s="1">
        <v>252</v>
      </c>
      <c r="B119" s="1" t="s">
        <v>616</v>
      </c>
      <c r="C119" s="1"/>
      <c r="D119" s="1"/>
      <c r="E119" s="1"/>
      <c r="F119" s="1"/>
      <c r="G119" s="1"/>
      <c r="H119" s="1"/>
      <c r="I119" s="1"/>
      <c r="J119" s="1">
        <v>433</v>
      </c>
      <c r="K119" s="1" t="s">
        <v>27</v>
      </c>
      <c r="L119" s="1" t="s">
        <v>53</v>
      </c>
      <c r="M119" s="1" t="s">
        <v>64</v>
      </c>
      <c r="N119" s="1" t="s">
        <v>617</v>
      </c>
      <c r="O119" s="1" t="s">
        <v>45</v>
      </c>
      <c r="P119" s="1" t="s">
        <v>295</v>
      </c>
      <c r="Q119" s="1" t="s">
        <v>486</v>
      </c>
      <c r="R119" s="1" t="s">
        <v>618</v>
      </c>
      <c r="S119" s="1">
        <v>220</v>
      </c>
      <c r="T119" s="1" t="s">
        <v>619</v>
      </c>
      <c r="U119" s="1" t="s">
        <v>620</v>
      </c>
      <c r="V119" s="1" t="s">
        <v>50</v>
      </c>
      <c r="W119" s="1" t="s">
        <v>51</v>
      </c>
      <c r="X119" s="1" t="s">
        <v>62</v>
      </c>
      <c r="Y119" s="1" t="s">
        <v>40</v>
      </c>
      <c r="Z119" s="1" t="s">
        <v>40</v>
      </c>
      <c r="AA119" s="1" t="s">
        <v>40</v>
      </c>
    </row>
  </sheetData>
  <autoFilter ref="A1:AA119" xr:uid="{2A6CACC0-DF47-444E-8235-F0DFD3501452}">
    <filterColumn colId="12">
      <filters>
        <filter val="Audiencia y antecedentes adicionales"/>
        <filter val="Desarrollo de estudios y/o antecedentes"/>
        <filter val="Detenida a la espera de definición de ingeniería de la obra"/>
        <filter val="Elaboración Informe de Autorización de Conexión Preliminar"/>
        <filter val="Evaluación Admisibilidad"/>
        <filter val="Observaciones a Informe de Autorización de Conexión Preliminar"/>
        <filter val="Proyecto autorizado para declararse en construcción"/>
        <filter val="Proyecto declarado en construccion"/>
        <filter val="Proyecto declarado en construcción"/>
        <filter val="Solicitud ingresada"/>
      </filters>
    </filterColumn>
  </autoFilter>
  <pageMargins left="0.7" right="0.7" top="0.75" bottom="0.75" header="0.3" footer="0.3"/>
  <ignoredErrors>
    <ignoredError sqref="O2 O4:O1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F7F2-8DBB-4A9E-8E4E-97E410701681}">
  <dimension ref="B3:C15"/>
  <sheetViews>
    <sheetView workbookViewId="0"/>
  </sheetViews>
  <sheetFormatPr defaultColWidth="11.42578125" defaultRowHeight="14.45"/>
  <cols>
    <col min="1" max="1" width="9" customWidth="1"/>
    <col min="2" max="2" width="16.7109375" customWidth="1"/>
  </cols>
  <sheetData>
    <row r="3" spans="2:3">
      <c r="B3" s="1" t="s">
        <v>621</v>
      </c>
      <c r="C3" s="1" t="s">
        <v>622</v>
      </c>
    </row>
    <row r="4" spans="2:3">
      <c r="B4" s="5" t="s">
        <v>623</v>
      </c>
      <c r="C4" s="1" t="s">
        <v>624</v>
      </c>
    </row>
    <row r="5" spans="2:3">
      <c r="B5" s="5" t="s">
        <v>625</v>
      </c>
      <c r="C5" s="1" t="s">
        <v>624</v>
      </c>
    </row>
    <row r="6" spans="2:3">
      <c r="B6" s="5" t="s">
        <v>626</v>
      </c>
      <c r="C6" s="1" t="s">
        <v>624</v>
      </c>
    </row>
    <row r="7" spans="2:3">
      <c r="B7" s="5" t="s">
        <v>627</v>
      </c>
      <c r="C7" s="1" t="s">
        <v>624</v>
      </c>
    </row>
    <row r="8" spans="2:3">
      <c r="B8" s="5" t="s">
        <v>628</v>
      </c>
      <c r="C8" s="1" t="s">
        <v>629</v>
      </c>
    </row>
    <row r="9" spans="2:3">
      <c r="B9" s="5" t="s">
        <v>630</v>
      </c>
      <c r="C9" s="1" t="s">
        <v>629</v>
      </c>
    </row>
    <row r="10" spans="2:3">
      <c r="B10" s="9" t="s">
        <v>631</v>
      </c>
      <c r="C10" s="10" t="s">
        <v>629</v>
      </c>
    </row>
    <row r="11" spans="2:3">
      <c r="B11" s="2" t="s">
        <v>632</v>
      </c>
      <c r="C11" s="1" t="s">
        <v>629</v>
      </c>
    </row>
    <row r="12" spans="2:3">
      <c r="B12" s="5" t="s">
        <v>633</v>
      </c>
      <c r="C12" s="1" t="s">
        <v>634</v>
      </c>
    </row>
    <row r="13" spans="2:3">
      <c r="B13" s="1" t="s">
        <v>635</v>
      </c>
      <c r="C13" s="1" t="s">
        <v>634</v>
      </c>
    </row>
    <row r="14" spans="2:3">
      <c r="B14" s="1" t="s">
        <v>636</v>
      </c>
      <c r="C14" s="1" t="s">
        <v>634</v>
      </c>
    </row>
    <row r="15" spans="2:3">
      <c r="B15" s="2" t="s">
        <v>637</v>
      </c>
      <c r="C15" s="1" t="s">
        <v>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C646-7A93-4509-85D7-06C51D5DB9B8}">
  <dimension ref="B2:N22"/>
  <sheetViews>
    <sheetView zoomScale="70" zoomScaleNormal="70" workbookViewId="0">
      <pane ySplit="2" topLeftCell="A3" activePane="bottomLeft" state="frozen"/>
      <selection pane="bottomLeft" activeCell="I4" sqref="I4"/>
    </sheetView>
  </sheetViews>
  <sheetFormatPr defaultColWidth="11.42578125" defaultRowHeight="14.45"/>
  <cols>
    <col min="1" max="1" width="2.85546875" customWidth="1"/>
    <col min="2" max="2" width="9.5703125" bestFit="1" customWidth="1"/>
    <col min="3" max="3" width="15.85546875" customWidth="1"/>
    <col min="4" max="4" width="26" customWidth="1"/>
    <col min="5" max="5" width="21.42578125" customWidth="1"/>
    <col min="6" max="6" width="17" customWidth="1"/>
    <col min="7" max="7" width="18.42578125" bestFit="1" customWidth="1"/>
    <col min="8" max="8" width="20.42578125" style="4" hidden="1" customWidth="1"/>
    <col min="9" max="9" width="37.7109375" bestFit="1" customWidth="1"/>
    <col min="10" max="10" width="19.5703125" bestFit="1" customWidth="1"/>
    <col min="11" max="11" width="21" bestFit="1" customWidth="1"/>
    <col min="12" max="12" width="54.28515625" customWidth="1"/>
    <col min="13" max="13" width="23.28515625" customWidth="1"/>
    <col min="14" max="14" width="21" customWidth="1"/>
  </cols>
  <sheetData>
    <row r="2" spans="2:14" ht="36.950000000000003">
      <c r="B2" s="16" t="s">
        <v>0</v>
      </c>
      <c r="C2" s="17" t="s">
        <v>1</v>
      </c>
      <c r="D2" s="18" t="s">
        <v>2</v>
      </c>
      <c r="E2" s="19" t="s">
        <v>638</v>
      </c>
      <c r="F2" s="17" t="s">
        <v>20</v>
      </c>
      <c r="G2" s="17" t="s">
        <v>639</v>
      </c>
      <c r="H2" s="18" t="s">
        <v>640</v>
      </c>
      <c r="I2" s="17" t="s">
        <v>641</v>
      </c>
      <c r="J2" s="17" t="s">
        <v>642</v>
      </c>
      <c r="K2" s="18" t="s">
        <v>643</v>
      </c>
      <c r="L2" s="17" t="s">
        <v>644</v>
      </c>
      <c r="M2" s="18" t="s">
        <v>645</v>
      </c>
      <c r="N2" s="18" t="s">
        <v>646</v>
      </c>
    </row>
    <row r="3" spans="2:14" s="6" customFormat="1" ht="29.1">
      <c r="B3" s="12">
        <v>1919</v>
      </c>
      <c r="C3" s="33" t="s">
        <v>647</v>
      </c>
      <c r="D3" s="5" t="s">
        <v>130</v>
      </c>
      <c r="E3" s="14">
        <v>90</v>
      </c>
      <c r="F3" s="5" t="s">
        <v>628</v>
      </c>
      <c r="G3" s="5" t="s">
        <v>648</v>
      </c>
      <c r="H3" s="3" t="s">
        <v>53</v>
      </c>
      <c r="I3" s="8" t="s">
        <v>649</v>
      </c>
      <c r="J3" s="3" t="str">
        <f>VLOOKUP(F3,lista!$B$4:$C$15,2,FALSE)</f>
        <v>Centro</v>
      </c>
      <c r="K3" s="5" t="s">
        <v>650</v>
      </c>
      <c r="L3" s="5" t="s">
        <v>651</v>
      </c>
      <c r="M3" s="5" t="s">
        <v>652</v>
      </c>
      <c r="N3" s="5" t="s">
        <v>653</v>
      </c>
    </row>
    <row r="4" spans="2:14" s="6" customFormat="1" ht="29.1">
      <c r="B4" s="12">
        <v>1598</v>
      </c>
      <c r="C4" s="33" t="s">
        <v>273</v>
      </c>
      <c r="D4" s="5" t="s">
        <v>275</v>
      </c>
      <c r="E4" s="14">
        <v>90</v>
      </c>
      <c r="F4" s="5" t="s">
        <v>628</v>
      </c>
      <c r="G4" s="5" t="s">
        <v>648</v>
      </c>
      <c r="H4" s="5" t="s">
        <v>53</v>
      </c>
      <c r="I4" s="8" t="s">
        <v>654</v>
      </c>
      <c r="J4" s="3" t="str">
        <f>VLOOKUP(F4,lista!$B$4:$C$15,2,FALSE)</f>
        <v>Centro</v>
      </c>
      <c r="K4" s="5" t="s">
        <v>650</v>
      </c>
      <c r="L4" s="5" t="s">
        <v>655</v>
      </c>
      <c r="M4" s="5" t="s">
        <v>656</v>
      </c>
      <c r="N4" s="5"/>
    </row>
    <row r="5" spans="2:14" s="6" customFormat="1" ht="29.1">
      <c r="B5" s="12">
        <v>1865</v>
      </c>
      <c r="C5" s="33" t="s">
        <v>156</v>
      </c>
      <c r="D5" s="5" t="s">
        <v>158</v>
      </c>
      <c r="E5" s="14">
        <v>90</v>
      </c>
      <c r="F5" s="5" t="s">
        <v>630</v>
      </c>
      <c r="G5" s="5" t="s">
        <v>648</v>
      </c>
      <c r="H5" s="3" t="s">
        <v>53</v>
      </c>
      <c r="I5" s="8" t="s">
        <v>127</v>
      </c>
      <c r="J5" s="3" t="str">
        <f>VLOOKUP(F5,lista!$B$4:$C$15,2,FALSE)</f>
        <v>Centro</v>
      </c>
      <c r="K5" s="5" t="s">
        <v>650</v>
      </c>
      <c r="L5" s="5" t="s">
        <v>657</v>
      </c>
      <c r="M5" s="5" t="s">
        <v>652</v>
      </c>
      <c r="N5" s="5"/>
    </row>
    <row r="6" spans="2:14" s="6" customFormat="1" ht="29.1">
      <c r="B6" s="12">
        <v>1864</v>
      </c>
      <c r="C6" s="33" t="s">
        <v>160</v>
      </c>
      <c r="D6" s="5" t="s">
        <v>163</v>
      </c>
      <c r="E6" s="14">
        <v>150</v>
      </c>
      <c r="F6" s="5" t="s">
        <v>630</v>
      </c>
      <c r="G6" s="5" t="s">
        <v>648</v>
      </c>
      <c r="H6" s="3" t="s">
        <v>53</v>
      </c>
      <c r="I6" s="8" t="s">
        <v>141</v>
      </c>
      <c r="J6" s="3" t="str">
        <f>VLOOKUP(F6,lista!$B$4:$C$15,2,FALSE)</f>
        <v>Centro</v>
      </c>
      <c r="K6" s="5" t="s">
        <v>650</v>
      </c>
      <c r="L6" s="5" t="s">
        <v>658</v>
      </c>
      <c r="M6" s="5" t="s">
        <v>652</v>
      </c>
      <c r="N6" s="5"/>
    </row>
    <row r="7" spans="2:14" s="6" customFormat="1" ht="43.5">
      <c r="B7" s="12">
        <v>1827</v>
      </c>
      <c r="C7" s="33" t="s">
        <v>181</v>
      </c>
      <c r="D7" s="5" t="s">
        <v>183</v>
      </c>
      <c r="E7" s="14">
        <v>90</v>
      </c>
      <c r="F7" s="5" t="s">
        <v>630</v>
      </c>
      <c r="G7" s="5" t="s">
        <v>648</v>
      </c>
      <c r="H7" s="3" t="s">
        <v>53</v>
      </c>
      <c r="I7" s="8" t="s">
        <v>141</v>
      </c>
      <c r="J7" s="3" t="str">
        <f>VLOOKUP(F7,lista!$B$4:$C$15,2,FALSE)</f>
        <v>Centro</v>
      </c>
      <c r="K7" s="5" t="s">
        <v>650</v>
      </c>
      <c r="L7" s="5" t="s">
        <v>658</v>
      </c>
      <c r="M7" s="5" t="s">
        <v>652</v>
      </c>
      <c r="N7" s="5" t="s">
        <v>659</v>
      </c>
    </row>
    <row r="8" spans="2:14" s="6" customFormat="1" ht="29.1">
      <c r="B8" s="12">
        <v>1826</v>
      </c>
      <c r="C8" s="33" t="s">
        <v>187</v>
      </c>
      <c r="D8" s="5" t="s">
        <v>190</v>
      </c>
      <c r="E8" s="14">
        <v>90</v>
      </c>
      <c r="F8" s="5" t="s">
        <v>630</v>
      </c>
      <c r="G8" s="5" t="s">
        <v>648</v>
      </c>
      <c r="H8" s="5" t="s">
        <v>53</v>
      </c>
      <c r="I8" s="8" t="s">
        <v>188</v>
      </c>
      <c r="J8" s="3" t="str">
        <f>VLOOKUP(F8,lista!$B$4:$C$15,2,FALSE)</f>
        <v>Centro</v>
      </c>
      <c r="K8" s="5" t="s">
        <v>650</v>
      </c>
      <c r="L8" s="5" t="s">
        <v>660</v>
      </c>
      <c r="M8" s="5" t="s">
        <v>656</v>
      </c>
      <c r="N8" s="5" t="s">
        <v>661</v>
      </c>
    </row>
    <row r="9" spans="2:14" s="6" customFormat="1" ht="29.1">
      <c r="B9" s="12">
        <v>1275</v>
      </c>
      <c r="C9" s="33" t="s">
        <v>323</v>
      </c>
      <c r="D9" s="5" t="s">
        <v>327</v>
      </c>
      <c r="E9" s="14">
        <v>100</v>
      </c>
      <c r="F9" s="5" t="s">
        <v>627</v>
      </c>
      <c r="G9" s="5" t="s">
        <v>662</v>
      </c>
      <c r="H9" s="5" t="s">
        <v>53</v>
      </c>
      <c r="I9" s="8" t="s">
        <v>654</v>
      </c>
      <c r="J9" s="3" t="str">
        <f>VLOOKUP(F9,lista!$B$4:$C$15,2,FALSE)</f>
        <v>Norte</v>
      </c>
      <c r="K9" s="5" t="s">
        <v>663</v>
      </c>
      <c r="L9" s="5" t="s">
        <v>655</v>
      </c>
      <c r="M9" s="5" t="s">
        <v>656</v>
      </c>
      <c r="N9" s="5"/>
    </row>
    <row r="10" spans="2:14" s="6" customFormat="1" ht="29.1">
      <c r="B10" s="13">
        <v>2416</v>
      </c>
      <c r="C10" s="34" t="s">
        <v>74</v>
      </c>
      <c r="D10" s="3" t="s">
        <v>76</v>
      </c>
      <c r="E10" s="15">
        <v>90</v>
      </c>
      <c r="F10" s="5" t="s">
        <v>628</v>
      </c>
      <c r="G10" s="5" t="s">
        <v>662</v>
      </c>
      <c r="H10" s="3" t="s">
        <v>53</v>
      </c>
      <c r="I10" s="8" t="s">
        <v>654</v>
      </c>
      <c r="J10" s="3" t="str">
        <f>VLOOKUP(F10,lista!$B$4:$C$15,2,FALSE)</f>
        <v>Centro</v>
      </c>
      <c r="K10" s="5" t="s">
        <v>663</v>
      </c>
      <c r="L10" s="5" t="s">
        <v>655</v>
      </c>
      <c r="M10" s="5" t="s">
        <v>656</v>
      </c>
      <c r="N10" s="5"/>
    </row>
    <row r="11" spans="2:14" s="6" customFormat="1" ht="29.1">
      <c r="B11" s="12">
        <v>1729</v>
      </c>
      <c r="C11" s="33" t="s">
        <v>234</v>
      </c>
      <c r="D11" s="5" t="s">
        <v>236</v>
      </c>
      <c r="E11" s="14">
        <v>90</v>
      </c>
      <c r="F11" s="5" t="s">
        <v>628</v>
      </c>
      <c r="G11" s="5" t="s">
        <v>648</v>
      </c>
      <c r="H11" s="5" t="s">
        <v>53</v>
      </c>
      <c r="I11" s="8" t="s">
        <v>654</v>
      </c>
      <c r="J11" s="3" t="str">
        <f>VLOOKUP(F11,lista!$B$4:$C$15,2,FALSE)</f>
        <v>Centro</v>
      </c>
      <c r="K11" s="5" t="s">
        <v>663</v>
      </c>
      <c r="L11" s="5" t="s">
        <v>655</v>
      </c>
      <c r="M11" s="5" t="s">
        <v>656</v>
      </c>
      <c r="N11" s="5"/>
    </row>
    <row r="12" spans="2:14" s="6" customFormat="1" ht="29.1">
      <c r="B12" s="12">
        <v>1726</v>
      </c>
      <c r="C12" s="33" t="s">
        <v>241</v>
      </c>
      <c r="D12" s="5" t="s">
        <v>243</v>
      </c>
      <c r="E12" s="14">
        <v>90</v>
      </c>
      <c r="F12" s="5" t="s">
        <v>630</v>
      </c>
      <c r="G12" s="5" t="s">
        <v>648</v>
      </c>
      <c r="H12" s="5" t="s">
        <v>53</v>
      </c>
      <c r="I12" s="8" t="s">
        <v>654</v>
      </c>
      <c r="J12" s="3" t="str">
        <f>VLOOKUP(F12,lista!$B$4:$C$15,2,FALSE)</f>
        <v>Centro</v>
      </c>
      <c r="K12" s="5" t="s">
        <v>663</v>
      </c>
      <c r="L12" s="5" t="s">
        <v>655</v>
      </c>
      <c r="M12" s="5" t="s">
        <v>656</v>
      </c>
      <c r="N12" s="5"/>
    </row>
    <row r="13" spans="2:14" s="6" customFormat="1" ht="29.1">
      <c r="B13" s="12">
        <v>1723</v>
      </c>
      <c r="C13" s="33" t="s">
        <v>245</v>
      </c>
      <c r="D13" s="5" t="s">
        <v>247</v>
      </c>
      <c r="E13" s="14">
        <v>150</v>
      </c>
      <c r="F13" s="5" t="s">
        <v>630</v>
      </c>
      <c r="G13" s="5" t="s">
        <v>648</v>
      </c>
      <c r="H13" s="5" t="s">
        <v>53</v>
      </c>
      <c r="I13" s="8" t="s">
        <v>654</v>
      </c>
      <c r="J13" s="3" t="str">
        <f>VLOOKUP(F13,lista!$B$4:$C$15,2,FALSE)</f>
        <v>Centro</v>
      </c>
      <c r="K13" s="5" t="s">
        <v>663</v>
      </c>
      <c r="L13" s="5" t="s">
        <v>655</v>
      </c>
      <c r="M13" s="5" t="s">
        <v>656</v>
      </c>
      <c r="N13" s="5"/>
    </row>
    <row r="14" spans="2:14" s="6" customFormat="1" ht="29.1">
      <c r="B14" s="12">
        <v>1700</v>
      </c>
      <c r="C14" s="33" t="s">
        <v>254</v>
      </c>
      <c r="D14" s="5" t="s">
        <v>256</v>
      </c>
      <c r="E14" s="14">
        <v>200</v>
      </c>
      <c r="F14" s="5" t="s">
        <v>630</v>
      </c>
      <c r="G14" s="5" t="s">
        <v>648</v>
      </c>
      <c r="H14" s="5" t="s">
        <v>53</v>
      </c>
      <c r="I14" s="8" t="s">
        <v>654</v>
      </c>
      <c r="J14" s="3" t="str">
        <f>VLOOKUP(F14,lista!$B$4:$C$15,2,FALSE)</f>
        <v>Centro</v>
      </c>
      <c r="K14" s="5" t="s">
        <v>663</v>
      </c>
      <c r="L14" s="5" t="s">
        <v>655</v>
      </c>
      <c r="M14" s="5" t="s">
        <v>656</v>
      </c>
      <c r="N14" s="5"/>
    </row>
    <row r="15" spans="2:14" s="6" customFormat="1" ht="29.1">
      <c r="B15" s="12">
        <v>1730</v>
      </c>
      <c r="C15" s="33" t="s">
        <v>229</v>
      </c>
      <c r="D15" s="5" t="s">
        <v>232</v>
      </c>
      <c r="E15" s="14">
        <v>50</v>
      </c>
      <c r="F15" s="5" t="s">
        <v>631</v>
      </c>
      <c r="G15" s="5" t="s">
        <v>648</v>
      </c>
      <c r="H15" s="5" t="s">
        <v>53</v>
      </c>
      <c r="I15" s="8" t="s">
        <v>654</v>
      </c>
      <c r="J15" s="3" t="str">
        <f>VLOOKUP(F15,lista!$B$4:$C$15,2,FALSE)</f>
        <v>Centro</v>
      </c>
      <c r="K15" s="5" t="s">
        <v>663</v>
      </c>
      <c r="L15" s="5" t="s">
        <v>655</v>
      </c>
      <c r="M15" s="5" t="s">
        <v>656</v>
      </c>
      <c r="N15" s="5"/>
    </row>
    <row r="16" spans="2:14" s="7" customFormat="1" ht="29.1">
      <c r="B16" s="30">
        <v>2414</v>
      </c>
      <c r="C16" s="35" t="s">
        <v>85</v>
      </c>
      <c r="D16" s="21" t="s">
        <v>87</v>
      </c>
      <c r="E16" s="31">
        <v>90</v>
      </c>
      <c r="F16" s="21" t="s">
        <v>632</v>
      </c>
      <c r="G16" s="9" t="s">
        <v>662</v>
      </c>
      <c r="H16" s="21" t="s">
        <v>53</v>
      </c>
      <c r="I16" s="20" t="s">
        <v>654</v>
      </c>
      <c r="J16" s="21" t="str">
        <f>VLOOKUP(F16,lista!$B$4:$C$15,2,FALSE)</f>
        <v>Centro</v>
      </c>
      <c r="K16" s="9" t="s">
        <v>663</v>
      </c>
      <c r="L16" s="9" t="s">
        <v>655</v>
      </c>
      <c r="M16" s="9" t="s">
        <v>656</v>
      </c>
      <c r="N16" s="9"/>
    </row>
    <row r="18" spans="3:3">
      <c r="C18" t="s">
        <v>664</v>
      </c>
    </row>
    <row r="19" spans="3:3">
      <c r="C19" s="22" t="s">
        <v>665</v>
      </c>
    </row>
    <row r="20" spans="3:3">
      <c r="C20" s="23" t="s">
        <v>666</v>
      </c>
    </row>
    <row r="21" spans="3:3">
      <c r="C21" s="4"/>
    </row>
    <row r="22" spans="3:3">
      <c r="C22" s="11" t="s">
        <v>667</v>
      </c>
    </row>
  </sheetData>
  <conditionalFormatting sqref="K3:K16">
    <cfRule type="cellIs" dxfId="39" priority="2" operator="equal">
      <formula>"C2"</formula>
    </cfRule>
    <cfRule type="cellIs" dxfId="38" priority="3" operator="equal">
      <formula>"C3"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8525-01C8-4654-8330-8B96D00C4193}">
  <dimension ref="A2:T23"/>
  <sheetViews>
    <sheetView zoomScaleNormal="100" workbookViewId="0">
      <selection activeCell="F18" sqref="F18"/>
    </sheetView>
  </sheetViews>
  <sheetFormatPr defaultColWidth="11.42578125" defaultRowHeight="14.45"/>
  <cols>
    <col min="1" max="1" width="17.140625" customWidth="1"/>
    <col min="2" max="2" width="32.42578125" bestFit="1" customWidth="1"/>
    <col min="3" max="3" width="0" hidden="1" customWidth="1"/>
    <col min="4" max="4" width="43.42578125" customWidth="1"/>
    <col min="6" max="6" width="57.5703125" bestFit="1" customWidth="1"/>
    <col min="7" max="7" width="30.5703125" customWidth="1"/>
    <col min="8" max="8" width="16.42578125" customWidth="1"/>
    <col min="9" max="9" width="14.5703125" customWidth="1"/>
    <col min="10" max="10" width="30" customWidth="1"/>
    <col min="11" max="11" width="22.28515625" bestFit="1" customWidth="1"/>
    <col min="12" max="12" width="15.85546875" customWidth="1"/>
    <col min="17" max="17" width="23.85546875" customWidth="1"/>
    <col min="18" max="18" width="29.5703125" customWidth="1"/>
    <col min="19" max="19" width="33.28515625" customWidth="1"/>
    <col min="20" max="20" width="40.85546875" customWidth="1"/>
  </cols>
  <sheetData>
    <row r="2" spans="1:20">
      <c r="A2" t="s">
        <v>668</v>
      </c>
      <c r="B2" t="s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28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</row>
    <row r="3" spans="1:20">
      <c r="A3">
        <v>537</v>
      </c>
      <c r="B3" s="27" t="s">
        <v>669</v>
      </c>
      <c r="C3">
        <v>2129</v>
      </c>
      <c r="D3" t="s">
        <v>670</v>
      </c>
      <c r="E3" t="s">
        <v>53</v>
      </c>
      <c r="F3" t="s">
        <v>307</v>
      </c>
      <c r="G3" t="s">
        <v>671</v>
      </c>
      <c r="H3" s="4">
        <v>30</v>
      </c>
      <c r="I3" t="s">
        <v>672</v>
      </c>
      <c r="J3" t="s">
        <v>673</v>
      </c>
      <c r="K3" t="s">
        <v>674</v>
      </c>
      <c r="L3">
        <v>220</v>
      </c>
      <c r="M3" t="s">
        <v>675</v>
      </c>
      <c r="N3" t="s">
        <v>676</v>
      </c>
      <c r="O3" t="s">
        <v>68</v>
      </c>
      <c r="P3" t="s">
        <v>677</v>
      </c>
      <c r="Q3" t="s">
        <v>62</v>
      </c>
      <c r="R3" t="s">
        <v>678</v>
      </c>
      <c r="S3" t="s">
        <v>454</v>
      </c>
      <c r="T3" t="s">
        <v>40</v>
      </c>
    </row>
    <row r="4" spans="1:20" hidden="1">
      <c r="A4">
        <v>854</v>
      </c>
      <c r="B4" t="s">
        <v>679</v>
      </c>
      <c r="D4" t="s">
        <v>670</v>
      </c>
      <c r="E4" t="s">
        <v>53</v>
      </c>
      <c r="F4" s="26" t="s">
        <v>64</v>
      </c>
      <c r="G4" t="s">
        <v>680</v>
      </c>
      <c r="H4">
        <v>60</v>
      </c>
      <c r="I4" t="s">
        <v>672</v>
      </c>
      <c r="J4" t="s">
        <v>681</v>
      </c>
      <c r="K4" t="s">
        <v>682</v>
      </c>
      <c r="L4">
        <v>110</v>
      </c>
      <c r="M4" t="s">
        <v>683</v>
      </c>
      <c r="N4" t="s">
        <v>684</v>
      </c>
      <c r="O4" t="s">
        <v>68</v>
      </c>
      <c r="P4" t="s">
        <v>91</v>
      </c>
      <c r="Q4" t="s">
        <v>132</v>
      </c>
      <c r="R4" t="s">
        <v>40</v>
      </c>
      <c r="S4" t="s">
        <v>40</v>
      </c>
      <c r="T4" t="s">
        <v>40</v>
      </c>
    </row>
    <row r="5" spans="1:20" hidden="1">
      <c r="A5">
        <v>888</v>
      </c>
      <c r="B5" t="s">
        <v>685</v>
      </c>
      <c r="C5">
        <v>2597</v>
      </c>
      <c r="D5" t="s">
        <v>686</v>
      </c>
      <c r="E5" t="s">
        <v>53</v>
      </c>
      <c r="F5" s="26" t="s">
        <v>43</v>
      </c>
      <c r="G5" t="s">
        <v>687</v>
      </c>
      <c r="H5">
        <v>25</v>
      </c>
      <c r="I5" t="s">
        <v>672</v>
      </c>
      <c r="J5" t="s">
        <v>688</v>
      </c>
      <c r="K5" t="s">
        <v>689</v>
      </c>
      <c r="L5">
        <v>110</v>
      </c>
      <c r="M5" t="s">
        <v>690</v>
      </c>
      <c r="N5" t="s">
        <v>691</v>
      </c>
      <c r="O5" t="s">
        <v>68</v>
      </c>
      <c r="P5" t="s">
        <v>191</v>
      </c>
      <c r="Q5" t="s">
        <v>132</v>
      </c>
      <c r="R5" t="s">
        <v>692</v>
      </c>
      <c r="S5" t="s">
        <v>693</v>
      </c>
      <c r="T5" t="s">
        <v>40</v>
      </c>
    </row>
    <row r="6" spans="1:20" hidden="1">
      <c r="A6">
        <v>1009</v>
      </c>
      <c r="B6" t="s">
        <v>694</v>
      </c>
      <c r="C6">
        <v>2801</v>
      </c>
      <c r="D6" t="s">
        <v>686</v>
      </c>
      <c r="E6" t="s">
        <v>53</v>
      </c>
      <c r="F6" s="26" t="s">
        <v>64</v>
      </c>
      <c r="G6" t="s">
        <v>695</v>
      </c>
      <c r="H6">
        <v>40</v>
      </c>
      <c r="I6" t="s">
        <v>672</v>
      </c>
      <c r="J6" t="s">
        <v>326</v>
      </c>
      <c r="K6" t="s">
        <v>696</v>
      </c>
      <c r="L6">
        <v>220</v>
      </c>
      <c r="M6" t="s">
        <v>697</v>
      </c>
      <c r="N6" t="s">
        <v>698</v>
      </c>
      <c r="O6" t="s">
        <v>68</v>
      </c>
      <c r="P6" t="s">
        <v>699</v>
      </c>
      <c r="Q6" t="s">
        <v>132</v>
      </c>
      <c r="R6" t="s">
        <v>40</v>
      </c>
      <c r="S6" t="s">
        <v>40</v>
      </c>
      <c r="T6" t="s">
        <v>40</v>
      </c>
    </row>
    <row r="7" spans="1:20" hidden="1">
      <c r="A7">
        <v>1043</v>
      </c>
      <c r="B7" t="s">
        <v>700</v>
      </c>
      <c r="C7">
        <v>3000</v>
      </c>
      <c r="D7" t="s">
        <v>686</v>
      </c>
      <c r="E7" t="s">
        <v>28</v>
      </c>
      <c r="F7" s="26" t="s">
        <v>64</v>
      </c>
      <c r="G7" t="s">
        <v>701</v>
      </c>
      <c r="H7">
        <v>40</v>
      </c>
      <c r="I7" t="s">
        <v>672</v>
      </c>
      <c r="J7" t="s">
        <v>702</v>
      </c>
      <c r="K7" t="s">
        <v>703</v>
      </c>
      <c r="L7">
        <v>220</v>
      </c>
      <c r="M7" t="s">
        <v>704</v>
      </c>
      <c r="N7" t="s">
        <v>698</v>
      </c>
      <c r="O7" t="s">
        <v>68</v>
      </c>
      <c r="P7" t="s">
        <v>677</v>
      </c>
      <c r="Q7" t="s">
        <v>39</v>
      </c>
      <c r="R7" t="s">
        <v>705</v>
      </c>
      <c r="S7" t="s">
        <v>706</v>
      </c>
      <c r="T7" t="s">
        <v>40</v>
      </c>
    </row>
    <row r="8" spans="1:20" hidden="1">
      <c r="A8">
        <v>1049</v>
      </c>
      <c r="B8" t="s">
        <v>707</v>
      </c>
      <c r="D8" t="s">
        <v>708</v>
      </c>
      <c r="E8" t="s">
        <v>53</v>
      </c>
      <c r="F8" s="26" t="s">
        <v>43</v>
      </c>
      <c r="G8" t="s">
        <v>709</v>
      </c>
      <c r="H8">
        <v>30</v>
      </c>
      <c r="I8" t="s">
        <v>672</v>
      </c>
      <c r="J8" t="s">
        <v>710</v>
      </c>
      <c r="K8" t="s">
        <v>711</v>
      </c>
      <c r="L8">
        <v>110</v>
      </c>
      <c r="M8" t="s">
        <v>712</v>
      </c>
      <c r="N8" t="s">
        <v>713</v>
      </c>
      <c r="O8" t="s">
        <v>68</v>
      </c>
      <c r="P8" t="s">
        <v>699</v>
      </c>
      <c r="Q8" t="s">
        <v>132</v>
      </c>
      <c r="R8" t="s">
        <v>40</v>
      </c>
      <c r="S8" t="s">
        <v>40</v>
      </c>
      <c r="T8" t="s">
        <v>40</v>
      </c>
    </row>
    <row r="9" spans="1:20" hidden="1">
      <c r="A9">
        <v>1094</v>
      </c>
      <c r="B9" t="s">
        <v>714</v>
      </c>
      <c r="C9">
        <v>3156</v>
      </c>
      <c r="D9" t="s">
        <v>715</v>
      </c>
      <c r="E9" t="s">
        <v>28</v>
      </c>
      <c r="F9" s="26" t="s">
        <v>64</v>
      </c>
      <c r="G9" t="s">
        <v>716</v>
      </c>
      <c r="H9">
        <v>20</v>
      </c>
      <c r="I9" t="s">
        <v>672</v>
      </c>
      <c r="J9" t="s">
        <v>717</v>
      </c>
      <c r="K9" t="s">
        <v>718</v>
      </c>
      <c r="L9">
        <v>23</v>
      </c>
      <c r="M9" t="s">
        <v>719</v>
      </c>
      <c r="N9" t="s">
        <v>720</v>
      </c>
      <c r="O9" t="s">
        <v>68</v>
      </c>
      <c r="P9" t="s">
        <v>677</v>
      </c>
      <c r="Q9" t="s">
        <v>39</v>
      </c>
      <c r="R9" t="s">
        <v>40</v>
      </c>
      <c r="S9" t="s">
        <v>40</v>
      </c>
      <c r="T9" t="s">
        <v>40</v>
      </c>
    </row>
    <row r="10" spans="1:20" hidden="1">
      <c r="A10">
        <v>1127</v>
      </c>
      <c r="B10" t="s">
        <v>721</v>
      </c>
      <c r="C10">
        <v>3384</v>
      </c>
      <c r="D10" t="s">
        <v>722</v>
      </c>
      <c r="E10" t="s">
        <v>53</v>
      </c>
      <c r="F10" s="26" t="s">
        <v>64</v>
      </c>
      <c r="G10" t="s">
        <v>723</v>
      </c>
      <c r="H10">
        <v>10</v>
      </c>
      <c r="I10" t="s">
        <v>672</v>
      </c>
      <c r="J10" t="s">
        <v>724</v>
      </c>
      <c r="K10" t="s">
        <v>725</v>
      </c>
      <c r="L10">
        <v>12</v>
      </c>
      <c r="M10" t="s">
        <v>726</v>
      </c>
      <c r="N10" t="s">
        <v>727</v>
      </c>
      <c r="O10" t="s">
        <v>68</v>
      </c>
      <c r="P10" t="s">
        <v>728</v>
      </c>
      <c r="Q10" t="s">
        <v>132</v>
      </c>
      <c r="R10" t="s">
        <v>40</v>
      </c>
      <c r="S10" t="s">
        <v>40</v>
      </c>
      <c r="T10" t="s">
        <v>40</v>
      </c>
    </row>
    <row r="11" spans="1:20" hidden="1">
      <c r="A11">
        <v>1130</v>
      </c>
      <c r="B11" t="s">
        <v>729</v>
      </c>
      <c r="C11">
        <v>3391</v>
      </c>
      <c r="D11" t="s">
        <v>722</v>
      </c>
      <c r="E11" t="s">
        <v>53</v>
      </c>
      <c r="F11" s="26" t="s">
        <v>64</v>
      </c>
      <c r="G11" t="s">
        <v>730</v>
      </c>
      <c r="H11">
        <v>60</v>
      </c>
      <c r="I11" t="s">
        <v>672</v>
      </c>
      <c r="J11" t="s">
        <v>731</v>
      </c>
      <c r="K11" t="s">
        <v>732</v>
      </c>
      <c r="L11">
        <v>110</v>
      </c>
      <c r="M11" t="s">
        <v>733</v>
      </c>
      <c r="N11" t="s">
        <v>734</v>
      </c>
      <c r="O11" t="s">
        <v>68</v>
      </c>
      <c r="P11" t="s">
        <v>728</v>
      </c>
      <c r="Q11" t="s">
        <v>132</v>
      </c>
      <c r="R11" t="s">
        <v>735</v>
      </c>
      <c r="S11" t="s">
        <v>205</v>
      </c>
      <c r="T11" t="s">
        <v>40</v>
      </c>
    </row>
    <row r="12" spans="1:20" hidden="1">
      <c r="A12">
        <v>1135</v>
      </c>
      <c r="B12" t="s">
        <v>736</v>
      </c>
      <c r="C12">
        <v>3409</v>
      </c>
      <c r="D12" t="s">
        <v>737</v>
      </c>
      <c r="E12" t="s">
        <v>53</v>
      </c>
      <c r="F12" s="26" t="s">
        <v>64</v>
      </c>
      <c r="G12" t="s">
        <v>738</v>
      </c>
      <c r="H12">
        <v>50</v>
      </c>
      <c r="I12" t="s">
        <v>672</v>
      </c>
      <c r="J12" t="s">
        <v>739</v>
      </c>
      <c r="K12" t="s">
        <v>740</v>
      </c>
      <c r="L12">
        <v>110</v>
      </c>
      <c r="M12" t="s">
        <v>67</v>
      </c>
      <c r="N12" t="s">
        <v>741</v>
      </c>
      <c r="O12" t="s">
        <v>68</v>
      </c>
      <c r="P12" t="s">
        <v>742</v>
      </c>
      <c r="Q12" t="s">
        <v>132</v>
      </c>
      <c r="R12" t="s">
        <v>40</v>
      </c>
      <c r="S12" t="s">
        <v>40</v>
      </c>
      <c r="T12" t="s">
        <v>40</v>
      </c>
    </row>
    <row r="13" spans="1:20" hidden="1">
      <c r="A13">
        <v>1182</v>
      </c>
      <c r="B13" t="s">
        <v>743</v>
      </c>
      <c r="C13">
        <v>3491</v>
      </c>
      <c r="D13" t="s">
        <v>737</v>
      </c>
      <c r="E13" t="s">
        <v>53</v>
      </c>
      <c r="F13" s="26" t="s">
        <v>64</v>
      </c>
      <c r="G13" t="s">
        <v>744</v>
      </c>
      <c r="H13">
        <v>60</v>
      </c>
      <c r="I13" t="s">
        <v>672</v>
      </c>
      <c r="J13" t="s">
        <v>745</v>
      </c>
      <c r="K13" t="s">
        <v>746</v>
      </c>
      <c r="L13">
        <v>110</v>
      </c>
      <c r="M13" t="s">
        <v>67</v>
      </c>
      <c r="N13" t="s">
        <v>747</v>
      </c>
      <c r="O13" t="s">
        <v>68</v>
      </c>
      <c r="P13" t="s">
        <v>742</v>
      </c>
      <c r="Q13" t="s">
        <v>132</v>
      </c>
      <c r="R13" t="s">
        <v>40</v>
      </c>
      <c r="S13" t="s">
        <v>40</v>
      </c>
      <c r="T13" t="s">
        <v>40</v>
      </c>
    </row>
    <row r="14" spans="1:20">
      <c r="A14">
        <v>1286</v>
      </c>
      <c r="B14" t="s">
        <v>748</v>
      </c>
      <c r="C14">
        <v>3685</v>
      </c>
      <c r="D14" t="s">
        <v>722</v>
      </c>
      <c r="E14" t="s">
        <v>53</v>
      </c>
      <c r="F14" t="s">
        <v>141</v>
      </c>
      <c r="G14" t="s">
        <v>749</v>
      </c>
      <c r="H14" s="4">
        <v>10</v>
      </c>
      <c r="I14" t="s">
        <v>672</v>
      </c>
      <c r="J14" t="s">
        <v>326</v>
      </c>
      <c r="K14" t="s">
        <v>725</v>
      </c>
      <c r="L14">
        <v>12</v>
      </c>
      <c r="M14" t="s">
        <v>750</v>
      </c>
      <c r="N14" t="s">
        <v>751</v>
      </c>
      <c r="O14" t="s">
        <v>68</v>
      </c>
      <c r="P14" t="s">
        <v>728</v>
      </c>
      <c r="Q14" t="s">
        <v>132</v>
      </c>
      <c r="R14" t="s">
        <v>752</v>
      </c>
      <c r="S14" t="s">
        <v>415</v>
      </c>
      <c r="T14" t="s">
        <v>753</v>
      </c>
    </row>
    <row r="15" spans="1:20">
      <c r="A15">
        <v>1516</v>
      </c>
      <c r="B15" t="s">
        <v>694</v>
      </c>
      <c r="C15">
        <v>4167</v>
      </c>
      <c r="D15" t="s">
        <v>686</v>
      </c>
      <c r="E15" t="s">
        <v>53</v>
      </c>
      <c r="F15" t="s">
        <v>175</v>
      </c>
      <c r="G15" t="s">
        <v>754</v>
      </c>
      <c r="H15" s="4">
        <v>50</v>
      </c>
      <c r="I15" t="s">
        <v>672</v>
      </c>
      <c r="J15" t="s">
        <v>755</v>
      </c>
      <c r="K15" t="s">
        <v>696</v>
      </c>
      <c r="L15">
        <v>220</v>
      </c>
      <c r="M15" t="s">
        <v>756</v>
      </c>
      <c r="N15" t="s">
        <v>757</v>
      </c>
      <c r="O15" t="s">
        <v>68</v>
      </c>
      <c r="P15" t="s">
        <v>699</v>
      </c>
      <c r="Q15" t="s">
        <v>132</v>
      </c>
      <c r="R15" t="s">
        <v>40</v>
      </c>
      <c r="S15" t="s">
        <v>40</v>
      </c>
      <c r="T15" t="s">
        <v>40</v>
      </c>
    </row>
    <row r="16" spans="1:20">
      <c r="A16">
        <v>2010</v>
      </c>
      <c r="B16" s="27" t="s">
        <v>758</v>
      </c>
      <c r="C16">
        <v>4948</v>
      </c>
      <c r="D16" t="s">
        <v>759</v>
      </c>
      <c r="E16" t="s">
        <v>53</v>
      </c>
      <c r="F16" t="s">
        <v>760</v>
      </c>
      <c r="G16" t="s">
        <v>761</v>
      </c>
      <c r="H16" s="4">
        <v>50</v>
      </c>
      <c r="I16" t="s">
        <v>672</v>
      </c>
      <c r="J16" t="s">
        <v>762</v>
      </c>
      <c r="K16" t="s">
        <v>763</v>
      </c>
      <c r="L16">
        <v>110</v>
      </c>
      <c r="M16" t="s">
        <v>764</v>
      </c>
      <c r="N16" t="s">
        <v>765</v>
      </c>
      <c r="O16" t="s">
        <v>78</v>
      </c>
      <c r="P16" t="s">
        <v>278</v>
      </c>
      <c r="Q16" t="s">
        <v>132</v>
      </c>
      <c r="R16" t="s">
        <v>40</v>
      </c>
      <c r="S16" t="s">
        <v>40</v>
      </c>
      <c r="T16" t="s">
        <v>40</v>
      </c>
    </row>
    <row r="17" spans="1:20">
      <c r="A17">
        <v>2044</v>
      </c>
      <c r="B17" t="s">
        <v>766</v>
      </c>
      <c r="C17">
        <v>5044</v>
      </c>
      <c r="D17" t="s">
        <v>686</v>
      </c>
      <c r="E17" t="s">
        <v>53</v>
      </c>
      <c r="F17" t="s">
        <v>141</v>
      </c>
      <c r="G17" t="s">
        <v>767</v>
      </c>
      <c r="H17" s="4">
        <v>50</v>
      </c>
      <c r="I17" t="s">
        <v>672</v>
      </c>
      <c r="J17" t="s">
        <v>768</v>
      </c>
      <c r="K17" t="s">
        <v>696</v>
      </c>
      <c r="L17">
        <v>220</v>
      </c>
      <c r="M17" t="s">
        <v>340</v>
      </c>
      <c r="N17" t="s">
        <v>452</v>
      </c>
      <c r="O17" t="s">
        <v>68</v>
      </c>
      <c r="P17" t="s">
        <v>699</v>
      </c>
      <c r="Q17" t="s">
        <v>132</v>
      </c>
      <c r="R17" t="s">
        <v>769</v>
      </c>
      <c r="S17" t="s">
        <v>770</v>
      </c>
      <c r="T17" t="s">
        <v>40</v>
      </c>
    </row>
    <row r="18" spans="1:20">
      <c r="A18">
        <v>2179</v>
      </c>
      <c r="B18" t="s">
        <v>771</v>
      </c>
      <c r="C18">
        <v>5260</v>
      </c>
      <c r="D18" t="s">
        <v>772</v>
      </c>
      <c r="E18" t="s">
        <v>53</v>
      </c>
      <c r="F18" t="s">
        <v>141</v>
      </c>
      <c r="G18" t="s">
        <v>773</v>
      </c>
      <c r="H18" s="4">
        <v>450</v>
      </c>
      <c r="I18" t="s">
        <v>672</v>
      </c>
      <c r="J18" t="s">
        <v>774</v>
      </c>
      <c r="K18" t="s">
        <v>775</v>
      </c>
      <c r="L18">
        <v>500</v>
      </c>
      <c r="M18" t="s">
        <v>776</v>
      </c>
      <c r="N18" t="s">
        <v>777</v>
      </c>
      <c r="O18" t="s">
        <v>68</v>
      </c>
      <c r="P18" t="s">
        <v>159</v>
      </c>
      <c r="Q18" t="s">
        <v>62</v>
      </c>
      <c r="R18" t="s">
        <v>778</v>
      </c>
      <c r="S18" t="s">
        <v>779</v>
      </c>
      <c r="T18" t="s">
        <v>40</v>
      </c>
    </row>
    <row r="19" spans="1:20">
      <c r="A19">
        <v>2325</v>
      </c>
      <c r="B19" t="s">
        <v>780</v>
      </c>
      <c r="C19">
        <v>5433</v>
      </c>
      <c r="D19" t="s">
        <v>686</v>
      </c>
      <c r="E19" t="s">
        <v>53</v>
      </c>
      <c r="F19" t="s">
        <v>127</v>
      </c>
      <c r="G19" t="s">
        <v>781</v>
      </c>
      <c r="H19" s="4">
        <v>25</v>
      </c>
      <c r="I19" t="s">
        <v>672</v>
      </c>
      <c r="J19" t="s">
        <v>782</v>
      </c>
      <c r="K19" t="s">
        <v>783</v>
      </c>
      <c r="L19">
        <v>110</v>
      </c>
      <c r="M19" t="s">
        <v>784</v>
      </c>
      <c r="N19" t="s">
        <v>691</v>
      </c>
      <c r="O19" t="s">
        <v>68</v>
      </c>
      <c r="P19" t="s">
        <v>191</v>
      </c>
      <c r="Q19" t="s">
        <v>132</v>
      </c>
      <c r="R19" t="s">
        <v>40</v>
      </c>
      <c r="S19" t="s">
        <v>40</v>
      </c>
      <c r="T19" t="s">
        <v>40</v>
      </c>
    </row>
    <row r="20" spans="1:20">
      <c r="A20">
        <v>2377</v>
      </c>
      <c r="B20" t="s">
        <v>785</v>
      </c>
      <c r="C20">
        <v>5497</v>
      </c>
      <c r="D20" t="s">
        <v>786</v>
      </c>
      <c r="E20" t="s">
        <v>53</v>
      </c>
      <c r="F20" t="s">
        <v>54</v>
      </c>
      <c r="G20" t="s">
        <v>787</v>
      </c>
      <c r="H20" s="4">
        <v>200</v>
      </c>
      <c r="I20" t="s">
        <v>672</v>
      </c>
      <c r="J20" t="s">
        <v>788</v>
      </c>
      <c r="K20" t="s">
        <v>789</v>
      </c>
      <c r="L20">
        <v>220</v>
      </c>
      <c r="M20" t="s">
        <v>790</v>
      </c>
      <c r="N20" t="s">
        <v>791</v>
      </c>
      <c r="O20" t="s">
        <v>78</v>
      </c>
      <c r="P20" t="s">
        <v>278</v>
      </c>
      <c r="Q20" t="s">
        <v>62</v>
      </c>
      <c r="R20" t="s">
        <v>40</v>
      </c>
      <c r="S20" t="s">
        <v>40</v>
      </c>
      <c r="T20" t="s">
        <v>40</v>
      </c>
    </row>
    <row r="21" spans="1:20">
      <c r="A21">
        <v>2378</v>
      </c>
      <c r="B21" t="s">
        <v>792</v>
      </c>
      <c r="C21">
        <v>5498</v>
      </c>
      <c r="D21" t="s">
        <v>786</v>
      </c>
      <c r="E21" t="s">
        <v>53</v>
      </c>
      <c r="F21" t="s">
        <v>54</v>
      </c>
      <c r="G21" t="s">
        <v>793</v>
      </c>
      <c r="H21" s="4">
        <v>100</v>
      </c>
      <c r="I21" t="s">
        <v>672</v>
      </c>
      <c r="J21" t="s">
        <v>788</v>
      </c>
      <c r="K21" t="s">
        <v>789</v>
      </c>
      <c r="L21">
        <v>220</v>
      </c>
      <c r="M21" t="s">
        <v>790</v>
      </c>
      <c r="N21" t="s">
        <v>794</v>
      </c>
      <c r="O21" t="s">
        <v>78</v>
      </c>
      <c r="P21" t="s">
        <v>278</v>
      </c>
      <c r="Q21" t="s">
        <v>62</v>
      </c>
      <c r="R21" t="s">
        <v>40</v>
      </c>
      <c r="S21" t="s">
        <v>40</v>
      </c>
      <c r="T21" t="s">
        <v>40</v>
      </c>
    </row>
    <row r="22" spans="1:20">
      <c r="A22">
        <v>2443</v>
      </c>
      <c r="B22" t="s">
        <v>795</v>
      </c>
      <c r="C22">
        <v>5570</v>
      </c>
      <c r="D22" t="s">
        <v>786</v>
      </c>
      <c r="E22" t="s">
        <v>53</v>
      </c>
      <c r="F22" t="s">
        <v>796</v>
      </c>
      <c r="G22" t="s">
        <v>797</v>
      </c>
      <c r="H22" s="4">
        <v>200</v>
      </c>
      <c r="I22" t="s">
        <v>672</v>
      </c>
      <c r="J22" t="s">
        <v>788</v>
      </c>
      <c r="K22" t="s">
        <v>798</v>
      </c>
      <c r="L22">
        <v>220</v>
      </c>
      <c r="M22" t="s">
        <v>799</v>
      </c>
      <c r="N22" t="s">
        <v>757</v>
      </c>
      <c r="O22" t="s">
        <v>68</v>
      </c>
      <c r="P22" t="s">
        <v>159</v>
      </c>
      <c r="Q22" t="s">
        <v>62</v>
      </c>
      <c r="R22" t="s">
        <v>40</v>
      </c>
      <c r="S22" t="s">
        <v>40</v>
      </c>
      <c r="T22" t="s">
        <v>40</v>
      </c>
    </row>
    <row r="23" spans="1:20">
      <c r="A23">
        <v>2515</v>
      </c>
      <c r="B23" t="s">
        <v>800</v>
      </c>
      <c r="C23">
        <v>5768</v>
      </c>
      <c r="D23" t="s">
        <v>801</v>
      </c>
      <c r="E23" t="s">
        <v>53</v>
      </c>
      <c r="F23" t="s">
        <v>188</v>
      </c>
      <c r="G23" t="s">
        <v>802</v>
      </c>
      <c r="H23" s="4">
        <v>0</v>
      </c>
      <c r="I23" t="s">
        <v>672</v>
      </c>
      <c r="J23" t="s">
        <v>803</v>
      </c>
      <c r="K23" t="s">
        <v>804</v>
      </c>
      <c r="L23">
        <v>220</v>
      </c>
      <c r="M23" t="s">
        <v>805</v>
      </c>
      <c r="N23" t="s">
        <v>806</v>
      </c>
      <c r="O23" t="s">
        <v>68</v>
      </c>
      <c r="P23" t="s">
        <v>677</v>
      </c>
      <c r="Q23" t="s">
        <v>62</v>
      </c>
      <c r="R23" t="s">
        <v>40</v>
      </c>
      <c r="S23" t="s">
        <v>40</v>
      </c>
      <c r="T23" t="s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1ACB-1CA4-4BFD-8E47-2B8858A54AE2}">
  <dimension ref="A1:AR51"/>
  <sheetViews>
    <sheetView tabSelected="1" zoomScale="85" zoomScaleNormal="85" workbookViewId="0">
      <selection activeCell="F14" sqref="F14"/>
    </sheetView>
  </sheetViews>
  <sheetFormatPr defaultColWidth="11.42578125" defaultRowHeight="15" customHeight="1"/>
  <cols>
    <col min="1" max="1" width="51.28515625" customWidth="1"/>
    <col min="2" max="2" width="14" customWidth="1"/>
    <col min="3" max="3" width="12.85546875" bestFit="1" customWidth="1"/>
    <col min="4" max="4" width="14.140625" customWidth="1"/>
    <col min="5" max="5" width="33.140625" customWidth="1"/>
    <col min="6" max="6" width="18.42578125" bestFit="1" customWidth="1"/>
    <col min="7" max="7" width="11.140625" customWidth="1"/>
    <col min="8" max="8" width="14" customWidth="1"/>
    <col min="9" max="9" width="18.42578125" customWidth="1"/>
    <col min="10" max="10" width="24.42578125" customWidth="1"/>
    <col min="11" max="11" width="22.140625" style="47" customWidth="1"/>
    <col min="12" max="12" width="21.85546875" style="47" customWidth="1"/>
    <col min="13" max="13" width="16" style="47" customWidth="1"/>
    <col min="14" max="14" width="21" style="47" customWidth="1"/>
    <col min="15" max="16" width="16.85546875" style="47" customWidth="1"/>
    <col min="17" max="17" width="21.7109375" bestFit="1" customWidth="1"/>
    <col min="18" max="18" width="22.85546875" bestFit="1" customWidth="1"/>
    <col min="19" max="19" width="20.28515625" customWidth="1"/>
    <col min="20" max="20" width="15.42578125" style="47" customWidth="1"/>
    <col min="21" max="23" width="20" customWidth="1"/>
    <col min="24" max="24" width="26.42578125" customWidth="1"/>
    <col min="25" max="25" width="20" customWidth="1"/>
    <col min="26" max="27" width="25.140625" customWidth="1"/>
    <col min="28" max="28" width="23" customWidth="1"/>
    <col min="29" max="29" width="23.140625" customWidth="1"/>
    <col min="30" max="31" width="19.42578125" customWidth="1"/>
    <col min="32" max="38" width="17.7109375" customWidth="1"/>
    <col min="39" max="39" width="19.5703125" bestFit="1" customWidth="1"/>
    <col min="40" max="40" width="18.7109375" bestFit="1" customWidth="1"/>
    <col min="41" max="41" width="20.7109375" bestFit="1" customWidth="1"/>
    <col min="42" max="42" width="22" bestFit="1" customWidth="1"/>
    <col min="43" max="43" width="13.5703125" customWidth="1"/>
    <col min="44" max="44" width="15.28515625" bestFit="1" customWidth="1"/>
  </cols>
  <sheetData>
    <row r="1" spans="1:44" ht="14.45">
      <c r="Z1" s="95" t="s">
        <v>807</v>
      </c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32"/>
      <c r="AM1" s="32"/>
    </row>
    <row r="2" spans="1:44" ht="14.45">
      <c r="K2" s="47" t="s">
        <v>808</v>
      </c>
      <c r="M2" s="47" t="s">
        <v>809</v>
      </c>
      <c r="P2" s="47" t="s">
        <v>810</v>
      </c>
      <c r="W2" t="s">
        <v>811</v>
      </c>
      <c r="X2" t="s">
        <v>812</v>
      </c>
      <c r="Z2" s="27"/>
      <c r="AA2" s="51"/>
      <c r="AB2" s="52"/>
      <c r="AC2" s="53"/>
      <c r="AD2" s="26"/>
      <c r="AE2" s="54"/>
      <c r="AF2" s="27"/>
      <c r="AG2" s="51"/>
      <c r="AH2" s="52"/>
      <c r="AI2" s="53"/>
      <c r="AJ2" s="26"/>
      <c r="AK2" s="54"/>
    </row>
    <row r="3" spans="1:44" ht="14.45">
      <c r="A3" s="32" t="s">
        <v>813</v>
      </c>
      <c r="B3" s="32" t="s">
        <v>814</v>
      </c>
      <c r="C3" s="32" t="s">
        <v>20</v>
      </c>
      <c r="D3" s="32" t="s">
        <v>21</v>
      </c>
      <c r="E3" s="32" t="s">
        <v>815</v>
      </c>
      <c r="F3" s="32" t="s">
        <v>816</v>
      </c>
      <c r="G3" s="32" t="s">
        <v>817</v>
      </c>
      <c r="H3" s="32" t="s">
        <v>818</v>
      </c>
      <c r="I3" s="32" t="s">
        <v>819</v>
      </c>
      <c r="J3" s="32" t="s">
        <v>820</v>
      </c>
      <c r="K3" s="46" t="s">
        <v>821</v>
      </c>
      <c r="L3" s="46" t="s">
        <v>822</v>
      </c>
      <c r="M3" s="46" t="s">
        <v>823</v>
      </c>
      <c r="N3" s="46" t="s">
        <v>824</v>
      </c>
      <c r="O3" s="46" t="s">
        <v>825</v>
      </c>
      <c r="P3" s="79" t="s">
        <v>826</v>
      </c>
      <c r="Q3" s="46" t="s">
        <v>827</v>
      </c>
      <c r="R3" s="46" t="s">
        <v>828</v>
      </c>
      <c r="S3" s="79" t="s">
        <v>829</v>
      </c>
      <c r="T3" s="46" t="s">
        <v>830</v>
      </c>
      <c r="U3" s="46" t="s">
        <v>831</v>
      </c>
      <c r="V3" s="46" t="s">
        <v>832</v>
      </c>
      <c r="W3" s="79" t="s">
        <v>833</v>
      </c>
      <c r="X3" s="79" t="s">
        <v>834</v>
      </c>
      <c r="Y3" s="79" t="s">
        <v>835</v>
      </c>
      <c r="Z3" s="46" t="s">
        <v>836</v>
      </c>
      <c r="AA3" s="46" t="s">
        <v>837</v>
      </c>
      <c r="AB3" s="46" t="s">
        <v>838</v>
      </c>
      <c r="AC3" s="46" t="s">
        <v>839</v>
      </c>
      <c r="AD3" s="46" t="s">
        <v>840</v>
      </c>
      <c r="AE3" s="46" t="s">
        <v>841</v>
      </c>
      <c r="AF3" s="32" t="s">
        <v>842</v>
      </c>
      <c r="AG3" s="32" t="s">
        <v>843</v>
      </c>
      <c r="AH3" s="32" t="s">
        <v>844</v>
      </c>
      <c r="AI3" s="32" t="s">
        <v>845</v>
      </c>
      <c r="AJ3" s="32" t="s">
        <v>846</v>
      </c>
      <c r="AK3" s="32" t="s">
        <v>847</v>
      </c>
      <c r="AL3" s="32" t="s">
        <v>848</v>
      </c>
      <c r="AM3" s="32" t="s">
        <v>849</v>
      </c>
      <c r="AN3" s="32" t="s">
        <v>850</v>
      </c>
      <c r="AO3" s="32" t="s">
        <v>851</v>
      </c>
      <c r="AP3" s="37" t="s">
        <v>852</v>
      </c>
      <c r="AQ3" s="37" t="s">
        <v>853</v>
      </c>
      <c r="AR3" s="37" t="s">
        <v>854</v>
      </c>
    </row>
    <row r="4" spans="1:44" ht="14.45">
      <c r="A4" t="s">
        <v>855</v>
      </c>
      <c r="B4" s="90" t="s">
        <v>856</v>
      </c>
      <c r="C4" t="s">
        <v>857</v>
      </c>
      <c r="D4" t="s">
        <v>184</v>
      </c>
      <c r="E4" t="s">
        <v>858</v>
      </c>
      <c r="F4" s="94">
        <v>0</v>
      </c>
      <c r="G4" s="81" t="s">
        <v>859</v>
      </c>
      <c r="H4" s="29">
        <f ca="1">+(Tabla35[[#This Row],[Fecha Calificación]]-TODAY())*-1</f>
        <v>31</v>
      </c>
      <c r="I4" s="25">
        <v>46265</v>
      </c>
      <c r="J4" s="83" t="s">
        <v>858</v>
      </c>
      <c r="K4" s="47">
        <v>44</v>
      </c>
      <c r="L4" s="50">
        <v>2200</v>
      </c>
      <c r="M4" s="47">
        <f>Tabla35[[#This Row],[P Generada (KW)]]*Tabla35[[#This Row],[GE Salas (Principal)]]</f>
        <v>96800</v>
      </c>
      <c r="N4" s="47">
        <v>2</v>
      </c>
      <c r="O4" s="50">
        <v>2200</v>
      </c>
      <c r="P4" s="93">
        <f>Tabla35[[#This Row],[P Generada (KW)2]]*Tabla35[[#This Row],[GE Oficinas (Respaldo)]]</f>
        <v>4400</v>
      </c>
      <c r="Q4" s="60">
        <v>900450</v>
      </c>
      <c r="R4" s="60">
        <v>756000</v>
      </c>
      <c r="S4" s="56">
        <f>+Tabla35[[#This Row],[Cantidad Diesel /kg]]/Tabla35[[#This Row],[Cantidad Diesel /L]]</f>
        <v>0.83958020989505244</v>
      </c>
      <c r="T4" s="92"/>
      <c r="U4" s="46">
        <v>120</v>
      </c>
      <c r="V4" s="47">
        <v>1600</v>
      </c>
      <c r="W4" s="79">
        <f>Tabla35[[#This Row],[Consumo (KW)3]]*Tabla35[[#This Row],[Cantidad Chillers]]</f>
        <v>192000</v>
      </c>
      <c r="X4" s="79">
        <f>Tabla35[[#This Row],[Total consumo Chillers KW]]+Tabla35[[#This Row],[Total Generado KW2]]+Tabla35[[#This Row],[Total Generado KW]]</f>
        <v>293200</v>
      </c>
      <c r="Y4" s="79">
        <f>Tabla35[[#This Row],[Total Generado KW]]/1.5</f>
        <v>64533.333333333336</v>
      </c>
      <c r="Z4" s="46">
        <f>+Tabla35[[#This Row],[MO Contrucción Promedio]]/Tabla35[[#This Row],[Total Generado KW]]</f>
        <v>0</v>
      </c>
      <c r="AA4" s="46"/>
      <c r="AB4" s="46"/>
      <c r="AC4" s="46"/>
      <c r="AD4" s="46"/>
      <c r="AE4" s="46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7"/>
      <c r="AQ4" s="37"/>
      <c r="AR4" s="37"/>
    </row>
    <row r="5" spans="1:44" ht="14.45">
      <c r="A5" t="s">
        <v>860</v>
      </c>
      <c r="B5" s="90" t="s">
        <v>856</v>
      </c>
      <c r="C5" t="s">
        <v>278</v>
      </c>
      <c r="D5" t="s">
        <v>79</v>
      </c>
      <c r="E5" t="s">
        <v>861</v>
      </c>
      <c r="F5" s="82">
        <v>262</v>
      </c>
      <c r="G5" s="81" t="s">
        <v>859</v>
      </c>
      <c r="H5" s="29">
        <f ca="1">+(Tabla35[[#This Row],[Fecha Calificación]]-TODAY())*-1</f>
        <v>3</v>
      </c>
      <c r="I5" s="25">
        <v>46293</v>
      </c>
      <c r="J5" s="83" t="s">
        <v>862</v>
      </c>
      <c r="K5" s="47">
        <v>32</v>
      </c>
      <c r="L5" s="50">
        <v>2578</v>
      </c>
      <c r="M5" s="47">
        <f>+Tabla35[[#This Row],[P Generada (KW)]]*Tabla35[[#This Row],[GE Salas (Principal)]]</f>
        <v>82496</v>
      </c>
      <c r="N5" s="47">
        <v>2</v>
      </c>
      <c r="O5" s="47">
        <f>+Tabla35[[#This Row],[GE Oficinas (Respaldo)]]*Tabla35[[#This Row],[P Generada (KW)]]</f>
        <v>5156</v>
      </c>
      <c r="P5" s="93">
        <f>Tabla35[[#This Row],[P Generada (KW)2]]*Tabla35[[#This Row],[GE Oficinas (Respaldo)]]</f>
        <v>10312</v>
      </c>
      <c r="Q5" s="60">
        <f>+Tabla35[[#This Row],[Cantidad Diesel /kg]]/Tabla35[[#This Row],[Ratio L/kg]]</f>
        <v>990000</v>
      </c>
      <c r="R5" s="60">
        <v>841500</v>
      </c>
      <c r="S5" s="56">
        <v>0.85</v>
      </c>
      <c r="T5" s="92"/>
      <c r="U5" s="46"/>
      <c r="V5" s="46"/>
      <c r="W5" s="79">
        <f>Tabla35[[#This Row],[Consumo (KW)3]]*Tabla35[[#This Row],[Cantidad Chillers]]</f>
        <v>0</v>
      </c>
      <c r="X5" s="79">
        <f>Tabla35[[#This Row],[Total consumo Chillers KW]]+Tabla35[[#This Row],[Total Generado KW2]]+Tabla35[[#This Row],[Total Generado KW]]</f>
        <v>92808</v>
      </c>
      <c r="Y5" s="79">
        <f>Tabla35[[#This Row],[Total Generado KW]]/1.5</f>
        <v>54997.333333333336</v>
      </c>
      <c r="Z5" s="46">
        <f>+Tabla35[[#This Row],[MO Contrucción Promedio]]/Tabla35[[#This Row],[Total Generado KW]]</f>
        <v>0</v>
      </c>
      <c r="AA5" s="46"/>
      <c r="AB5" s="46"/>
      <c r="AC5" s="46"/>
      <c r="AD5" s="46"/>
      <c r="AE5" s="46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7"/>
      <c r="AQ5" s="37"/>
      <c r="AR5" s="37"/>
    </row>
    <row r="6" spans="1:44" ht="14.45">
      <c r="A6" t="s">
        <v>863</v>
      </c>
      <c r="B6" s="90" t="s">
        <v>856</v>
      </c>
      <c r="C6" t="s">
        <v>857</v>
      </c>
      <c r="D6" t="s">
        <v>864</v>
      </c>
      <c r="E6" t="s">
        <v>865</v>
      </c>
      <c r="F6" s="82">
        <v>25</v>
      </c>
      <c r="G6" s="81" t="s">
        <v>859</v>
      </c>
      <c r="H6" s="29">
        <f ca="1">+(Tabla35[[#This Row],[Fecha Calificación]]-TODAY())*-1</f>
        <v>16</v>
      </c>
      <c r="I6" s="25">
        <v>46280</v>
      </c>
      <c r="J6" t="s">
        <v>866</v>
      </c>
      <c r="K6" s="47">
        <v>60</v>
      </c>
      <c r="L6" s="47">
        <v>2800</v>
      </c>
      <c r="M6" s="47">
        <f>Tabla35[[#This Row],[P Generada (KW)]]*Tabla35[[#This Row],[GE Salas (Principal)]]</f>
        <v>168000</v>
      </c>
      <c r="N6" s="92"/>
      <c r="O6" s="92"/>
      <c r="P6" s="93">
        <f>Tabla35[[#This Row],[P Generada (KW)2]]*Tabla35[[#This Row],[GE Oficinas (Respaldo)]]</f>
        <v>0</v>
      </c>
      <c r="Q6" s="46"/>
      <c r="R6" s="60" t="s">
        <v>867</v>
      </c>
      <c r="S6" s="79" t="e">
        <f>+Tabla35[[#This Row],[Cantidad Diesel /kg]]/Tabla35[[#This Row],[Cantidad Diesel /L]]</f>
        <v>#VALUE!</v>
      </c>
      <c r="T6" s="92"/>
      <c r="U6" s="46"/>
      <c r="V6" s="46"/>
      <c r="W6" s="79">
        <f>Tabla35[[#This Row],[Consumo (KW)3]]*Tabla35[[#This Row],[Cantidad Chillers]]</f>
        <v>0</v>
      </c>
      <c r="X6" s="79">
        <f>Tabla35[[#This Row],[Total consumo Chillers KW]]+Tabla35[[#This Row],[Total Generado KW2]]+Tabla35[[#This Row],[Total Generado KW]]</f>
        <v>168000</v>
      </c>
      <c r="Y6" s="79">
        <f>Tabla35[[#This Row],[Total Generado KW]]/1.5</f>
        <v>112000</v>
      </c>
      <c r="Z6" s="46">
        <f>+Tabla35[[#This Row],[MO Contrucción Promedio]]/Tabla35[[#This Row],[Total Generado KW]]</f>
        <v>0</v>
      </c>
      <c r="AA6" s="46"/>
      <c r="AB6" s="46"/>
      <c r="AC6" s="46"/>
      <c r="AD6" s="46"/>
      <c r="AE6" s="46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7"/>
      <c r="AQ6" s="37"/>
      <c r="AR6" s="37"/>
    </row>
    <row r="7" spans="1:44" ht="14.45">
      <c r="A7" t="s">
        <v>868</v>
      </c>
      <c r="B7" s="90" t="str">
        <f>HYPERLINK("https://infofirma.sea.gob.cl/DocumentosSEA/MostrarDocumento?docId=2026/09/26/40d9-b957-46d4-b27d-350f082b2f28","Ver")</f>
        <v>Ver</v>
      </c>
      <c r="C7" t="s">
        <v>857</v>
      </c>
      <c r="D7" t="s">
        <v>403</v>
      </c>
      <c r="E7" t="s">
        <v>869</v>
      </c>
      <c r="F7" s="82">
        <v>25</v>
      </c>
      <c r="G7" s="81" t="s">
        <v>859</v>
      </c>
      <c r="H7" s="29">
        <f ca="1">+(Tabla35[[#This Row],[Fecha Calificación]]-TODAY())*-1</f>
        <v>68</v>
      </c>
      <c r="I7" s="25">
        <v>46228</v>
      </c>
      <c r="J7" s="83" t="s">
        <v>869</v>
      </c>
      <c r="K7" s="47">
        <v>60</v>
      </c>
      <c r="L7" s="47">
        <v>2800</v>
      </c>
      <c r="M7" s="47">
        <f>Tabla35[[#This Row],[P Generada (KW)]]*Tabla35[[#This Row],[GE Salas (Principal)]]</f>
        <v>168000</v>
      </c>
      <c r="P7" s="47">
        <f>Tabla35[[#This Row],[P Generada (KW)2]]*Tabla35[[#This Row],[GE Oficinas (Respaldo)]]</f>
        <v>0</v>
      </c>
      <c r="Q7" s="60">
        <v>1164705</v>
      </c>
      <c r="R7" s="60">
        <v>990000</v>
      </c>
      <c r="S7" s="56">
        <f>+Tabla35[[#This Row],[Cantidad Diesel /kg]]/Tabla35[[#This Row],[Cantidad Diesel /L]]</f>
        <v>0.85000064393988173</v>
      </c>
      <c r="T7" s="47">
        <v>30</v>
      </c>
      <c r="U7" s="46"/>
      <c r="V7" s="46"/>
      <c r="W7" s="47">
        <f>Tabla35[[#This Row],[Consumo (KW)3]]*Tabla35[[#This Row],[Cantidad Chillers]]</f>
        <v>0</v>
      </c>
      <c r="X7" s="47">
        <f>Tabla35[[#This Row],[Total consumo Chillers KW]]+Tabla35[[#This Row],[Total Generado KW2]]+Tabla35[[#This Row],[Total Generado KW]]</f>
        <v>168000</v>
      </c>
      <c r="Y7" s="50">
        <f>Tabla35[[#This Row],[Total Generado KW]]/1.5</f>
        <v>112000</v>
      </c>
      <c r="Z7" s="49">
        <f>+Tabla35[[#This Row],[MO Contrucción Promedio]]/Tabla35[[#This Row],[Total Generado KW]]</f>
        <v>2.0833333333333333E-3</v>
      </c>
      <c r="AA7" s="49">
        <f>+Tabla35[[#This Row],[MO Contrucción Máximo]]/Tabla35[[#This Row],[Total Generado KW]]</f>
        <v>4.1666666666666666E-3</v>
      </c>
      <c r="AB7" s="49">
        <f>+Tabla35[[#This Row],[MO Operación Promedio]]/Tabla35[[#This Row],[Total Generado KW]]</f>
        <v>8.9285714285714283E-4</v>
      </c>
      <c r="AC7" s="49">
        <f>+Tabla35[[#This Row],[MO Operación Máximo]]/Tabla35[[#This Row],[Total Generado KW]]</f>
        <v>1.7857142857142857E-3</v>
      </c>
      <c r="AD7" s="49">
        <f>+Tabla35[[#This Row],[MO Cierre Promedio]]/Tabla35[[#This Row],[Total Generado KW]]</f>
        <v>2.0833333333333333E-3</v>
      </c>
      <c r="AE7" s="49">
        <f>+Tabla35[[#This Row],[MO Cierre Máximo]]/Tabla35[[#This Row],[Total Generado KW]]</f>
        <v>4.1666666666666666E-3</v>
      </c>
      <c r="AF7">
        <v>350</v>
      </c>
      <c r="AG7">
        <v>700</v>
      </c>
      <c r="AH7">
        <v>150</v>
      </c>
      <c r="AI7">
        <v>300</v>
      </c>
      <c r="AJ7">
        <v>350</v>
      </c>
      <c r="AK7">
        <v>700</v>
      </c>
      <c r="AL7" s="60">
        <v>-70907931</v>
      </c>
      <c r="AM7" s="91">
        <v>-33450639</v>
      </c>
      <c r="AN7" s="36">
        <v>83568</v>
      </c>
      <c r="AO7" s="36">
        <v>171373</v>
      </c>
      <c r="AP7" s="37"/>
      <c r="AQ7" s="37"/>
      <c r="AR7" s="37"/>
    </row>
    <row r="8" spans="1:44" ht="14.45">
      <c r="A8" t="s">
        <v>870</v>
      </c>
      <c r="B8" s="90" t="str">
        <f>HYPERLINK("https://infofirma.sea.gob.cl/DocumentosSEA/MostrarDocumento?docId=2026/07/30/4984-cbee-46bd-816a-cfd384a6bbbf","Ver")</f>
        <v>Ver</v>
      </c>
      <c r="C8" t="s">
        <v>278</v>
      </c>
      <c r="D8" t="s">
        <v>278</v>
      </c>
      <c r="E8" t="s">
        <v>871</v>
      </c>
      <c r="F8" s="82">
        <v>25</v>
      </c>
      <c r="G8" s="81" t="s">
        <v>859</v>
      </c>
      <c r="H8" s="29">
        <f ca="1">+(Tabla35[[#This Row],[Fecha Calificación]]-TODAY())*-1</f>
        <v>70</v>
      </c>
      <c r="I8" s="25">
        <v>46226</v>
      </c>
      <c r="J8" s="83" t="s">
        <v>872</v>
      </c>
      <c r="K8" s="47">
        <v>54</v>
      </c>
      <c r="L8" s="47">
        <v>2800</v>
      </c>
      <c r="M8" s="47">
        <f>Tabla35[[#This Row],[P Generada (KW)]]*Tabla35[[#This Row],[GE Salas (Principal)]]</f>
        <v>151200</v>
      </c>
      <c r="P8" s="47">
        <f>Tabla35[[#This Row],[P Generada (KW)2]]*Tabla35[[#This Row],[GE Oficinas (Respaldo)]]</f>
        <v>0</v>
      </c>
      <c r="Q8" s="60">
        <v>1164705</v>
      </c>
      <c r="R8" s="60">
        <v>990000</v>
      </c>
      <c r="S8" s="56">
        <f>+Tabla35[[#This Row],[Cantidad Diesel /kg]]/Tabla35[[#This Row],[Cantidad Diesel /L]]</f>
        <v>0.85000064393988173</v>
      </c>
      <c r="U8" s="46"/>
      <c r="V8" s="46"/>
      <c r="W8" s="47">
        <f>Tabla35[[#This Row],[Consumo (KW)3]]*Tabla35[[#This Row],[Cantidad Chillers]]</f>
        <v>0</v>
      </c>
      <c r="X8" s="47">
        <f>Tabla35[[#This Row],[Total consumo Chillers KW]]+Tabla35[[#This Row],[Total Generado KW2]]+Tabla35[[#This Row],[Total Generado KW]]</f>
        <v>151200</v>
      </c>
      <c r="Y8" s="50">
        <f>Tabla35[[#This Row],[Total Generado KW]]/1.5</f>
        <v>100800</v>
      </c>
      <c r="Z8" s="49">
        <f>+Tabla35[[#This Row],[MO Contrucción Promedio]]/Tabla35[[#This Row],[Total Generado KW]]</f>
        <v>0</v>
      </c>
      <c r="AA8" s="49">
        <f>+Tabla35[[#This Row],[MO Contrucción Máximo]]/Tabla35[[#This Row],[Total Generado KW]]</f>
        <v>3.1746031746031746E-3</v>
      </c>
      <c r="AB8" s="49">
        <f>+Tabla35[[#This Row],[MO Operación Promedio]]/Tabla35[[#This Row],[Total Generado KW]]</f>
        <v>0</v>
      </c>
      <c r="AC8" s="49">
        <f>+Tabla35[[#This Row],[MO Operación Máximo]]/Tabla35[[#This Row],[Total Generado KW]]</f>
        <v>1.5873015873015873E-3</v>
      </c>
      <c r="AD8" s="49">
        <f>+Tabla35[[#This Row],[MO Cierre Promedio]]/Tabla35[[#This Row],[Total Generado KW]]</f>
        <v>0</v>
      </c>
      <c r="AE8" s="49">
        <f>+Tabla35[[#This Row],[MO Cierre Máximo]]/Tabla35[[#This Row],[Total Generado KW]]</f>
        <v>0</v>
      </c>
      <c r="AG8">
        <v>480</v>
      </c>
      <c r="AI8">
        <v>240</v>
      </c>
      <c r="AL8">
        <v>-71619954514165</v>
      </c>
      <c r="AM8" s="91">
        <v>-33086077367795</v>
      </c>
      <c r="AN8" s="36">
        <v>52000</v>
      </c>
      <c r="AO8" s="36">
        <v>66649</v>
      </c>
      <c r="AP8" s="37"/>
      <c r="AQ8" s="37"/>
      <c r="AR8" s="37"/>
    </row>
    <row r="9" spans="1:44" ht="14.45">
      <c r="A9" t="s">
        <v>873</v>
      </c>
      <c r="B9" s="89" t="str">
        <f>HYPERLINK("https://infofirma.sea.gob.cl/DocumentosSEA/MostrarDocumento?docId=2026/05/05/aaf0-5d7c-4f7a-9163-f58684ca2a4a","Ver")</f>
        <v>Ver</v>
      </c>
      <c r="C9" t="s">
        <v>857</v>
      </c>
      <c r="D9" s="80" t="s">
        <v>159</v>
      </c>
      <c r="E9" t="s">
        <v>874</v>
      </c>
      <c r="F9" s="82">
        <v>25</v>
      </c>
      <c r="G9" s="81" t="s">
        <v>859</v>
      </c>
      <c r="H9" s="29">
        <f ca="1">+(Tabla35[[#This Row],[Fecha Calificación]]-TODAY())*-1</f>
        <v>149</v>
      </c>
      <c r="I9" s="25">
        <v>46147</v>
      </c>
      <c r="J9" s="83" t="s">
        <v>862</v>
      </c>
      <c r="K9" s="47">
        <v>54</v>
      </c>
      <c r="L9" s="47">
        <v>2250</v>
      </c>
      <c r="M9" s="47">
        <f>Tabla35[[#This Row],[P Generada (KW)]]*Tabla35[[#This Row],[GE Salas (Principal)]]</f>
        <v>121500</v>
      </c>
      <c r="N9" s="47">
        <v>2</v>
      </c>
      <c r="O9" s="47">
        <v>1100</v>
      </c>
      <c r="P9" s="47">
        <f>Tabla35[[#This Row],[P Generada (KW)2]]*Tabla35[[#This Row],[GE Oficinas (Respaldo)]]</f>
        <v>2200</v>
      </c>
      <c r="Q9" s="60">
        <v>1164705</v>
      </c>
      <c r="R9" s="60">
        <v>990000</v>
      </c>
      <c r="S9" s="56">
        <f>+Tabla35[[#This Row],[Cantidad Diesel /kg]]/Tabla35[[#This Row],[Cantidad Diesel /L]]</f>
        <v>0.85000064393988173</v>
      </c>
      <c r="T9" s="47" t="s">
        <v>875</v>
      </c>
      <c r="U9" s="47"/>
      <c r="V9" s="47"/>
      <c r="W9" s="47">
        <f>Tabla35[[#This Row],[Consumo (KW)3]]*Tabla35[[#This Row],[Cantidad Chillers]]</f>
        <v>0</v>
      </c>
      <c r="X9" s="47">
        <f>Tabla35[[#This Row],[Total consumo Chillers KW]]+Tabla35[[#This Row],[Total Generado KW2]]+Tabla35[[#This Row],[Total Generado KW]]</f>
        <v>123700</v>
      </c>
      <c r="Y9" s="50">
        <f>Tabla35[[#This Row],[Total Generado KW]]/1.5</f>
        <v>81000</v>
      </c>
      <c r="Z9" s="49">
        <f>+Tabla35[[#This Row],[MO Contrucción Promedio]]/Tabla35[[#This Row],[Total Generado KW]]</f>
        <v>0</v>
      </c>
      <c r="AA9" s="49">
        <f>+Tabla35[[#This Row],[MO Contrucción Máximo]]/Tabla35[[#This Row],[Total Generado KW]]</f>
        <v>3.2921810699588477E-3</v>
      </c>
      <c r="AB9" s="49">
        <f>+Tabla35[[#This Row],[MO Operación Promedio]]/Tabla35[[#This Row],[Total Generado KW]]</f>
        <v>0</v>
      </c>
      <c r="AC9" s="49">
        <f>+Tabla35[[#This Row],[MO Operación Máximo]]/Tabla35[[#This Row],[Total Generado KW]]</f>
        <v>2.5267489711934157E-3</v>
      </c>
      <c r="AD9" s="49">
        <f>+Tabla35[[#This Row],[MO Cierre Promedio]]/Tabla35[[#This Row],[Total Generado KW]]</f>
        <v>0</v>
      </c>
      <c r="AE9" s="49">
        <f>+Tabla35[[#This Row],[MO Cierre Máximo]]/Tabla35[[#This Row],[Total Generado KW]]</f>
        <v>0</v>
      </c>
      <c r="AG9">
        <v>400</v>
      </c>
      <c r="AI9">
        <v>307</v>
      </c>
      <c r="AL9">
        <v>-33.718600000000002</v>
      </c>
      <c r="AM9" s="85">
        <v>-70.691199999999995</v>
      </c>
      <c r="AN9" s="36">
        <v>32141.842000000001</v>
      </c>
      <c r="AO9" s="36">
        <v>56200</v>
      </c>
      <c r="AP9" s="37"/>
      <c r="AQ9" s="37"/>
      <c r="AR9" s="37"/>
    </row>
    <row r="10" spans="1:44" ht="14.45">
      <c r="A10" t="s">
        <v>800</v>
      </c>
      <c r="B10" s="24" t="str">
        <f>HYPERLINK("https://infofirma.sea.gob.cl/DocumentosSEA/MostrarDocumento?docId=2026/07/13/14d0-c32d-4f7a-9c8d-5ccb210b429f","Ver")</f>
        <v>Ver</v>
      </c>
      <c r="C10" t="s">
        <v>857</v>
      </c>
      <c r="D10" s="80" t="s">
        <v>677</v>
      </c>
      <c r="E10" t="s">
        <v>876</v>
      </c>
      <c r="F10" s="82">
        <v>850</v>
      </c>
      <c r="G10" s="81" t="s">
        <v>859</v>
      </c>
      <c r="H10" s="29">
        <f ca="1">+(Tabla35[[#This Row],[Fecha Calificación]]-TODAY())*-1</f>
        <v>80</v>
      </c>
      <c r="I10" s="25">
        <v>46216</v>
      </c>
      <c r="J10" s="25" t="s">
        <v>877</v>
      </c>
      <c r="K10" s="47">
        <v>45</v>
      </c>
      <c r="L10" s="47">
        <v>2500</v>
      </c>
      <c r="M10" s="47">
        <f>Tabla35[[#This Row],[P Generada (KW)]]*Tabla35[[#This Row],[GE Salas (Principal)]]</f>
        <v>112500</v>
      </c>
      <c r="N10" s="47">
        <v>1</v>
      </c>
      <c r="O10" s="47">
        <v>1020</v>
      </c>
      <c r="P10" s="47">
        <f>Tabla35[[#This Row],[P Generada (KW)2]]*Tabla35[[#This Row],[GE Oficinas (Respaldo)]]</f>
        <v>1020</v>
      </c>
      <c r="Q10" s="60">
        <v>601647</v>
      </c>
      <c r="R10" s="60">
        <v>511400</v>
      </c>
      <c r="S10" s="56">
        <f>+Tabla35[[#This Row],[Cantidad Diesel /kg]]/Tabla35[[#This Row],[Cantidad Diesel /L]]</f>
        <v>0.85000008310520958</v>
      </c>
      <c r="T10" s="47" t="s">
        <v>875</v>
      </c>
      <c r="U10" s="47">
        <v>90</v>
      </c>
      <c r="V10" s="47"/>
      <c r="W10" s="47">
        <f>Tabla35[[#This Row],[Consumo (KW)3]]*Tabla35[[#This Row],[Cantidad Chillers]]</f>
        <v>0</v>
      </c>
      <c r="X10" s="47">
        <f>Tabla35[[#This Row],[Total consumo Chillers KW]]+Tabla35[[#This Row],[Total Generado KW2]]+Tabla35[[#This Row],[Total Generado KW]]</f>
        <v>113520</v>
      </c>
      <c r="Y10" s="47">
        <f>Tabla35[[#This Row],[Total Generado KW]]/1.5</f>
        <v>75000</v>
      </c>
      <c r="Z10" s="49">
        <f>+Tabla35[[#This Row],[MO Contrucción Promedio]]/Tabla35[[#This Row],[Total Generado KW]]</f>
        <v>0</v>
      </c>
      <c r="AA10" s="49">
        <f>+Tabla35[[#This Row],[MO Contrucción Máximo]]/Tabla35[[#This Row],[Total Generado KW]]</f>
        <v>2.6666666666666666E-3</v>
      </c>
      <c r="AB10" s="49">
        <f>+Tabla35[[#This Row],[MO Operación Promedio]]/Tabla35[[#This Row],[Total Generado KW]]</f>
        <v>0</v>
      </c>
      <c r="AC10" s="49">
        <f>+Tabla35[[#This Row],[MO Operación Máximo]]/Tabla35[[#This Row],[Total Generado KW]]</f>
        <v>1.3333333333333333E-3</v>
      </c>
      <c r="AD10" s="49">
        <f>+Tabla35[[#This Row],[MO Cierre Promedio]]/Tabla35[[#This Row],[Total Generado KW]]</f>
        <v>0</v>
      </c>
      <c r="AE10" s="49">
        <f>+Tabla35[[#This Row],[MO Cierre Máximo]]/Tabla35[[#This Row],[Total Generado KW]]</f>
        <v>0</v>
      </c>
      <c r="AG10">
        <v>300</v>
      </c>
      <c r="AI10">
        <v>150</v>
      </c>
      <c r="AL10">
        <v>-7076770157877</v>
      </c>
      <c r="AM10" s="85">
        <v>-33317910875209</v>
      </c>
      <c r="AN10" s="36">
        <v>39397.71</v>
      </c>
      <c r="AO10" s="36">
        <v>219476</v>
      </c>
      <c r="AP10" s="37"/>
      <c r="AQ10" s="37"/>
      <c r="AR10" s="37"/>
    </row>
    <row r="11" spans="1:44" ht="14.45">
      <c r="A11" t="s">
        <v>878</v>
      </c>
      <c r="B11" s="24" t="str">
        <f>HYPERLINK("https://infofirma.sea.gob.cl/DocumentosSEA/MostrarDocumento?docId=2026/05/29/d544-ae11-47d8-8e57-90e569bf78e3","Ver")</f>
        <v>Ver</v>
      </c>
      <c r="C11" t="s">
        <v>857</v>
      </c>
      <c r="D11" s="80" t="s">
        <v>159</v>
      </c>
      <c r="E11" t="s">
        <v>879</v>
      </c>
      <c r="F11" s="82">
        <v>20</v>
      </c>
      <c r="G11" s="81" t="s">
        <v>859</v>
      </c>
      <c r="H11" s="29">
        <f ca="1">+(Tabla35[[#This Row],[Fecha Calificación]]-TODAY())*-1</f>
        <v>125</v>
      </c>
      <c r="I11" s="25">
        <v>46171</v>
      </c>
      <c r="J11" t="s">
        <v>866</v>
      </c>
      <c r="K11" s="47">
        <v>48</v>
      </c>
      <c r="L11" s="47">
        <v>2800</v>
      </c>
      <c r="M11" s="47">
        <f>Tabla35[[#This Row],[P Generada (KW)]]*Tabla35[[#This Row],[GE Salas (Principal)]]</f>
        <v>134400</v>
      </c>
      <c r="P11" s="47">
        <f>Tabla35[[#This Row],[P Generada (KW)2]]*Tabla35[[#This Row],[GE Oficinas (Respaldo)]]</f>
        <v>0</v>
      </c>
      <c r="Q11" s="60">
        <v>1170588</v>
      </c>
      <c r="R11" s="60">
        <v>995000</v>
      </c>
      <c r="S11" s="56">
        <f>+Tabla35[[#This Row],[Cantidad Diesel /kg]]/Tabla35[[#This Row],[Cantidad Diesel /L]]</f>
        <v>0.85000017085430568</v>
      </c>
      <c r="T11" s="47">
        <v>30</v>
      </c>
      <c r="U11" s="47"/>
      <c r="V11" s="47"/>
      <c r="W11" s="47">
        <f>Tabla35[[#This Row],[Consumo (KW)3]]*Tabla35[[#This Row],[Cantidad Chillers]]</f>
        <v>0</v>
      </c>
      <c r="X11" s="47">
        <f>Tabla35[[#This Row],[Total consumo Chillers KW]]+Tabla35[[#This Row],[Total Generado KW2]]+Tabla35[[#This Row],[Total Generado KW]]</f>
        <v>134400</v>
      </c>
      <c r="Y11" s="47">
        <f>Tabla35[[#This Row],[Total Generado KW]]/1.5</f>
        <v>89600</v>
      </c>
      <c r="Z11" s="49">
        <f>+Tabla35[[#This Row],[MO Contrucción Promedio]]/Tabla35[[#This Row],[Total Generado KW]]</f>
        <v>0</v>
      </c>
      <c r="AA11" s="49">
        <f>+Tabla35[[#This Row],[MO Contrucción Máximo]]/Tabla35[[#This Row],[Total Generado KW]]</f>
        <v>1.6369047619047619E-3</v>
      </c>
      <c r="AB11" s="49">
        <f>+Tabla35[[#This Row],[MO Operación Promedio]]/Tabla35[[#This Row],[Total Generado KW]]</f>
        <v>0</v>
      </c>
      <c r="AC11" s="49">
        <f>+Tabla35[[#This Row],[MO Operación Máximo]]/Tabla35[[#This Row],[Total Generado KW]]</f>
        <v>8.1845238095238097E-4</v>
      </c>
      <c r="AD11" s="49">
        <f>+Tabla35[[#This Row],[MO Cierre Promedio]]/Tabla35[[#This Row],[Total Generado KW]]</f>
        <v>0</v>
      </c>
      <c r="AE11" s="49">
        <f>+Tabla35[[#This Row],[MO Cierre Máximo]]/Tabla35[[#This Row],[Total Generado KW]]</f>
        <v>0</v>
      </c>
      <c r="AG11">
        <v>220</v>
      </c>
      <c r="AI11">
        <v>110</v>
      </c>
      <c r="AL11">
        <v>-33.707188000000002</v>
      </c>
      <c r="AM11" s="85">
        <v>-70.697045000000003</v>
      </c>
      <c r="AN11">
        <v>58500</v>
      </c>
      <c r="AO11" s="36">
        <v>85275.48</v>
      </c>
      <c r="AP11" s="37"/>
      <c r="AQ11" s="37"/>
      <c r="AR11" s="37"/>
    </row>
    <row r="12" spans="1:44" ht="18" customHeight="1">
      <c r="A12" t="s">
        <v>880</v>
      </c>
      <c r="B12" s="24" t="s">
        <v>856</v>
      </c>
      <c r="C12" t="s">
        <v>857</v>
      </c>
      <c r="D12" t="s">
        <v>403</v>
      </c>
      <c r="E12" t="s">
        <v>881</v>
      </c>
      <c r="F12" s="36">
        <v>130</v>
      </c>
      <c r="G12" t="s">
        <v>882</v>
      </c>
      <c r="H12" s="29">
        <v>367.72454861200094</v>
      </c>
      <c r="I12" s="25">
        <v>45768.666655093002</v>
      </c>
      <c r="J12" s="25" t="s">
        <v>877</v>
      </c>
      <c r="K12" s="47">
        <v>16</v>
      </c>
      <c r="L12" s="47">
        <v>2800</v>
      </c>
      <c r="M12" s="47">
        <f>Tabla35[[#This Row],[P Generada (KW)]]*Tabla35[[#This Row],[GE Salas (Principal)]]</f>
        <v>44800</v>
      </c>
      <c r="N12" s="47">
        <v>1</v>
      </c>
      <c r="O12" s="47">
        <v>720</v>
      </c>
      <c r="P12" s="47">
        <f>Tabla35[[#This Row],[P Generada (KW)2]]*Tabla35[[#This Row],[GE Oficinas (Respaldo)]]</f>
        <v>720</v>
      </c>
      <c r="Q12" s="60">
        <v>337500</v>
      </c>
      <c r="R12" s="60">
        <v>286875</v>
      </c>
      <c r="S12" s="56">
        <f>+Tabla35[[#This Row],[Cantidad Diesel /kg]]/Tabla35[[#This Row],[Cantidad Diesel /L]]</f>
        <v>0.85</v>
      </c>
      <c r="T12" s="47" t="s">
        <v>883</v>
      </c>
      <c r="U12" s="47">
        <v>28</v>
      </c>
      <c r="V12" s="47">
        <v>1420</v>
      </c>
      <c r="W12" s="47">
        <f>Tabla35[[#This Row],[Consumo (KW)3]]*Tabla35[[#This Row],[Cantidad Chillers]]</f>
        <v>39760</v>
      </c>
      <c r="X12" s="47">
        <f>Tabla35[[#This Row],[Total Generado KW]]+Tabla35[[#This Row],[Total Generado KW2]]</f>
        <v>45520</v>
      </c>
      <c r="Y12" s="50">
        <f>Tabla35[[#This Row],[Total Generado KW]]/1.5</f>
        <v>29866.666666666668</v>
      </c>
      <c r="Z12" s="49">
        <f>+Tabla35[[#This Row],[MO Contrucción Promedio]]/Tabla35[[#This Row],[Total Generado KW]]</f>
        <v>2.0089285714285712E-3</v>
      </c>
      <c r="AA12" s="49">
        <f>+Tabla35[[#This Row],[MO Contrucción Máximo]]/Tabla35[[#This Row],[Total Generado KW]]</f>
        <v>4.0178571428571425E-3</v>
      </c>
      <c r="AB12" s="49">
        <f>+Tabla35[[#This Row],[MO Operación Promedio]]/Tabla35[[#This Row],[Total Generado KW]]</f>
        <v>8.9285714285714283E-4</v>
      </c>
      <c r="AC12" s="49">
        <f>+Tabla35[[#This Row],[MO Operación Máximo]]/Tabla35[[#This Row],[Total Generado KW]]</f>
        <v>1.3392857142857143E-3</v>
      </c>
      <c r="AD12" s="49">
        <f>+Tabla35[[#This Row],[MO Cierre Promedio]]/Tabla35[[#This Row],[Total Generado KW]]</f>
        <v>4.4642857142857141E-4</v>
      </c>
      <c r="AE12" s="49">
        <f>+Tabla35[[#This Row],[MO Cierre Máximo]]/Tabla35[[#This Row],[Total Generado KW]]</f>
        <v>8.9285714285714283E-4</v>
      </c>
      <c r="AF12">
        <v>90</v>
      </c>
      <c r="AG12">
        <v>180</v>
      </c>
      <c r="AH12">
        <v>40</v>
      </c>
      <c r="AI12">
        <v>60</v>
      </c>
      <c r="AJ12">
        <v>20</v>
      </c>
      <c r="AK12">
        <v>40</v>
      </c>
      <c r="AL12">
        <v>-33.438927</v>
      </c>
      <c r="AM12" s="85">
        <v>-70.785884999999993</v>
      </c>
      <c r="AN12">
        <v>24418</v>
      </c>
      <c r="AO12">
        <v>42409</v>
      </c>
      <c r="AP12" s="37" t="s">
        <v>881</v>
      </c>
      <c r="AQ12" s="38">
        <f>+COUNTIFS(Tabla35[Titular],AP12,Tabla35[Estado del Proyecto],"Aprobado")</f>
        <v>2</v>
      </c>
      <c r="AR12" s="39">
        <f>+SUMIFS(Tabla35[Inversión (MMU$)],Tabla35[Titular],AP12,Tabla35[Estado del Proyecto],"Aprobado")</f>
        <v>174</v>
      </c>
    </row>
    <row r="13" spans="1:44" ht="14.45">
      <c r="A13" t="s">
        <v>884</v>
      </c>
      <c r="B13" s="24" t="s">
        <v>856</v>
      </c>
      <c r="C13" t="s">
        <v>857</v>
      </c>
      <c r="D13" t="s">
        <v>728</v>
      </c>
      <c r="E13" t="s">
        <v>885</v>
      </c>
      <c r="F13" s="36">
        <v>145.19999999999999</v>
      </c>
      <c r="G13" t="s">
        <v>882</v>
      </c>
      <c r="H13" s="29">
        <v>167.82309027800511</v>
      </c>
      <c r="I13" s="25">
        <v>45705.624988426003</v>
      </c>
      <c r="J13" s="25" t="s">
        <v>886</v>
      </c>
      <c r="K13" s="47">
        <v>16</v>
      </c>
      <c r="L13" s="47">
        <v>2800</v>
      </c>
      <c r="M13" s="47">
        <v>33925</v>
      </c>
      <c r="N13" s="47">
        <v>3</v>
      </c>
      <c r="O13" s="47">
        <v>616</v>
      </c>
      <c r="P13" s="47">
        <f>Tabla35[[#This Row],[P Generada (KW)2]]*Tabla35[[#This Row],[GE Oficinas (Respaldo)]]</f>
        <v>1848</v>
      </c>
      <c r="Q13" s="60">
        <v>300000</v>
      </c>
      <c r="R13" s="60">
        <v>255000</v>
      </c>
      <c r="S13" s="56">
        <f>+Tabla35[[#This Row],[Cantidad Diesel /kg]]/Tabla35[[#This Row],[Cantidad Diesel /L]]</f>
        <v>0.85</v>
      </c>
      <c r="T13" s="47" t="s">
        <v>875</v>
      </c>
      <c r="U13" s="47">
        <v>14</v>
      </c>
      <c r="V13" s="47">
        <v>1560</v>
      </c>
      <c r="W13" s="47">
        <f>Tabla35[[#This Row],[Consumo (KW)3]]*Tabla35[[#This Row],[Cantidad Chillers]]</f>
        <v>21840</v>
      </c>
      <c r="X13" s="47">
        <f>Tabla35[[#This Row],[Total Generado KW]]+Tabla35[[#This Row],[Total Generado KW2]]</f>
        <v>35773</v>
      </c>
      <c r="Y13" s="50">
        <f>Tabla35[[#This Row],[Total Generado KW]]/1.5</f>
        <v>22616.666666666668</v>
      </c>
      <c r="Z13" s="49">
        <f>+Tabla35[[#This Row],[MO Contrucción Promedio]]/Tabla35[[#This Row],[Total Generado KW]]</f>
        <v>4.4215180545320561E-3</v>
      </c>
      <c r="AA13" s="49">
        <f>+Tabla35[[#This Row],[MO Contrucción Máximo]]/Tabla35[[#This Row],[Total Generado KW]]</f>
        <v>8.8430361090641122E-3</v>
      </c>
      <c r="AB13" s="49">
        <f>+Tabla35[[#This Row],[MO Operación Promedio]]/Tabla35[[#This Row],[Total Generado KW]]</f>
        <v>2.6529108327192335E-3</v>
      </c>
      <c r="AC13" s="49">
        <f>+Tabla35[[#This Row],[MO Operación Máximo]]/Tabla35[[#This Row],[Total Generado KW]]</f>
        <v>2.9476787030213707E-3</v>
      </c>
      <c r="AD13" s="49">
        <f>+Tabla35[[#This Row],[MO Cierre Promedio]]/Tabla35[[#This Row],[Total Generado KW]]</f>
        <v>1.3264554163596167E-3</v>
      </c>
      <c r="AE13" s="49">
        <f>+Tabla35[[#This Row],[MO Cierre Máximo]]/Tabla35[[#This Row],[Total Generado KW]]</f>
        <v>1.4738393515106854E-3</v>
      </c>
      <c r="AF13">
        <v>150</v>
      </c>
      <c r="AG13">
        <v>300</v>
      </c>
      <c r="AH13">
        <v>90</v>
      </c>
      <c r="AI13">
        <v>100</v>
      </c>
      <c r="AJ13">
        <v>45</v>
      </c>
      <c r="AK13">
        <v>50</v>
      </c>
      <c r="AL13">
        <v>-33.366357999999998</v>
      </c>
      <c r="AM13" s="85">
        <v>-70.673940999999999</v>
      </c>
      <c r="AN13" s="36">
        <v>30197.78</v>
      </c>
      <c r="AO13">
        <v>38778</v>
      </c>
      <c r="AP13" s="37" t="s">
        <v>885</v>
      </c>
      <c r="AQ13" s="38">
        <f>+COUNTIFS(Tabla35[Titular],AP13,Tabla35[Estado del Proyecto],"Aprobado")</f>
        <v>4</v>
      </c>
      <c r="AR13" s="39">
        <f>+SUMIFS(Tabla35[Inversión (MMU$)],Tabla35[Titular],AP13,Tabla35[Estado del Proyecto],"Aprobado")</f>
        <v>873.2</v>
      </c>
    </row>
    <row r="14" spans="1:44" ht="14.45">
      <c r="A14" t="s">
        <v>884</v>
      </c>
      <c r="B14" s="24" t="s">
        <v>856</v>
      </c>
      <c r="C14" t="s">
        <v>278</v>
      </c>
      <c r="D14" t="s">
        <v>278</v>
      </c>
      <c r="E14" t="s">
        <v>885</v>
      </c>
      <c r="F14" s="36">
        <v>290</v>
      </c>
      <c r="G14" t="s">
        <v>882</v>
      </c>
      <c r="H14" s="29">
        <v>382.01829861100123</v>
      </c>
      <c r="I14" s="25">
        <v>45636.624988426003</v>
      </c>
      <c r="J14" s="25" t="s">
        <v>886</v>
      </c>
      <c r="K14" s="47">
        <v>30</v>
      </c>
      <c r="L14" s="47">
        <v>2750</v>
      </c>
      <c r="M14" s="75">
        <f>Tabla35[[#This Row],[P Generada (KW)]]*Tabla35[[#This Row],[GE Salas (Principal)]]</f>
        <v>82500</v>
      </c>
      <c r="N14" s="47">
        <v>5</v>
      </c>
      <c r="O14" s="47">
        <v>400</v>
      </c>
      <c r="P14" s="47">
        <f>Tabla35[[#This Row],[P Generada (KW)2]]*Tabla35[[#This Row],[GE Oficinas (Respaldo)]]</f>
        <v>2000</v>
      </c>
      <c r="Q14" s="62">
        <v>1090000</v>
      </c>
      <c r="R14" s="60">
        <v>926500</v>
      </c>
      <c r="S14" s="56">
        <f>+Tabla35[[#This Row],[Cantidad Diesel /kg]]/Tabla35[[#This Row],[Cantidad Diesel /L]]</f>
        <v>0.85</v>
      </c>
      <c r="T14" s="47" t="s">
        <v>875</v>
      </c>
      <c r="U14" s="47">
        <v>25</v>
      </c>
      <c r="V14" s="47">
        <v>1550</v>
      </c>
      <c r="W14" s="47">
        <f>Tabla35[[#This Row],[Consumo (KW)3]]*Tabla35[[#This Row],[Cantidad Chillers]]</f>
        <v>38750</v>
      </c>
      <c r="X14" s="47">
        <f>Tabla35[[#This Row],[Total Generado KW]]+Tabla35[[#This Row],[Total Generado KW2]]</f>
        <v>84500</v>
      </c>
      <c r="Y14" s="50">
        <f>Tabla35[[#This Row],[Total Generado KW]]/1.5</f>
        <v>55000</v>
      </c>
      <c r="Z14" s="49">
        <f>+Tabla35[[#This Row],[MO Contrucción Promedio]]/Tabla35[[#This Row],[Total Generado KW]]</f>
        <v>4.3636363636363638E-3</v>
      </c>
      <c r="AA14" s="49">
        <f>+Tabla35[[#This Row],[MO Contrucción Máximo]]/Tabla35[[#This Row],[Total Generado KW]]</f>
        <v>7.2727272727272727E-3</v>
      </c>
      <c r="AB14" s="49">
        <f>+Tabla35[[#This Row],[MO Operación Promedio]]/Tabla35[[#This Row],[Total Generado KW]]</f>
        <v>6.3030303030303029E-4</v>
      </c>
      <c r="AC14" s="49">
        <f>+Tabla35[[#This Row],[MO Operación Máximo]]/Tabla35[[#This Row],[Total Generado KW]]</f>
        <v>1.2363636363636364E-3</v>
      </c>
      <c r="AD14" s="49">
        <f>+Tabla35[[#This Row],[MO Cierre Promedio]]/Tabla35[[#This Row],[Total Generado KW]]</f>
        <v>2.4242424242424242E-4</v>
      </c>
      <c r="AE14" s="49">
        <f>+Tabla35[[#This Row],[MO Cierre Máximo]]/Tabla35[[#This Row],[Total Generado KW]]</f>
        <v>4.8484848484848484E-4</v>
      </c>
      <c r="AF14">
        <v>360</v>
      </c>
      <c r="AG14">
        <v>600</v>
      </c>
      <c r="AH14">
        <v>52</v>
      </c>
      <c r="AI14">
        <v>102</v>
      </c>
      <c r="AJ14">
        <v>20</v>
      </c>
      <c r="AK14">
        <v>40</v>
      </c>
      <c r="AL14">
        <v>-33.13749</v>
      </c>
      <c r="AM14" s="85">
        <v>-71.559479999999994</v>
      </c>
      <c r="AN14">
        <v>33302</v>
      </c>
      <c r="AO14">
        <v>82448</v>
      </c>
      <c r="AP14" s="37" t="s">
        <v>887</v>
      </c>
      <c r="AQ14" s="38">
        <f>+COUNTIFS(Tabla35[Titular],AP14,Tabla35[Estado del Proyecto],"Aprobado")</f>
        <v>3</v>
      </c>
      <c r="AR14" s="39">
        <f>+SUMIFS(Tabla35[Inversión (MMU$)],Tabla35[Titular],AP14,Tabla35[Estado del Proyecto],"Aprobado")</f>
        <v>213</v>
      </c>
    </row>
    <row r="15" spans="1:44" ht="14.45">
      <c r="A15" t="s">
        <v>888</v>
      </c>
      <c r="B15" s="24" t="s">
        <v>856</v>
      </c>
      <c r="C15" t="s">
        <v>857</v>
      </c>
      <c r="D15" t="s">
        <v>699</v>
      </c>
      <c r="E15" t="s">
        <v>887</v>
      </c>
      <c r="F15" s="36">
        <v>40</v>
      </c>
      <c r="G15" t="s">
        <v>882</v>
      </c>
      <c r="H15" s="29">
        <v>307.92259259300045</v>
      </c>
      <c r="I15" s="25">
        <v>45468.666655093002</v>
      </c>
      <c r="J15" s="25" t="s">
        <v>877</v>
      </c>
      <c r="K15" s="47">
        <v>18</v>
      </c>
      <c r="L15" s="47">
        <v>3000</v>
      </c>
      <c r="M15" s="47">
        <f>Tabla35[[#This Row],[P Generada (KW)]]*Tabla35[[#This Row],[GE Salas (Principal)]]</f>
        <v>54000</v>
      </c>
      <c r="N15" s="47">
        <v>3</v>
      </c>
      <c r="O15" s="47">
        <v>3000</v>
      </c>
      <c r="P15" s="47">
        <f>Tabla35[[#This Row],[P Generada (KW)2]]*Tabla35[[#This Row],[GE Oficinas (Respaldo)]]</f>
        <v>9000</v>
      </c>
      <c r="Q15" s="76">
        <v>933555</v>
      </c>
      <c r="R15" s="77">
        <v>1098300</v>
      </c>
      <c r="S15" s="78">
        <f>+Tabla35[[#This Row],[Cantidad Diesel /kg]]/Tabla35[[#This Row],[Cantidad Diesel /L]]</f>
        <v>1.1764705882352942</v>
      </c>
      <c r="T15" s="47">
        <v>27</v>
      </c>
      <c r="U15" s="47">
        <v>42</v>
      </c>
      <c r="V15" s="47" t="s">
        <v>889</v>
      </c>
      <c r="W15" s="47">
        <v>0</v>
      </c>
      <c r="X15" s="47">
        <f>Tabla35[[#This Row],[Total Generado KW]]+Tabla35[[#This Row],[Total Generado KW2]]</f>
        <v>63000</v>
      </c>
      <c r="Y15" s="50">
        <f>Tabla35[[#This Row],[Total Generado KW]]/1.5</f>
        <v>36000</v>
      </c>
      <c r="Z15" s="49">
        <f>+Tabla35[[#This Row],[MO Contrucción Promedio]]/Tabla35[[#This Row],[Total Generado KW]]</f>
        <v>2E-3</v>
      </c>
      <c r="AA15" s="49">
        <f>+Tabla35[[#This Row],[MO Contrucción Máximo]]/Tabla35[[#This Row],[Total Generado KW]]</f>
        <v>3.3333333333333335E-3</v>
      </c>
      <c r="AB15" s="49">
        <f>+Tabla35[[#This Row],[MO Operación Promedio]]/Tabla35[[#This Row],[Total Generado KW]]</f>
        <v>1.3888888888888889E-3</v>
      </c>
      <c r="AC15" s="49">
        <f>+Tabla35[[#This Row],[MO Operación Máximo]]/Tabla35[[#This Row],[Total Generado KW]]</f>
        <v>2.7777777777777779E-3</v>
      </c>
      <c r="AD15" s="49">
        <f>+Tabla35[[#This Row],[MO Cierre Promedio]]/Tabla35[[#This Row],[Total Generado KW]]</f>
        <v>3.7037037037037035E-4</v>
      </c>
      <c r="AE15" s="49">
        <f>+Tabla35[[#This Row],[MO Cierre Máximo]]/Tabla35[[#This Row],[Total Generado KW]]</f>
        <v>7.407407407407407E-4</v>
      </c>
      <c r="AF15">
        <v>108</v>
      </c>
      <c r="AG15">
        <v>180</v>
      </c>
      <c r="AH15">
        <v>75</v>
      </c>
      <c r="AI15">
        <v>150</v>
      </c>
      <c r="AJ15">
        <v>20</v>
      </c>
      <c r="AK15">
        <v>40</v>
      </c>
      <c r="AL15">
        <v>-33.297770999999997</v>
      </c>
      <c r="AM15" s="85">
        <v>-70.705800999999994</v>
      </c>
      <c r="AN15">
        <v>34200</v>
      </c>
      <c r="AO15">
        <v>65000</v>
      </c>
      <c r="AP15" s="37" t="s">
        <v>890</v>
      </c>
      <c r="AQ15" s="38">
        <f>+COUNTIFS(Tabla35[Titular],AP15,Tabla35[Estado del Proyecto],"Aprobado")</f>
        <v>1</v>
      </c>
      <c r="AR15" s="39">
        <f>+SUMIFS(Tabla35[Inversión (MMU$)],Tabla35[Titular],AP15,Tabla35[Estado del Proyecto],"Aprobado")</f>
        <v>120</v>
      </c>
    </row>
    <row r="16" spans="1:44" ht="14.45">
      <c r="A16" t="s">
        <v>891</v>
      </c>
      <c r="B16" s="24" t="s">
        <v>856</v>
      </c>
      <c r="C16" t="s">
        <v>857</v>
      </c>
      <c r="D16" t="s">
        <v>191</v>
      </c>
      <c r="E16" t="s">
        <v>890</v>
      </c>
      <c r="F16" s="36">
        <v>120</v>
      </c>
      <c r="G16" t="s">
        <v>882</v>
      </c>
      <c r="H16" s="29">
        <v>236.83172453700536</v>
      </c>
      <c r="I16" s="25">
        <v>45313.624988426003</v>
      </c>
      <c r="J16" s="25" t="s">
        <v>877</v>
      </c>
      <c r="K16" s="47">
        <v>16</v>
      </c>
      <c r="L16" s="47">
        <v>1850</v>
      </c>
      <c r="M16" s="47">
        <f>Tabla35[[#This Row],[P Generada (KW)]]*Tabla35[[#This Row],[GE Salas (Principal)]]</f>
        <v>29600</v>
      </c>
      <c r="N16" s="47">
        <v>0</v>
      </c>
      <c r="O16" s="47">
        <v>0</v>
      </c>
      <c r="P16" s="47">
        <f>Tabla35[[#This Row],[P Generada (KW)2]]*Tabla35[[#This Row],[GE Oficinas (Respaldo)]]</f>
        <v>0</v>
      </c>
      <c r="Q16" s="60">
        <v>400000</v>
      </c>
      <c r="R16" s="62">
        <v>340000</v>
      </c>
      <c r="S16" s="61">
        <f>+Tabla35[[#This Row],[Cantidad Diesel /kg]]/Tabla35[[#This Row],[Cantidad Diesel /L]]</f>
        <v>0.85</v>
      </c>
      <c r="T16" s="47">
        <v>27</v>
      </c>
      <c r="U16" s="47" t="s">
        <v>889</v>
      </c>
      <c r="V16" s="47" t="s">
        <v>889</v>
      </c>
      <c r="W16" s="47"/>
      <c r="X16" s="47">
        <f>Tabla35[[#This Row],[Total Generado KW]]+Tabla35[[#This Row],[Total Generado KW2]]</f>
        <v>29600</v>
      </c>
      <c r="Y16" s="50">
        <f>Tabla35[[#This Row],[Total Generado KW]]/1.5</f>
        <v>19733.333333333332</v>
      </c>
      <c r="Z16" s="49">
        <f>+Tabla35[[#This Row],[MO Contrucción Promedio]]/Tabla35[[#This Row],[Total Generado KW]]</f>
        <v>3.6486486486486487E-3</v>
      </c>
      <c r="AA16" s="49">
        <f>+Tabla35[[#This Row],[MO Contrucción Máximo]]/Tabla35[[#This Row],[Total Generado KW]]</f>
        <v>6.0810810810810814E-3</v>
      </c>
      <c r="AB16" s="49">
        <f>+Tabla35[[#This Row],[MO Operación Promedio]]/Tabla35[[#This Row],[Total Generado KW]]</f>
        <v>6.7567567567567571E-4</v>
      </c>
      <c r="AC16" s="49">
        <f>+Tabla35[[#This Row],[MO Operación Máximo]]/Tabla35[[#This Row],[Total Generado KW]]</f>
        <v>1.3513513513513514E-3</v>
      </c>
      <c r="AD16" s="49">
        <f>+Tabla35[[#This Row],[MO Cierre Promedio]]/Tabla35[[#This Row],[Total Generado KW]]</f>
        <v>6.7567567567567571E-4</v>
      </c>
      <c r="AE16" s="49">
        <f>+Tabla35[[#This Row],[MO Cierre Máximo]]/Tabla35[[#This Row],[Total Generado KW]]</f>
        <v>1.3513513513513514E-3</v>
      </c>
      <c r="AF16">
        <v>108</v>
      </c>
      <c r="AG16">
        <v>180</v>
      </c>
      <c r="AH16">
        <v>20</v>
      </c>
      <c r="AI16">
        <v>40</v>
      </c>
      <c r="AJ16">
        <v>20</v>
      </c>
      <c r="AK16">
        <v>40</v>
      </c>
      <c r="AL16">
        <v>-33.356811</v>
      </c>
      <c r="AM16" s="85">
        <v>-70.699550000000002</v>
      </c>
      <c r="AP16" s="37" t="s">
        <v>892</v>
      </c>
      <c r="AQ16" s="38">
        <f>+COUNTIFS(Tabla35[Titular],AP16,Tabla35[Estado del Proyecto],"Aprobado")</f>
        <v>2</v>
      </c>
      <c r="AR16" s="39">
        <f>+SUMIFS(Tabla35[Inversión (MMU$)],Tabla35[Titular],AP16,Tabla35[Estado del Proyecto],"Aprobado")</f>
        <v>410</v>
      </c>
    </row>
    <row r="17" spans="1:44" ht="14.45">
      <c r="A17" s="1" t="s">
        <v>893</v>
      </c>
      <c r="B17" s="24" t="s">
        <v>856</v>
      </c>
      <c r="C17" t="s">
        <v>857</v>
      </c>
      <c r="D17" t="s">
        <v>728</v>
      </c>
      <c r="E17" t="s">
        <v>892</v>
      </c>
      <c r="F17" s="36">
        <v>205</v>
      </c>
      <c r="G17" t="s">
        <v>882</v>
      </c>
      <c r="H17" s="29">
        <v>527.10204861200327</v>
      </c>
      <c r="I17" s="25">
        <v>45471.666655093002</v>
      </c>
      <c r="J17" s="25" t="s">
        <v>894</v>
      </c>
      <c r="K17" s="47">
        <v>20</v>
      </c>
      <c r="L17" s="47">
        <v>2800</v>
      </c>
      <c r="M17" s="47">
        <f>Tabla35[[#This Row],[P Generada (KW)]]*Tabla35[[#This Row],[GE Salas (Principal)]]</f>
        <v>56000</v>
      </c>
      <c r="N17" s="47">
        <v>1</v>
      </c>
      <c r="O17" s="47">
        <v>1800</v>
      </c>
      <c r="P17" s="47">
        <f>+Tabla35[[#This Row],[P Generada (KW)2]]*Tabla35[[#This Row],[GE Oficinas (Respaldo)]]</f>
        <v>1800</v>
      </c>
      <c r="Q17" s="60">
        <v>426224</v>
      </c>
      <c r="R17" s="60">
        <v>358028</v>
      </c>
      <c r="S17" s="56">
        <f>+Tabla35[[#This Row],[Cantidad Diesel /kg]]/Tabla35[[#This Row],[Cantidad Diesel /L]]</f>
        <v>0.83999962461053346</v>
      </c>
      <c r="T17" s="47">
        <v>30</v>
      </c>
      <c r="U17" s="47" t="s">
        <v>889</v>
      </c>
      <c r="V17" s="47" t="s">
        <v>889</v>
      </c>
      <c r="W17" s="47"/>
      <c r="X17" s="47">
        <f>Tabla35[[#This Row],[Total Generado KW]]+Tabla35[[#This Row],[Total Generado KW2]]</f>
        <v>57800</v>
      </c>
      <c r="Y17" s="50">
        <f>Tabla35[[#This Row],[Total Generado KW]]/1.5</f>
        <v>37333.333333333336</v>
      </c>
      <c r="Z17" s="49"/>
      <c r="AA17" s="49"/>
      <c r="AB17" s="49"/>
      <c r="AC17" s="49"/>
      <c r="AD17" s="49"/>
      <c r="AE17" s="49"/>
      <c r="AF17">
        <v>245</v>
      </c>
      <c r="AG17">
        <v>310</v>
      </c>
      <c r="AH17">
        <v>50</v>
      </c>
      <c r="AI17">
        <v>50</v>
      </c>
      <c r="AJ17">
        <v>40</v>
      </c>
      <c r="AK17">
        <v>40</v>
      </c>
      <c r="AL17">
        <v>-33.366357999999998</v>
      </c>
      <c r="AM17" s="85">
        <v>-70.673940999999999</v>
      </c>
      <c r="AP17" s="37" t="s">
        <v>895</v>
      </c>
      <c r="AQ17" s="38">
        <f>+COUNTIFS(Tabla35[Titular],AP17,Tabla35[Estado del Proyecto],"Aprobado")</f>
        <v>2</v>
      </c>
      <c r="AR17" s="39">
        <f>+SUMIFS(Tabla35[Inversión (MMU$)],Tabla35[Titular],AP17,Tabla35[Estado del Proyecto],"Aprobado")</f>
        <v>220</v>
      </c>
    </row>
    <row r="18" spans="1:44" ht="14.45">
      <c r="A18" s="1" t="s">
        <v>896</v>
      </c>
      <c r="B18" s="24" t="s">
        <v>856</v>
      </c>
      <c r="C18" t="s">
        <v>857</v>
      </c>
      <c r="D18" t="s">
        <v>742</v>
      </c>
      <c r="E18" t="s">
        <v>892</v>
      </c>
      <c r="F18" s="36">
        <v>205</v>
      </c>
      <c r="G18" t="s">
        <v>882</v>
      </c>
      <c r="H18" s="29">
        <v>473.82667824100645</v>
      </c>
      <c r="I18" s="25">
        <v>45300.624988426003</v>
      </c>
      <c r="J18" s="25" t="s">
        <v>894</v>
      </c>
      <c r="K18" s="47">
        <v>10</v>
      </c>
      <c r="L18" s="47">
        <v>2800</v>
      </c>
      <c r="M18" s="47">
        <f>Tabla35[[#This Row],[P Generada (KW)]]*Tabla35[[#This Row],[GE Salas (Principal)]]</f>
        <v>28000</v>
      </c>
      <c r="N18" s="47">
        <v>1</v>
      </c>
      <c r="O18" s="47">
        <v>1050</v>
      </c>
      <c r="P18" s="47">
        <f>+Tabla35[[#This Row],[P Generada (KW)2]]*Tabla35[[#This Row],[GE Oficinas (Respaldo)]]</f>
        <v>1050</v>
      </c>
      <c r="Q18" s="60">
        <v>216205</v>
      </c>
      <c r="R18" s="60">
        <v>179883</v>
      </c>
      <c r="S18" s="56">
        <f>+Tabla35[[#This Row],[Cantidad Diesel /kg]]/Tabla35[[#This Row],[Cantidad Diesel /L]]</f>
        <v>0.83200203510557114</v>
      </c>
      <c r="T18" s="47">
        <v>30</v>
      </c>
      <c r="U18" s="47" t="s">
        <v>889</v>
      </c>
      <c r="V18" s="47" t="s">
        <v>889</v>
      </c>
      <c r="W18" s="47"/>
      <c r="X18" s="47">
        <f>Tabla35[[#This Row],[Total Generado KW]]+Tabla35[[#This Row],[Total Generado KW2]]</f>
        <v>29050</v>
      </c>
      <c r="Y18" s="50">
        <f>Tabla35[[#This Row],[Total Generado KW]]/1.5</f>
        <v>18666.666666666668</v>
      </c>
      <c r="Z18" s="49"/>
      <c r="AA18" s="49"/>
      <c r="AB18" s="49"/>
      <c r="AC18" s="49"/>
      <c r="AD18" s="49"/>
      <c r="AE18" s="49"/>
      <c r="AF18">
        <v>245</v>
      </c>
      <c r="AG18">
        <v>310</v>
      </c>
      <c r="AH18">
        <v>25</v>
      </c>
      <c r="AI18">
        <v>25</v>
      </c>
      <c r="AJ18">
        <v>40</v>
      </c>
      <c r="AK18">
        <v>40</v>
      </c>
      <c r="AL18">
        <v>-33.373393999999998</v>
      </c>
      <c r="AM18" s="85">
        <v>-70.660088999999999</v>
      </c>
      <c r="AP18" s="37" t="s">
        <v>897</v>
      </c>
      <c r="AQ18" s="38">
        <f>+COUNTIFS(Tabla35[Titular],AP18,Tabla35[Estado del Proyecto],"Aprobado")</f>
        <v>1</v>
      </c>
      <c r="AR18" s="39">
        <f>+SUMIFS(Tabla35[Inversión (MMU$)],Tabla35[Titular],AP18,Tabla35[Estado del Proyecto],"Aprobado")</f>
        <v>271</v>
      </c>
    </row>
    <row r="19" spans="1:44" ht="14.45">
      <c r="A19" s="1" t="s">
        <v>855</v>
      </c>
      <c r="B19" s="24" t="s">
        <v>856</v>
      </c>
      <c r="C19" t="s">
        <v>857</v>
      </c>
      <c r="D19" t="s">
        <v>184</v>
      </c>
      <c r="E19" t="s">
        <v>892</v>
      </c>
      <c r="F19" s="36">
        <v>205</v>
      </c>
      <c r="G19" s="64" t="s">
        <v>898</v>
      </c>
      <c r="H19" s="29">
        <v>179.78120370400575</v>
      </c>
      <c r="I19" s="25">
        <v>44956.624988426003</v>
      </c>
      <c r="J19" s="25" t="s">
        <v>894</v>
      </c>
      <c r="K19" s="47">
        <v>20</v>
      </c>
      <c r="L19" s="47">
        <v>2800</v>
      </c>
      <c r="M19" s="47">
        <f>Tabla35[[#This Row],[P Generada (KW)]]*Tabla35[[#This Row],[GE Salas (Principal)]]</f>
        <v>56000</v>
      </c>
      <c r="N19" s="47">
        <v>1</v>
      </c>
      <c r="O19" s="47">
        <v>1800</v>
      </c>
      <c r="P19" s="47">
        <f>+Tabla35[[#This Row],[P Generada (KW)2]]*Tabla35[[#This Row],[GE Oficinas (Respaldo)]]</f>
        <v>1800</v>
      </c>
      <c r="Q19" s="60">
        <v>426224</v>
      </c>
      <c r="R19" s="60">
        <v>358028</v>
      </c>
      <c r="S19" s="56">
        <f>+Tabla35[[#This Row],[Cantidad Diesel /kg]]/Tabla35[[#This Row],[Cantidad Diesel /L]]</f>
        <v>0.83999962461053346</v>
      </c>
      <c r="T19" s="47">
        <v>30</v>
      </c>
      <c r="U19" s="47" t="s">
        <v>889</v>
      </c>
      <c r="V19" s="47" t="s">
        <v>889</v>
      </c>
      <c r="W19" s="47"/>
      <c r="X19" s="47">
        <f>Tabla35[[#This Row],[Total Generado KW]]+Tabla35[[#This Row],[Total Generado KW2]]</f>
        <v>57800</v>
      </c>
      <c r="Y19" s="50">
        <f>Tabla35[[#This Row],[Total Generado KW]]/1.5</f>
        <v>37333.333333333336</v>
      </c>
      <c r="Z19" s="49"/>
      <c r="AA19" s="49"/>
      <c r="AB19" s="49"/>
      <c r="AC19" s="49"/>
      <c r="AD19" s="49"/>
      <c r="AE19" s="49"/>
      <c r="AF19">
        <v>245</v>
      </c>
      <c r="AG19">
        <v>310</v>
      </c>
      <c r="AH19">
        <v>25</v>
      </c>
      <c r="AI19">
        <v>25</v>
      </c>
      <c r="AJ19">
        <v>40</v>
      </c>
      <c r="AK19">
        <v>40</v>
      </c>
      <c r="AL19">
        <v>-33.556680999999998</v>
      </c>
      <c r="AM19" s="88">
        <v>-70.813232999999997</v>
      </c>
      <c r="AP19" s="37"/>
      <c r="AQ19" s="38"/>
      <c r="AR19" s="39"/>
    </row>
    <row r="20" spans="1:44" ht="14.45">
      <c r="A20" t="s">
        <v>899</v>
      </c>
      <c r="B20" s="24" t="s">
        <v>856</v>
      </c>
      <c r="C20" t="s">
        <v>278</v>
      </c>
      <c r="D20" t="s">
        <v>278</v>
      </c>
      <c r="E20" t="s">
        <v>885</v>
      </c>
      <c r="F20" s="36">
        <v>65</v>
      </c>
      <c r="G20" t="s">
        <v>882</v>
      </c>
      <c r="H20" s="29">
        <v>177.81225694500608</v>
      </c>
      <c r="I20" s="25">
        <v>44816.624988426003</v>
      </c>
      <c r="J20" s="25" t="s">
        <v>877</v>
      </c>
      <c r="K20" s="47">
        <v>6</v>
      </c>
      <c r="L20" s="47">
        <v>2750</v>
      </c>
      <c r="M20" s="47">
        <f>Tabla35[[#This Row],[P Generada (KW)]]*Tabla35[[#This Row],[GE Salas (Principal)]]</f>
        <v>16500</v>
      </c>
      <c r="N20" s="47">
        <v>1</v>
      </c>
      <c r="O20" s="47">
        <v>400</v>
      </c>
      <c r="P20" s="47">
        <f>Tabla35[[#This Row],[P Generada (KW)2]]*Tabla35[[#This Row],[GE Oficinas (Respaldo)]]</f>
        <v>400</v>
      </c>
      <c r="Q20" s="60">
        <v>218000</v>
      </c>
      <c r="R20" s="60">
        <v>185300</v>
      </c>
      <c r="S20" s="56">
        <f>+Tabla35[[#This Row],[Cantidad Diesel /kg]]/Tabla35[[#This Row],[Cantidad Diesel /L]]</f>
        <v>0.85</v>
      </c>
      <c r="T20" s="47">
        <v>25</v>
      </c>
      <c r="U20" s="47">
        <v>5</v>
      </c>
      <c r="V20" s="47">
        <v>1550</v>
      </c>
      <c r="W20" s="47">
        <f>Tabla35[[#This Row],[Consumo (KW)3]]*Tabla35[[#This Row],[Cantidad Chillers]]</f>
        <v>7750</v>
      </c>
      <c r="X20" s="47">
        <f>Tabla35[[#This Row],[Total Generado KW]]+Tabla35[[#This Row],[Total Generado KW2]]</f>
        <v>16900</v>
      </c>
      <c r="Y20" s="50">
        <f>Tabla35[[#This Row],[Total Generado KW]]/1.5</f>
        <v>11000</v>
      </c>
      <c r="Z20" s="49">
        <f>+Tabla35[[#This Row],[MO Contrucción Promedio]]/Tabla35[[#This Row],[Total Generado KW]]</f>
        <v>7.2727272727272727E-3</v>
      </c>
      <c r="AA20" s="49">
        <f>+Tabla35[[#This Row],[MO Contrucción Máximo]]/Tabla35[[#This Row],[Total Generado KW]]</f>
        <v>1.2121212121212121E-2</v>
      </c>
      <c r="AB20" s="49">
        <f>+Tabla35[[#This Row],[MO Operación Promedio]]/Tabla35[[#This Row],[Total Generado KW]]</f>
        <v>6.0606060606060606E-4</v>
      </c>
      <c r="AC20" s="49">
        <f>+Tabla35[[#This Row],[MO Operación Máximo]]/Tabla35[[#This Row],[Total Generado KW]]</f>
        <v>1.2121212121212121E-3</v>
      </c>
      <c r="AD20" s="49">
        <f>+Tabla35[[#This Row],[MO Cierre Promedio]]/Tabla35[[#This Row],[Total Generado KW]]</f>
        <v>1.2121212121212121E-3</v>
      </c>
      <c r="AE20" s="49">
        <f>+Tabla35[[#This Row],[MO Cierre Máximo]]/Tabla35[[#This Row],[Total Generado KW]]</f>
        <v>2.4242424242424242E-3</v>
      </c>
      <c r="AF20">
        <v>120</v>
      </c>
      <c r="AG20">
        <v>200</v>
      </c>
      <c r="AH20">
        <v>10</v>
      </c>
      <c r="AI20">
        <v>20</v>
      </c>
      <c r="AJ20">
        <v>20</v>
      </c>
      <c r="AK20">
        <v>40</v>
      </c>
      <c r="AL20">
        <v>-33.135973</v>
      </c>
      <c r="AM20" s="85">
        <v>-71.558860999999993</v>
      </c>
      <c r="AP20" s="37" t="s">
        <v>900</v>
      </c>
      <c r="AQ20" s="38">
        <f>+COUNTIFS(Tabla35[Titular],AP20,Tabla35[Estado del Proyecto],"Aprobado")</f>
        <v>1</v>
      </c>
      <c r="AR20" s="39">
        <f>+SUMIFS(Tabla35[Inversión (MMU$)],Tabla35[Titular],AP20,Tabla35[Estado del Proyecto],"Aprobado")</f>
        <v>125</v>
      </c>
    </row>
    <row r="21" spans="1:44" ht="14.45">
      <c r="A21" t="s">
        <v>899</v>
      </c>
      <c r="B21" s="24" t="s">
        <v>856</v>
      </c>
      <c r="C21" t="s">
        <v>278</v>
      </c>
      <c r="D21" t="s">
        <v>278</v>
      </c>
      <c r="E21" t="s">
        <v>885</v>
      </c>
      <c r="F21" s="36" t="s">
        <v>901</v>
      </c>
      <c r="G21" s="26" t="s">
        <v>902</v>
      </c>
      <c r="H21" s="45"/>
      <c r="I21" s="25">
        <v>44816.624988426003</v>
      </c>
      <c r="J21" s="25" t="s">
        <v>877</v>
      </c>
      <c r="K21" s="47">
        <v>34</v>
      </c>
      <c r="L21" s="47">
        <v>2750</v>
      </c>
      <c r="M21" s="48">
        <f>Tabla35[[#This Row],[P Generada (KW)]]*Tabla35[[#This Row],[GE Salas (Principal)]]</f>
        <v>93500</v>
      </c>
      <c r="N21" s="47">
        <v>4</v>
      </c>
      <c r="O21" s="47">
        <v>400</v>
      </c>
      <c r="P21" s="47">
        <f>Tabla35[[#This Row],[P Generada (KW)2]]*Tabla35[[#This Row],[GE Oficinas (Respaldo)]]</f>
        <v>1600</v>
      </c>
      <c r="Q21" s="62">
        <v>1222000</v>
      </c>
      <c r="R21" s="62">
        <v>1038700</v>
      </c>
      <c r="S21" s="61">
        <f>+Tabla35[[#This Row],[Cantidad Diesel /kg]]/Tabla35[[#This Row],[Cantidad Diesel /L]]</f>
        <v>0.85</v>
      </c>
      <c r="T21" s="47">
        <v>25</v>
      </c>
      <c r="U21" s="47">
        <v>30</v>
      </c>
      <c r="V21" s="47">
        <v>1550</v>
      </c>
      <c r="W21" s="47">
        <f>Tabla35[[#This Row],[Consumo (KW)3]]*Tabla35[[#This Row],[Cantidad Chillers]]</f>
        <v>46500</v>
      </c>
      <c r="X21" s="47">
        <f>Tabla35[[#This Row],[Total Generado KW]]+Tabla35[[#This Row],[Total Generado KW2]]</f>
        <v>95100</v>
      </c>
      <c r="Y21" s="50">
        <f>Tabla35[[#This Row],[Total Generado KW]]/1.5</f>
        <v>62333.333333333336</v>
      </c>
      <c r="Z21" s="49"/>
      <c r="AA21" s="49"/>
      <c r="AB21" s="49"/>
      <c r="AC21" s="49"/>
      <c r="AD21" s="49"/>
      <c r="AE21" s="49"/>
      <c r="AL21" s="28">
        <v>33.137984000000003</v>
      </c>
      <c r="AM21" s="85">
        <v>-71.560930999999997</v>
      </c>
      <c r="AP21" s="37" t="s">
        <v>903</v>
      </c>
      <c r="AQ21" s="38">
        <v>3</v>
      </c>
      <c r="AR21" s="39">
        <f>+SUMIFS(Tabla35[Inversión (MMU$)],Tabla35[Titular],AP21,Tabla35[Estado del Proyecto],"Aprobado")+H30</f>
        <v>358.1652199070042</v>
      </c>
    </row>
    <row r="22" spans="1:44" ht="14.45">
      <c r="A22" t="s">
        <v>904</v>
      </c>
      <c r="B22" s="24" t="s">
        <v>856</v>
      </c>
      <c r="C22" t="s">
        <v>857</v>
      </c>
      <c r="D22" t="s">
        <v>699</v>
      </c>
      <c r="E22" t="s">
        <v>887</v>
      </c>
      <c r="F22" s="36">
        <v>73</v>
      </c>
      <c r="G22" t="s">
        <v>882</v>
      </c>
      <c r="H22" s="29">
        <v>192.88953703700099</v>
      </c>
      <c r="I22" s="25">
        <v>44809.666655093002</v>
      </c>
      <c r="J22" s="25" t="s">
        <v>877</v>
      </c>
      <c r="K22" s="47">
        <v>64</v>
      </c>
      <c r="L22" s="47">
        <v>1000</v>
      </c>
      <c r="M22" s="47">
        <f>Tabla35[[#This Row],[P Generada (KW)]]*Tabla35[[#This Row],[GE Salas (Principal)]]</f>
        <v>64000</v>
      </c>
      <c r="N22" s="47">
        <v>0</v>
      </c>
      <c r="O22" s="47">
        <v>0</v>
      </c>
      <c r="P22" s="47">
        <f>Tabla35[[#This Row],[P Generada (KW)2]]*Tabla35[[#This Row],[GE Oficinas (Respaldo)]]</f>
        <v>0</v>
      </c>
      <c r="Q22" s="60">
        <v>736726</v>
      </c>
      <c r="R22" s="60">
        <v>612956</v>
      </c>
      <c r="S22" s="56">
        <f>+Tabla35[[#This Row],[Cantidad Diesel /kg]]/Tabla35[[#This Row],[Cantidad Diesel /L]]</f>
        <v>0.83199995656458436</v>
      </c>
      <c r="T22" s="47">
        <v>27</v>
      </c>
      <c r="U22" s="47" t="s">
        <v>889</v>
      </c>
      <c r="V22" s="47" t="s">
        <v>889</v>
      </c>
      <c r="W22" s="47"/>
      <c r="X22" s="47">
        <f>Tabla35[[#This Row],[Total Generado KW]]+Tabla35[[#This Row],[Total Generado KW2]]</f>
        <v>64000</v>
      </c>
      <c r="Y22" s="50">
        <f>Tabla35[[#This Row],[Total Generado KW]]/1.5</f>
        <v>42666.666666666664</v>
      </c>
      <c r="Z22" s="49">
        <f>+Tabla35[[#This Row],[MO Contrucción Promedio]]/Tabla35[[#This Row],[Total Generado KW]]</f>
        <v>3.1250000000000001E-4</v>
      </c>
      <c r="AA22" s="49">
        <f>+Tabla35[[#This Row],[MO Contrucción Máximo]]/Tabla35[[#This Row],[Total Generado KW]]</f>
        <v>6.2500000000000001E-4</v>
      </c>
      <c r="AB22" s="49">
        <f>+Tabla35[[#This Row],[MO Operación Promedio]]/Tabla35[[#This Row],[Total Generado KW]]</f>
        <v>3.1250000000000001E-4</v>
      </c>
      <c r="AC22" s="49">
        <f>+Tabla35[[#This Row],[MO Operación Máximo]]/Tabla35[[#This Row],[Total Generado KW]]</f>
        <v>6.2500000000000001E-4</v>
      </c>
      <c r="AD22" s="49">
        <f>+Tabla35[[#This Row],[MO Cierre Promedio]]/Tabla35[[#This Row],[Total Generado KW]]</f>
        <v>3.1250000000000001E-4</v>
      </c>
      <c r="AE22" s="49">
        <f>+Tabla35[[#This Row],[MO Cierre Máximo]]/Tabla35[[#This Row],[Total Generado KW]]</f>
        <v>6.2500000000000001E-4</v>
      </c>
      <c r="AF22">
        <v>20</v>
      </c>
      <c r="AG22">
        <v>40</v>
      </c>
      <c r="AH22">
        <v>20</v>
      </c>
      <c r="AI22">
        <v>40</v>
      </c>
      <c r="AJ22">
        <v>20</v>
      </c>
      <c r="AK22">
        <v>40</v>
      </c>
      <c r="AL22">
        <v>-33.297339000000001</v>
      </c>
      <c r="AM22" s="85">
        <v>-70.705881000000005</v>
      </c>
      <c r="AP22" s="37" t="s">
        <v>905</v>
      </c>
      <c r="AQ22" s="38">
        <f>+COUNTIFS(Tabla35[Titular],AP22,Tabla35[Estado del Proyecto],"Aprobado")</f>
        <v>1</v>
      </c>
      <c r="AR22" s="39">
        <f>+SUMIFS(Tabla35[Inversión (MMU$)],Tabla35[Titular],AP22,Tabla35[Estado del Proyecto],"Aprobado")</f>
        <v>85</v>
      </c>
    </row>
    <row r="23" spans="1:44" ht="14.45">
      <c r="A23" t="s">
        <v>906</v>
      </c>
      <c r="B23" s="24" t="s">
        <v>856</v>
      </c>
      <c r="C23" t="s">
        <v>857</v>
      </c>
      <c r="D23" t="s">
        <v>677</v>
      </c>
      <c r="E23" t="s">
        <v>885</v>
      </c>
      <c r="F23" s="36">
        <v>373</v>
      </c>
      <c r="G23" t="s">
        <v>882</v>
      </c>
      <c r="H23" s="29">
        <v>296.9560416670065</v>
      </c>
      <c r="I23" s="25">
        <v>44746.624988426003</v>
      </c>
      <c r="J23" s="25" t="s">
        <v>877</v>
      </c>
      <c r="K23" s="47">
        <v>63</v>
      </c>
      <c r="L23" s="47">
        <v>2600</v>
      </c>
      <c r="M23" s="75">
        <f>Tabla35[[#This Row],[P Generada (KW)]]*Tabla35[[#This Row],[GE Salas (Principal)]]</f>
        <v>163800</v>
      </c>
      <c r="N23" s="47">
        <v>2</v>
      </c>
      <c r="O23" s="47">
        <v>400</v>
      </c>
      <c r="P23" s="47">
        <f>Tabla35[[#This Row],[P Generada (KW)2]]*Tabla35[[#This Row],[GE Oficinas (Respaldo)]]</f>
        <v>800</v>
      </c>
      <c r="Q23" s="62">
        <v>2215000</v>
      </c>
      <c r="R23" s="62">
        <v>1882750</v>
      </c>
      <c r="S23" s="61">
        <f>+Tabla35[[#This Row],[Cantidad Diesel /kg]]/Tabla35[[#This Row],[Cantidad Diesel /L]]</f>
        <v>0.85</v>
      </c>
      <c r="T23" s="47">
        <v>30</v>
      </c>
      <c r="U23" s="47">
        <v>60</v>
      </c>
      <c r="V23" s="47">
        <v>1550</v>
      </c>
      <c r="W23" s="47">
        <f>Tabla35[[#This Row],[Consumo (KW)3]]*Tabla35[[#This Row],[Cantidad Chillers]]</f>
        <v>93000</v>
      </c>
      <c r="X23" s="47">
        <f>Tabla35[[#This Row],[Total Generado KW]]+Tabla35[[#This Row],[Total Generado KW2]]</f>
        <v>164600</v>
      </c>
      <c r="Y23" s="50">
        <f>Tabla35[[#This Row],[Total Generado KW]]/1.5</f>
        <v>109200</v>
      </c>
      <c r="Z23" s="49">
        <f>+Tabla35[[#This Row],[MO Contrucción Promedio]]/Tabla35[[#This Row],[Total Generado KW]]</f>
        <v>9.1575091575091575E-4</v>
      </c>
      <c r="AA23" s="49">
        <f>+Tabla35[[#This Row],[MO Contrucción Máximo]]/Tabla35[[#This Row],[Total Generado KW]]</f>
        <v>1.8315018315018315E-3</v>
      </c>
      <c r="AB23" s="49">
        <f>+Tabla35[[#This Row],[MO Operación Promedio]]/Tabla35[[#This Row],[Total Generado KW]]</f>
        <v>3.0525030525030525E-4</v>
      </c>
      <c r="AC23" s="49">
        <f>+Tabla35[[#This Row],[MO Operación Máximo]]/Tabla35[[#This Row],[Total Generado KW]]</f>
        <v>8.7912087912087912E-4</v>
      </c>
      <c r="AD23" s="49">
        <f>+Tabla35[[#This Row],[MO Cierre Promedio]]/Tabla35[[#This Row],[Total Generado KW]]</f>
        <v>3.0525030525030525E-4</v>
      </c>
      <c r="AE23" s="49">
        <f>+Tabla35[[#This Row],[MO Cierre Máximo]]/Tabla35[[#This Row],[Total Generado KW]]</f>
        <v>6.105006105006105E-4</v>
      </c>
      <c r="AF23">
        <v>150</v>
      </c>
      <c r="AG23">
        <v>300</v>
      </c>
      <c r="AH23">
        <v>50</v>
      </c>
      <c r="AI23">
        <v>144</v>
      </c>
      <c r="AJ23">
        <v>50</v>
      </c>
      <c r="AK23">
        <v>100</v>
      </c>
      <c r="AL23">
        <v>-33.292982000000002</v>
      </c>
      <c r="AM23" s="85">
        <v>-70.739149999999995</v>
      </c>
      <c r="AP23" s="37" t="s">
        <v>907</v>
      </c>
      <c r="AQ23" s="38">
        <f>+COUNTIFS(Tabla35[Titular],AP23,Tabla35[Estado del Proyecto],"Aprobado")</f>
        <v>1</v>
      </c>
      <c r="AR23" s="39">
        <f>+SUMIFS(Tabla35[Inversión (MMU$)],Tabla35[Titular],AP23,Tabla35[Estado del Proyecto],"Aprobado")</f>
        <v>31</v>
      </c>
    </row>
    <row r="24" spans="1:44" ht="14.45">
      <c r="A24" t="s">
        <v>908</v>
      </c>
      <c r="B24" s="24" t="s">
        <v>856</v>
      </c>
      <c r="C24" t="s">
        <v>857</v>
      </c>
      <c r="D24" t="s">
        <v>699</v>
      </c>
      <c r="E24" t="s">
        <v>887</v>
      </c>
      <c r="F24" s="36">
        <v>100</v>
      </c>
      <c r="G24" t="s">
        <v>882</v>
      </c>
      <c r="H24" s="29">
        <v>159.66245370400429</v>
      </c>
      <c r="I24" s="25">
        <v>44585.624988426003</v>
      </c>
      <c r="J24" s="25" t="s">
        <v>877</v>
      </c>
      <c r="K24" s="47">
        <v>16</v>
      </c>
      <c r="L24" s="47">
        <v>880</v>
      </c>
      <c r="M24" s="47">
        <f>Tabla35[[#This Row],[P Generada (KW)]]*Tabla35[[#This Row],[GE Salas (Principal)]]</f>
        <v>14080</v>
      </c>
      <c r="N24" s="47">
        <v>0</v>
      </c>
      <c r="O24" s="47">
        <v>0</v>
      </c>
      <c r="P24" s="47">
        <f>Tabla35[[#This Row],[P Generada (KW)2]]*Tabla35[[#This Row],[GE Oficinas (Respaldo)]]</f>
        <v>0</v>
      </c>
      <c r="Q24" s="60">
        <v>184182</v>
      </c>
      <c r="R24" s="60">
        <v>153239</v>
      </c>
      <c r="S24" s="56">
        <f>+Tabla35[[#This Row],[Cantidad Diesel /kg]]/Tabla35[[#This Row],[Cantidad Diesel /L]]</f>
        <v>0.83199769792922218</v>
      </c>
      <c r="T24" s="47" t="s">
        <v>875</v>
      </c>
      <c r="U24" s="47" t="s">
        <v>889</v>
      </c>
      <c r="V24" s="47" t="s">
        <v>889</v>
      </c>
      <c r="W24" s="47"/>
      <c r="X24" s="47">
        <f>Tabla35[[#This Row],[Total Generado KW]]+Tabla35[[#This Row],[Total Generado KW2]]</f>
        <v>14080</v>
      </c>
      <c r="Y24" s="50">
        <f>Tabla35[[#This Row],[Total Generado KW]]/1.5</f>
        <v>9386.6666666666661</v>
      </c>
      <c r="Z24" s="49"/>
      <c r="AA24" s="49"/>
      <c r="AB24" s="49">
        <f>+Tabla35[[#This Row],[MO Operación Promedio]]/Tabla35[[#This Row],[Total Generado KW]]</f>
        <v>7.1022727272727275E-4</v>
      </c>
      <c r="AC24" s="49">
        <f>+Tabla35[[#This Row],[MO Operación Máximo]]/Tabla35[[#This Row],[Total Generado KW]]</f>
        <v>1.2073863636363636E-3</v>
      </c>
      <c r="AD24" s="49">
        <f>+Tabla35[[#This Row],[MO Cierre Promedio]]/Tabla35[[#This Row],[Total Generado KW]]</f>
        <v>1.4204545454545455E-3</v>
      </c>
      <c r="AE24" s="49">
        <f>+Tabla35[[#This Row],[MO Cierre Máximo]]/Tabla35[[#This Row],[Total Generado KW]]</f>
        <v>2.840909090909091E-3</v>
      </c>
      <c r="AF24">
        <v>0</v>
      </c>
      <c r="AG24">
        <v>0</v>
      </c>
      <c r="AH24">
        <v>10</v>
      </c>
      <c r="AI24">
        <v>17</v>
      </c>
      <c r="AJ24">
        <v>20</v>
      </c>
      <c r="AK24">
        <v>40</v>
      </c>
      <c r="AL24">
        <v>-33.297023000000003</v>
      </c>
      <c r="AM24" s="85">
        <v>-70.703232999999997</v>
      </c>
      <c r="AP24" s="37" t="s">
        <v>909</v>
      </c>
      <c r="AQ24" s="37">
        <f>+SUM(AQ12:AQ23)</f>
        <v>21</v>
      </c>
      <c r="AR24" s="39">
        <f>+SUM(AR12:AR23)</f>
        <v>2880.3652199070038</v>
      </c>
    </row>
    <row r="25" spans="1:44" ht="14.45">
      <c r="A25" t="s">
        <v>910</v>
      </c>
      <c r="B25" s="24" t="s">
        <v>856</v>
      </c>
      <c r="C25" t="s">
        <v>857</v>
      </c>
      <c r="D25" t="s">
        <v>91</v>
      </c>
      <c r="E25" t="s">
        <v>887</v>
      </c>
      <c r="F25" s="36">
        <v>250</v>
      </c>
      <c r="G25" s="63" t="s">
        <v>898</v>
      </c>
      <c r="H25" s="29">
        <v>73.031122685002629</v>
      </c>
      <c r="I25" s="25">
        <v>44473.624988426003</v>
      </c>
      <c r="J25" s="25" t="s">
        <v>877</v>
      </c>
      <c r="K25" s="47">
        <v>32</v>
      </c>
      <c r="L25" s="47">
        <v>2600</v>
      </c>
      <c r="M25" s="47">
        <f>Tabla35[[#This Row],[P Generada (KW)]]*Tabla35[[#This Row],[GE Salas (Principal)]]</f>
        <v>83200</v>
      </c>
      <c r="N25" s="47">
        <v>2</v>
      </c>
      <c r="O25" s="47">
        <v>1500</v>
      </c>
      <c r="P25" s="47">
        <f>Tabla35[[#This Row],[P Generada (KW)2]]*Tabla35[[#This Row],[GE Oficinas (Respaldo)]]</f>
        <v>3000</v>
      </c>
      <c r="Q25" s="60">
        <v>626484</v>
      </c>
      <c r="R25" s="60">
        <v>538537</v>
      </c>
      <c r="S25" s="56">
        <f>+Tabla35[[#This Row],[Cantidad Diesel /kg]]/Tabla35[[#This Row],[Cantidad Diesel /L]]</f>
        <v>0.85961812272939131</v>
      </c>
      <c r="T25" s="47">
        <v>25</v>
      </c>
      <c r="U25" s="47" t="s">
        <v>889</v>
      </c>
      <c r="V25" s="47" t="s">
        <v>889</v>
      </c>
      <c r="W25" s="47"/>
      <c r="X25" s="47">
        <f>Tabla35[[#This Row],[Total Generado KW]]+Tabla35[[#This Row],[Total Generado KW2]]</f>
        <v>86200</v>
      </c>
      <c r="Y25" s="50">
        <f>Tabla35[[#This Row],[Total Generado KW]]/1.5</f>
        <v>55466.666666666664</v>
      </c>
      <c r="Z25" s="49">
        <f>+Tabla35[[#This Row],[MO Contrucción Promedio]]/Tabla35[[#This Row],[Total Generado KW]]</f>
        <v>1.201923076923077E-3</v>
      </c>
      <c r="AA25" s="49">
        <f>+Tabla35[[#This Row],[MO Contrucción Máximo]]/Tabla35[[#This Row],[Total Generado KW]]</f>
        <v>2.403846153846154E-3</v>
      </c>
      <c r="AB25" s="49">
        <f>+Tabla35[[#This Row],[MO Operación Promedio]]/Tabla35[[#This Row],[Total Generado KW]]</f>
        <v>2.403846153846154E-4</v>
      </c>
      <c r="AC25" s="49">
        <f>+Tabla35[[#This Row],[MO Operación Máximo]]/Tabla35[[#This Row],[Total Generado KW]]</f>
        <v>4.807692307692308E-4</v>
      </c>
      <c r="AD25" s="49">
        <f>+Tabla35[[#This Row],[MO Cierre Promedio]]/Tabla35[[#This Row],[Total Generado KW]]</f>
        <v>2.403846153846154E-4</v>
      </c>
      <c r="AE25" s="49">
        <f>+Tabla35[[#This Row],[MO Cierre Máximo]]/Tabla35[[#This Row],[Total Generado KW]]</f>
        <v>4.807692307692308E-4</v>
      </c>
      <c r="AF25">
        <v>100</v>
      </c>
      <c r="AG25">
        <v>200</v>
      </c>
      <c r="AH25">
        <v>20</v>
      </c>
      <c r="AI25">
        <v>40</v>
      </c>
      <c r="AJ25">
        <v>20</v>
      </c>
      <c r="AK25">
        <v>40</v>
      </c>
      <c r="AL25">
        <v>-33.532519000000001</v>
      </c>
      <c r="AM25" s="85">
        <v>-70.712123000000005</v>
      </c>
      <c r="AP25" s="4"/>
      <c r="AQ25" s="4"/>
      <c r="AR25" s="4"/>
    </row>
    <row r="26" spans="1:44" ht="14.45">
      <c r="A26" t="s">
        <v>911</v>
      </c>
      <c r="B26" s="24" t="s">
        <v>856</v>
      </c>
      <c r="C26" t="s">
        <v>857</v>
      </c>
      <c r="D26" t="s">
        <v>191</v>
      </c>
      <c r="E26" t="s">
        <v>895</v>
      </c>
      <c r="F26" s="36">
        <v>150</v>
      </c>
      <c r="G26" t="s">
        <v>882</v>
      </c>
      <c r="H26" s="29">
        <v>133.86081018600089</v>
      </c>
      <c r="I26" s="25">
        <v>44369.666655093002</v>
      </c>
      <c r="J26" s="25" t="s">
        <v>877</v>
      </c>
      <c r="K26" s="47">
        <v>30</v>
      </c>
      <c r="L26" s="47">
        <v>1800</v>
      </c>
      <c r="M26" s="47">
        <f>Tabla35[[#This Row],[P Generada (KW)]]*Tabla35[[#This Row],[GE Salas (Principal)]]</f>
        <v>54000</v>
      </c>
      <c r="N26" s="47">
        <v>0</v>
      </c>
      <c r="O26" s="47">
        <v>0</v>
      </c>
      <c r="P26" s="47">
        <f>Tabla35[[#This Row],[P Generada (KW)2]]*Tabla35[[#This Row],[GE Oficinas (Respaldo)]]</f>
        <v>0</v>
      </c>
      <c r="Q26" s="60">
        <v>796875</v>
      </c>
      <c r="R26" s="60">
        <v>663000</v>
      </c>
      <c r="S26" s="56">
        <f>+Tabla35[[#This Row],[Cantidad Diesel /kg]]/Tabla35[[#This Row],[Cantidad Diesel /L]]</f>
        <v>0.83199999999999996</v>
      </c>
      <c r="T26" s="47">
        <v>25</v>
      </c>
      <c r="U26" s="47">
        <v>24</v>
      </c>
      <c r="V26" s="47">
        <v>700</v>
      </c>
      <c r="W26" s="47">
        <f>Tabla35[[#This Row],[Consumo (KW)3]]*Tabla35[[#This Row],[Cantidad Chillers]]</f>
        <v>16800</v>
      </c>
      <c r="X26" s="47">
        <f>Tabla35[[#This Row],[Total Generado KW]]+Tabla35[[#This Row],[Total Generado KW2]]</f>
        <v>54000</v>
      </c>
      <c r="Y26" s="50">
        <f>Tabla35[[#This Row],[Total Generado KW]]/1.5</f>
        <v>36000</v>
      </c>
      <c r="Z26" s="49"/>
      <c r="AA26" s="49"/>
      <c r="AB26" s="49"/>
      <c r="AC26" s="49"/>
      <c r="AD26" s="49"/>
      <c r="AE26" s="49"/>
      <c r="AF26">
        <v>200</v>
      </c>
      <c r="AG26">
        <v>400</v>
      </c>
      <c r="AH26">
        <v>25</v>
      </c>
      <c r="AI26">
        <v>50</v>
      </c>
      <c r="AJ26">
        <v>20</v>
      </c>
      <c r="AK26">
        <v>45</v>
      </c>
      <c r="AL26">
        <v>-33.33728</v>
      </c>
      <c r="AM26" s="85">
        <v>-70.705939000000001</v>
      </c>
      <c r="AP26" s="4"/>
      <c r="AQ26" s="4"/>
      <c r="AR26" s="4"/>
    </row>
    <row r="27" spans="1:44" s="27" customFormat="1" ht="14.45">
      <c r="A27" t="s">
        <v>912</v>
      </c>
      <c r="B27" s="24" t="s">
        <v>856</v>
      </c>
      <c r="C27" t="s">
        <v>857</v>
      </c>
      <c r="D27" t="s">
        <v>191</v>
      </c>
      <c r="E27" t="s">
        <v>895</v>
      </c>
      <c r="F27" s="36">
        <v>70</v>
      </c>
      <c r="G27" t="s">
        <v>882</v>
      </c>
      <c r="H27" s="29">
        <v>198.80412037000497</v>
      </c>
      <c r="I27" s="25">
        <v>44224.624988426003</v>
      </c>
      <c r="J27" s="25" t="s">
        <v>913</v>
      </c>
      <c r="K27" s="47">
        <v>9</v>
      </c>
      <c r="L27" s="47">
        <v>2000</v>
      </c>
      <c r="M27" s="47">
        <f>Tabla35[[#This Row],[P Generada (KW)]]*Tabla35[[#This Row],[GE Salas (Principal)]]</f>
        <v>18000</v>
      </c>
      <c r="N27" s="47">
        <v>0</v>
      </c>
      <c r="O27" s="47">
        <v>0</v>
      </c>
      <c r="P27" s="47">
        <f>Tabla35[[#This Row],[P Generada (KW)2]]*Tabla35[[#This Row],[GE Oficinas (Respaldo)]]</f>
        <v>0</v>
      </c>
      <c r="Q27" s="60">
        <v>239062</v>
      </c>
      <c r="R27" s="60">
        <v>198900</v>
      </c>
      <c r="S27" s="56">
        <f>+Tabla35[[#This Row],[Cantidad Diesel /kg]]/Tabla35[[#This Row],[Cantidad Diesel /L]]</f>
        <v>0.83200174013435846</v>
      </c>
      <c r="T27" s="47">
        <v>20</v>
      </c>
      <c r="U27" s="47">
        <v>7</v>
      </c>
      <c r="V27" s="47">
        <v>700</v>
      </c>
      <c r="W27" s="47">
        <f>Tabla35[[#This Row],[Consumo (KW)3]]*Tabla35[[#This Row],[Cantidad Chillers]]</f>
        <v>4900</v>
      </c>
      <c r="X27" s="47">
        <f>Tabla35[[#This Row],[Total Generado KW]]+Tabla35[[#This Row],[Total Generado KW2]]</f>
        <v>18000</v>
      </c>
      <c r="Y27" s="50">
        <f>Tabla35[[#This Row],[Total Generado KW]]/1.5</f>
        <v>12000</v>
      </c>
      <c r="Z27" s="49">
        <f>+Tabla35[[#This Row],[MO Contrucción Promedio]]/Tabla35[[#This Row],[Total Generado KW]]</f>
        <v>1.6666666666666666E-2</v>
      </c>
      <c r="AA27" s="49">
        <f>+Tabla35[[#This Row],[MO Contrucción Máximo]]/Tabla35[[#This Row],[Total Generado KW]]</f>
        <v>1.6666666666666666E-2</v>
      </c>
      <c r="AB27" s="49">
        <f>+Tabla35[[#This Row],[MO Operación Promedio]]/Tabla35[[#This Row],[Total Generado KW]]</f>
        <v>1.3888888888888889E-3</v>
      </c>
      <c r="AC27" s="49">
        <f>+Tabla35[[#This Row],[MO Operación Máximo]]/Tabla35[[#This Row],[Total Generado KW]]</f>
        <v>1.3888888888888889E-3</v>
      </c>
      <c r="AD27" s="49">
        <f>+Tabla35[[#This Row],[MO Cierre Promedio]]/Tabla35[[#This Row],[Total Generado KW]]</f>
        <v>5.5555555555555556E-4</v>
      </c>
      <c r="AE27" s="49">
        <f>+Tabla35[[#This Row],[MO Cierre Máximo]]/Tabla35[[#This Row],[Total Generado KW]]</f>
        <v>5.5555555555555556E-4</v>
      </c>
      <c r="AF27">
        <v>300</v>
      </c>
      <c r="AG27">
        <v>300</v>
      </c>
      <c r="AH27">
        <v>25</v>
      </c>
      <c r="AI27">
        <v>25</v>
      </c>
      <c r="AJ27">
        <v>10</v>
      </c>
      <c r="AK27">
        <v>10</v>
      </c>
      <c r="AL27">
        <v>-33.335040999999997</v>
      </c>
      <c r="AM27" s="85">
        <v>-70.707173999999995</v>
      </c>
      <c r="AP27" s="44"/>
      <c r="AQ27" s="44"/>
      <c r="AR27" s="44"/>
    </row>
    <row r="28" spans="1:44" ht="14.45">
      <c r="A28" t="s">
        <v>914</v>
      </c>
      <c r="B28" s="24" t="s">
        <v>856</v>
      </c>
      <c r="C28" t="s">
        <v>857</v>
      </c>
      <c r="D28" t="s">
        <v>677</v>
      </c>
      <c r="E28" t="s">
        <v>897</v>
      </c>
      <c r="F28" s="36">
        <v>271</v>
      </c>
      <c r="G28" t="s">
        <v>882</v>
      </c>
      <c r="H28" s="29">
        <v>186.00893518500379</v>
      </c>
      <c r="I28" s="25">
        <v>44221.624988426003</v>
      </c>
      <c r="J28" s="25" t="s">
        <v>915</v>
      </c>
      <c r="K28" s="47">
        <v>10</v>
      </c>
      <c r="L28" s="47">
        <v>2000</v>
      </c>
      <c r="M28" s="47">
        <f>Tabla35[[#This Row],[P Generada (KW)]]*Tabla35[[#This Row],[GE Salas (Principal)]]</f>
        <v>20000</v>
      </c>
      <c r="N28" s="47">
        <v>2</v>
      </c>
      <c r="O28" s="47">
        <v>2000</v>
      </c>
      <c r="P28" s="47">
        <f>Tabla35[[#This Row],[P Generada (KW)2]]*Tabla35[[#This Row],[GE Oficinas (Respaldo)]]</f>
        <v>4000</v>
      </c>
      <c r="Q28" s="60">
        <v>840000</v>
      </c>
      <c r="R28" s="60">
        <v>701400</v>
      </c>
      <c r="S28" s="56">
        <f>+Tabla35[[#This Row],[Cantidad Diesel /kg]]/Tabla35[[#This Row],[Cantidad Diesel /L]]</f>
        <v>0.83499999999999996</v>
      </c>
      <c r="T28" s="47">
        <v>30</v>
      </c>
      <c r="U28" s="47">
        <v>7</v>
      </c>
      <c r="V28" s="47">
        <v>1250</v>
      </c>
      <c r="W28" s="47">
        <f>Tabla35[[#This Row],[Consumo (KW)3]]*Tabla35[[#This Row],[Cantidad Chillers]]</f>
        <v>8750</v>
      </c>
      <c r="X28" s="47">
        <f>Tabla35[[#This Row],[Total Generado KW]]+Tabla35[[#This Row],[Total Generado KW2]]</f>
        <v>24000</v>
      </c>
      <c r="Y28" s="50">
        <f>Tabla35[[#This Row],[Total Generado KW]]/1.5</f>
        <v>13333.333333333334</v>
      </c>
      <c r="Z28" s="49">
        <f>+Tabla35[[#This Row],[MO Contrucción Promedio]]/Tabla35[[#This Row],[Total Generado KW]]</f>
        <v>9.4999999999999998E-3</v>
      </c>
      <c r="AA28" s="49">
        <f>+Tabla35[[#This Row],[MO Contrucción Máximo]]/Tabla35[[#This Row],[Total Generado KW]]</f>
        <v>1.8499999999999999E-2</v>
      </c>
      <c r="AB28" s="49">
        <f>+Tabla35[[#This Row],[MO Operación Promedio]]/Tabla35[[#This Row],[Total Generado KW]]</f>
        <v>3.2499999999999999E-3</v>
      </c>
      <c r="AC28" s="49">
        <f>+Tabla35[[#This Row],[MO Operación Máximo]]/Tabla35[[#This Row],[Total Generado KW]]</f>
        <v>6.1999999999999998E-3</v>
      </c>
      <c r="AD28" s="49">
        <f>+Tabla35[[#This Row],[MO Cierre Promedio]]/Tabla35[[#This Row],[Total Generado KW]]</f>
        <v>1.25E-3</v>
      </c>
      <c r="AE28" s="49">
        <f>+Tabla35[[#This Row],[MO Cierre Máximo]]/Tabla35[[#This Row],[Total Generado KW]]</f>
        <v>2E-3</v>
      </c>
      <c r="AF28">
        <v>190</v>
      </c>
      <c r="AG28">
        <v>370</v>
      </c>
      <c r="AH28">
        <v>65</v>
      </c>
      <c r="AI28">
        <v>124</v>
      </c>
      <c r="AJ28">
        <v>25</v>
      </c>
      <c r="AK28">
        <v>40</v>
      </c>
      <c r="AL28">
        <v>-33.269959999999998</v>
      </c>
      <c r="AM28" s="85">
        <v>-70.849965999999995</v>
      </c>
      <c r="AP28" s="37" t="s">
        <v>916</v>
      </c>
      <c r="AQ28" s="37" t="s">
        <v>853</v>
      </c>
      <c r="AR28" s="4"/>
    </row>
    <row r="29" spans="1:44" s="71" customFormat="1" ht="14.45">
      <c r="A29" s="65" t="s">
        <v>917</v>
      </c>
      <c r="B29" s="66" t="s">
        <v>856</v>
      </c>
      <c r="C29" s="65" t="s">
        <v>857</v>
      </c>
      <c r="D29" s="65" t="s">
        <v>677</v>
      </c>
      <c r="E29" s="65" t="s">
        <v>897</v>
      </c>
      <c r="F29" s="67">
        <v>217</v>
      </c>
      <c r="G29" s="65" t="s">
        <v>898</v>
      </c>
      <c r="H29" s="68">
        <v>23.096157407002465</v>
      </c>
      <c r="I29" s="74">
        <v>44120.624988426003</v>
      </c>
      <c r="J29" s="69" t="s">
        <v>915</v>
      </c>
      <c r="K29" s="70"/>
      <c r="L29" s="70"/>
      <c r="M29" s="70"/>
      <c r="N29" s="70"/>
      <c r="O29" s="70"/>
      <c r="P29" s="70"/>
      <c r="T29" s="70"/>
      <c r="Z29" s="71">
        <f>+AVERAGE(Z12:Z28)</f>
        <v>4.7556635973012339E-3</v>
      </c>
      <c r="AA29" s="71">
        <f>+AVERAGE(AA12:AA28)</f>
        <v>7.4269328829354294E-3</v>
      </c>
      <c r="AB29" s="71">
        <f t="shared" ref="AB29:AC29" si="0">+AVERAGE(AB12:AB28)</f>
        <v>1.0878289382296384E-3</v>
      </c>
      <c r="AC29" s="71">
        <f t="shared" si="0"/>
        <v>1.8038119797780356E-3</v>
      </c>
      <c r="AD29" s="71">
        <f t="shared" ref="AD29" si="1">+AVERAGE(AD12:AD28)</f>
        <v>6.9646837583539265E-4</v>
      </c>
      <c r="AE29" s="71">
        <f t="shared" ref="AE29" si="2">+AVERAGE(AE12:AE28)</f>
        <v>1.2067178319404431E-3</v>
      </c>
      <c r="AL29">
        <v>-33.290326</v>
      </c>
      <c r="AM29" s="85">
        <v>-70.743577999999999</v>
      </c>
      <c r="AP29" s="72" t="s">
        <v>857</v>
      </c>
      <c r="AQ29" s="72">
        <v>19</v>
      </c>
      <c r="AR29" s="73"/>
    </row>
    <row r="30" spans="1:44" ht="14.45">
      <c r="A30" t="s">
        <v>918</v>
      </c>
      <c r="B30" s="24" t="s">
        <v>856</v>
      </c>
      <c r="C30" t="s">
        <v>857</v>
      </c>
      <c r="D30" t="s">
        <v>919</v>
      </c>
      <c r="E30" t="s">
        <v>903</v>
      </c>
      <c r="F30" s="36">
        <v>200</v>
      </c>
      <c r="G30" s="63" t="s">
        <v>920</v>
      </c>
      <c r="H30" s="29">
        <v>212.96521990700421</v>
      </c>
      <c r="I30" s="25">
        <v>43878.624988426003</v>
      </c>
      <c r="J30" s="25" t="s">
        <v>921</v>
      </c>
      <c r="AL30">
        <v>-33.521596000000002</v>
      </c>
      <c r="AM30" s="88">
        <v>-70.722915999999998</v>
      </c>
      <c r="AP30" s="37" t="s">
        <v>278</v>
      </c>
      <c r="AQ30" s="37">
        <v>2</v>
      </c>
      <c r="AR30" s="4"/>
    </row>
    <row r="31" spans="1:44" ht="14.45">
      <c r="A31" t="s">
        <v>922</v>
      </c>
      <c r="B31" s="24" t="s">
        <v>856</v>
      </c>
      <c r="C31" t="s">
        <v>857</v>
      </c>
      <c r="D31" t="s">
        <v>191</v>
      </c>
      <c r="E31" t="s">
        <v>900</v>
      </c>
      <c r="F31" s="36">
        <v>125</v>
      </c>
      <c r="G31" t="s">
        <v>882</v>
      </c>
      <c r="H31" s="29">
        <v>198.78296296300687</v>
      </c>
      <c r="I31" s="25">
        <v>43384.624988425923</v>
      </c>
      <c r="J31" s="25" t="s">
        <v>923</v>
      </c>
      <c r="Q31" s="60">
        <v>402100</v>
      </c>
      <c r="R31" s="60">
        <v>341785</v>
      </c>
      <c r="AL31">
        <v>-33.269959999999998</v>
      </c>
      <c r="AM31" s="85">
        <v>-70.849965999999995</v>
      </c>
      <c r="AP31" s="4"/>
      <c r="AQ31" s="4"/>
      <c r="AR31" s="4"/>
    </row>
    <row r="32" spans="1:44" ht="14.45">
      <c r="A32" t="s">
        <v>924</v>
      </c>
      <c r="B32" s="24" t="s">
        <v>856</v>
      </c>
      <c r="C32" t="s">
        <v>857</v>
      </c>
      <c r="D32" t="s">
        <v>191</v>
      </c>
      <c r="E32" t="s">
        <v>903</v>
      </c>
      <c r="F32" s="36">
        <v>140</v>
      </c>
      <c r="G32" t="s">
        <v>882</v>
      </c>
      <c r="H32" s="29">
        <v>152.77572916700592</v>
      </c>
      <c r="I32" s="25">
        <v>43151.624988426003</v>
      </c>
      <c r="J32" s="25" t="s">
        <v>925</v>
      </c>
      <c r="AL32">
        <v>-33.358428000000004</v>
      </c>
      <c r="AM32" s="85">
        <v>-70.692537000000002</v>
      </c>
      <c r="AP32" s="37" t="s">
        <v>926</v>
      </c>
      <c r="AQ32" s="37" t="s">
        <v>927</v>
      </c>
      <c r="AR32" s="4"/>
    </row>
    <row r="33" spans="1:44" ht="14.45">
      <c r="A33" t="s">
        <v>928</v>
      </c>
      <c r="B33" s="24" t="s">
        <v>856</v>
      </c>
      <c r="C33" t="s">
        <v>857</v>
      </c>
      <c r="D33" t="s">
        <v>191</v>
      </c>
      <c r="E33" t="s">
        <v>903</v>
      </c>
      <c r="F33" s="36">
        <v>5.2</v>
      </c>
      <c r="G33" t="s">
        <v>882</v>
      </c>
      <c r="H33" s="29">
        <v>401.13731481500145</v>
      </c>
      <c r="I33" s="25">
        <v>42396.624988426003</v>
      </c>
      <c r="J33" s="25" t="s">
        <v>921</v>
      </c>
      <c r="AL33">
        <v>-33.359343000000003</v>
      </c>
      <c r="AM33" s="85">
        <v>-70.698385000000002</v>
      </c>
      <c r="AP33" s="37" t="s">
        <v>929</v>
      </c>
      <c r="AQ33" s="40">
        <f>+MAX(H12:H18,H20:H24,H26:H28,H30:H35,H39)</f>
        <v>527.10204861200327</v>
      </c>
      <c r="AR33" s="4"/>
    </row>
    <row r="34" spans="1:44" ht="14.45">
      <c r="A34" t="s">
        <v>930</v>
      </c>
      <c r="B34" s="24" t="s">
        <v>856</v>
      </c>
      <c r="C34" t="s">
        <v>857</v>
      </c>
      <c r="D34" t="s">
        <v>403</v>
      </c>
      <c r="E34" t="s">
        <v>881</v>
      </c>
      <c r="F34" s="36">
        <v>44</v>
      </c>
      <c r="G34" t="s">
        <v>882</v>
      </c>
      <c r="H34" s="29">
        <v>229.85103009300656</v>
      </c>
      <c r="I34" s="25">
        <v>42114.624988426003</v>
      </c>
      <c r="J34" s="25" t="s">
        <v>931</v>
      </c>
      <c r="AL34">
        <v>-33.447637999999998</v>
      </c>
      <c r="AM34" s="85">
        <v>-70.851623000000004</v>
      </c>
      <c r="AP34" s="37" t="s">
        <v>932</v>
      </c>
      <c r="AQ34" s="40">
        <f>+MIN(H12:H18,H20:H24,H26:H28,H30:H35,H39)</f>
        <v>100.5</v>
      </c>
      <c r="AR34" s="4"/>
    </row>
    <row r="35" spans="1:44" ht="14.45">
      <c r="A35" t="s">
        <v>933</v>
      </c>
      <c r="B35" s="24" t="s">
        <v>856</v>
      </c>
      <c r="C35" t="s">
        <v>857</v>
      </c>
      <c r="D35" t="s">
        <v>699</v>
      </c>
      <c r="E35" t="s">
        <v>905</v>
      </c>
      <c r="F35" s="36">
        <v>85</v>
      </c>
      <c r="G35" t="s">
        <v>882</v>
      </c>
      <c r="H35" s="29">
        <v>320.5</v>
      </c>
      <c r="I35" s="25">
        <v>41157.624988426003</v>
      </c>
      <c r="J35" s="25" t="s">
        <v>913</v>
      </c>
      <c r="K35" s="47">
        <v>16</v>
      </c>
      <c r="L35" s="47">
        <v>2200</v>
      </c>
      <c r="AL35">
        <v>-33.241607000000002</v>
      </c>
      <c r="AM35" s="85">
        <v>-70.738957999999997</v>
      </c>
      <c r="AP35" s="37" t="s">
        <v>934</v>
      </c>
      <c r="AQ35" s="40">
        <f>+MEDIAN(H12:H18,H20:H24,H26:H28,H30:H35,H39)</f>
        <v>212.96521990700421</v>
      </c>
      <c r="AR35" s="4"/>
    </row>
    <row r="36" spans="1:44" ht="14.45">
      <c r="A36" t="s">
        <v>935</v>
      </c>
      <c r="B36" s="24" t="s">
        <v>856</v>
      </c>
      <c r="C36" t="s">
        <v>857</v>
      </c>
      <c r="D36" t="s">
        <v>191</v>
      </c>
      <c r="E36" t="s">
        <v>900</v>
      </c>
      <c r="F36" s="36">
        <v>20</v>
      </c>
      <c r="G36" s="63" t="s">
        <v>898</v>
      </c>
      <c r="H36" s="29">
        <v>10.5</v>
      </c>
      <c r="I36" s="25">
        <v>40970.624988426003</v>
      </c>
      <c r="J36" s="25"/>
      <c r="AL36" s="84">
        <v>-33.356622999999999</v>
      </c>
      <c r="AM36" s="85">
        <v>-70.698836</v>
      </c>
      <c r="AP36" s="37" t="s">
        <v>936</v>
      </c>
      <c r="AQ36" s="40">
        <f>+AVERAGE(H12:H18,H20:H24,H26:H28,H30:H35,H39)</f>
        <v>258.3693044534798</v>
      </c>
      <c r="AR36" s="4"/>
    </row>
    <row r="37" spans="1:44" ht="14.45">
      <c r="A37" t="s">
        <v>935</v>
      </c>
      <c r="B37" s="24" t="s">
        <v>856</v>
      </c>
      <c r="C37" t="s">
        <v>857</v>
      </c>
      <c r="D37" t="s">
        <v>191</v>
      </c>
      <c r="E37" t="s">
        <v>900</v>
      </c>
      <c r="F37" s="36">
        <v>20</v>
      </c>
      <c r="G37" s="63" t="s">
        <v>898</v>
      </c>
      <c r="H37" s="29">
        <v>12.5</v>
      </c>
      <c r="I37" s="25">
        <v>40959.624988426003</v>
      </c>
      <c r="J37" s="25"/>
      <c r="AL37" s="84">
        <v>-33.356724999999997</v>
      </c>
      <c r="AM37" s="85">
        <v>-70.699370999999999</v>
      </c>
    </row>
    <row r="38" spans="1:44" ht="14.45">
      <c r="A38" t="s">
        <v>935</v>
      </c>
      <c r="B38" s="24" t="s">
        <v>856</v>
      </c>
      <c r="C38" t="s">
        <v>857</v>
      </c>
      <c r="D38" t="s">
        <v>191</v>
      </c>
      <c r="E38" t="s">
        <v>900</v>
      </c>
      <c r="F38" s="36">
        <v>14.5</v>
      </c>
      <c r="G38" s="63" t="s">
        <v>898</v>
      </c>
      <c r="H38" s="29">
        <v>47.5</v>
      </c>
      <c r="I38" s="25">
        <v>40911.624988426003</v>
      </c>
      <c r="J38" s="25"/>
      <c r="AL38" s="84">
        <v>-33.355777000000003</v>
      </c>
      <c r="AM38" s="85">
        <v>-70.695381999999995</v>
      </c>
    </row>
    <row r="39" spans="1:44" ht="14.45">
      <c r="A39" t="s">
        <v>937</v>
      </c>
      <c r="B39" s="24" t="s">
        <v>856</v>
      </c>
      <c r="C39" t="s">
        <v>857</v>
      </c>
      <c r="D39" t="s">
        <v>938</v>
      </c>
      <c r="E39" t="s">
        <v>907</v>
      </c>
      <c r="F39" s="36">
        <v>31</v>
      </c>
      <c r="G39" t="s">
        <v>882</v>
      </c>
      <c r="H39" s="29">
        <v>100.5</v>
      </c>
      <c r="I39" s="25">
        <v>40877.624988426003</v>
      </c>
      <c r="J39" s="25" t="s">
        <v>913</v>
      </c>
      <c r="AL39" s="84">
        <v>-33.811284999999998</v>
      </c>
      <c r="AM39" s="85">
        <v>-70.748898999999994</v>
      </c>
    </row>
    <row r="40" spans="1:44" ht="14.45">
      <c r="A40" t="s">
        <v>939</v>
      </c>
      <c r="B40" s="24" t="s">
        <v>856</v>
      </c>
      <c r="C40" t="s">
        <v>857</v>
      </c>
      <c r="D40" t="s">
        <v>938</v>
      </c>
      <c r="E40" t="s">
        <v>940</v>
      </c>
      <c r="F40" s="36">
        <v>31</v>
      </c>
      <c r="G40" s="63" t="s">
        <v>898</v>
      </c>
      <c r="H40" s="29">
        <v>13.5</v>
      </c>
      <c r="I40" s="25">
        <v>40765.666655093002</v>
      </c>
      <c r="J40" s="25" t="s">
        <v>913</v>
      </c>
      <c r="AL40" s="84">
        <v>-33.811281999999999</v>
      </c>
      <c r="AM40" s="85">
        <v>-70.749425000000002</v>
      </c>
    </row>
    <row r="41" spans="1:44" ht="14.45">
      <c r="A41" t="s">
        <v>941</v>
      </c>
      <c r="B41" s="24" t="s">
        <v>856</v>
      </c>
      <c r="C41" t="s">
        <v>857</v>
      </c>
      <c r="D41" t="s">
        <v>938</v>
      </c>
      <c r="E41" t="s">
        <v>940</v>
      </c>
      <c r="F41" s="36">
        <v>32</v>
      </c>
      <c r="G41" s="63" t="s">
        <v>942</v>
      </c>
      <c r="H41" s="29">
        <v>13.5</v>
      </c>
      <c r="I41" s="25">
        <v>40581.624988426003</v>
      </c>
      <c r="J41" s="25" t="s">
        <v>913</v>
      </c>
      <c r="AL41" s="86">
        <v>-33.812241</v>
      </c>
      <c r="AM41" s="87">
        <v>-70.748834000000002</v>
      </c>
    </row>
    <row r="42" spans="1:44" ht="14.45">
      <c r="Z42" s="46" t="s">
        <v>943</v>
      </c>
      <c r="AA42" s="46" t="s">
        <v>837</v>
      </c>
      <c r="AB42" s="46" t="s">
        <v>838</v>
      </c>
      <c r="AC42" s="46" t="s">
        <v>839</v>
      </c>
      <c r="AD42" s="46" t="s">
        <v>840</v>
      </c>
      <c r="AE42" s="46" t="s">
        <v>841</v>
      </c>
    </row>
    <row r="43" spans="1:44" ht="14.45">
      <c r="Y43" s="55" t="s">
        <v>944</v>
      </c>
      <c r="Z43" s="56">
        <f>+Z29*120000</f>
        <v>570.67963167614812</v>
      </c>
      <c r="AA43" s="56">
        <f t="shared" ref="AA43:AE43" si="3">+AA29*120000</f>
        <v>891.23194595225152</v>
      </c>
      <c r="AB43" s="56">
        <f t="shared" si="3"/>
        <v>130.53947258755662</v>
      </c>
      <c r="AC43" s="56">
        <f t="shared" si="3"/>
        <v>216.45743757336427</v>
      </c>
      <c r="AD43" s="56">
        <f t="shared" si="3"/>
        <v>83.576205100247122</v>
      </c>
      <c r="AE43" s="56">
        <f t="shared" si="3"/>
        <v>144.80613983285318</v>
      </c>
    </row>
    <row r="44" spans="1:44" ht="14.45">
      <c r="I44" t="s">
        <v>945</v>
      </c>
      <c r="J44">
        <v>10</v>
      </c>
    </row>
    <row r="45" spans="1:44" ht="14.45">
      <c r="I45" t="s">
        <v>946</v>
      </c>
      <c r="J45">
        <v>3</v>
      </c>
    </row>
    <row r="46" spans="1:44" ht="14.45">
      <c r="I46" t="s">
        <v>947</v>
      </c>
      <c r="J46">
        <v>5</v>
      </c>
    </row>
    <row r="47" spans="1:44" ht="14.45">
      <c r="I47" t="s">
        <v>948</v>
      </c>
      <c r="J47">
        <v>2</v>
      </c>
    </row>
    <row r="48" spans="1:44" ht="14.45">
      <c r="I48" t="s">
        <v>949</v>
      </c>
      <c r="J48">
        <v>2</v>
      </c>
      <c r="Y48" t="s">
        <v>950</v>
      </c>
      <c r="Z48" s="57" t="s">
        <v>951</v>
      </c>
      <c r="AA48" s="57" t="s">
        <v>952</v>
      </c>
      <c r="AB48" s="57" t="s">
        <v>953</v>
      </c>
    </row>
    <row r="49" spans="26:28" ht="14.45">
      <c r="Z49" s="58" t="s">
        <v>954</v>
      </c>
      <c r="AA49" s="59">
        <f>Z43</f>
        <v>570.67963167614812</v>
      </c>
      <c r="AB49" s="59">
        <f>AA43</f>
        <v>891.23194595225152</v>
      </c>
    </row>
    <row r="50" spans="26:28" ht="14.45">
      <c r="Z50" s="58" t="s">
        <v>955</v>
      </c>
      <c r="AA50" s="59">
        <f>AB43</f>
        <v>130.53947258755662</v>
      </c>
      <c r="AB50" s="59">
        <f>AC43</f>
        <v>216.45743757336427</v>
      </c>
    </row>
    <row r="51" spans="26:28" ht="14.45">
      <c r="Z51" s="58" t="s">
        <v>956</v>
      </c>
      <c r="AA51" s="59">
        <f>AD43</f>
        <v>83.576205100247122</v>
      </c>
      <c r="AB51" s="59">
        <f>AE43</f>
        <v>144.80613983285318</v>
      </c>
    </row>
  </sheetData>
  <mergeCells count="1">
    <mergeCell ref="Z1:AK1"/>
  </mergeCells>
  <phoneticPr fontId="6" type="noConversion"/>
  <hyperlinks>
    <hyperlink ref="B13" r:id="rId1" xr:uid="{CAF18CA8-39EC-4EDE-A15F-C136976968B5}"/>
    <hyperlink ref="B12" r:id="rId2" xr:uid="{AA33076C-D14F-40D9-885F-DE81C3E7C19B}"/>
    <hyperlink ref="B14" r:id="rId3" xr:uid="{887DCE6D-7C6B-4D67-A6E4-9F79C98B258C}"/>
    <hyperlink ref="B15" r:id="rId4" xr:uid="{60A53D56-7402-41FB-B239-A61DACC70DD7}"/>
    <hyperlink ref="B16" r:id="rId5" xr:uid="{7893EC99-3B54-4DFC-9031-ABC90913B21A}"/>
    <hyperlink ref="B20" r:id="rId6" xr:uid="{18D8D4EB-898C-4222-A213-EECD6D85DC73}"/>
    <hyperlink ref="B22" r:id="rId7" xr:uid="{63D40C6B-12B9-4FC8-A854-A85F3ACD6086}"/>
    <hyperlink ref="B23" r:id="rId8" xr:uid="{83B607A6-1DA3-4094-80E5-A23CE094EA93}"/>
    <hyperlink ref="B24" r:id="rId9" xr:uid="{E6CC446B-394F-44A6-B747-BF98D1A486EB}"/>
    <hyperlink ref="B25" r:id="rId10" xr:uid="{9F08C5ED-2990-4867-9450-8FD045311BB5}"/>
    <hyperlink ref="B26" r:id="rId11" xr:uid="{BCE04BFB-18DF-4AE2-A5BA-5538560262E3}"/>
    <hyperlink ref="B29" r:id="rId12" xr:uid="{88158BFA-55AD-4341-BCDA-6F667E400D1F}"/>
    <hyperlink ref="B28" r:id="rId13" xr:uid="{C37E693D-EE89-40F4-9648-0F443E86C56C}"/>
    <hyperlink ref="B27" r:id="rId14" xr:uid="{F2210511-E4AC-4DA9-961B-BC0D67ED7D05}"/>
    <hyperlink ref="B30" r:id="rId15" xr:uid="{8E833513-766F-4321-A803-50DFD577725F}"/>
    <hyperlink ref="B31" r:id="rId16" xr:uid="{ADD10EAA-B21E-4176-B943-2F5EED5A9A47}"/>
    <hyperlink ref="B32" r:id="rId17" xr:uid="{67151857-C86A-4B72-80AD-902D0C23130D}"/>
    <hyperlink ref="B33" r:id="rId18" xr:uid="{EFB5F7DB-8EEE-47AA-B9B1-15E4CC267E63}"/>
    <hyperlink ref="B34" r:id="rId19" xr:uid="{D109C9BB-58B2-4AB6-BFE8-B4B9A9C1B189}"/>
    <hyperlink ref="B36" r:id="rId20" xr:uid="{1942EC5C-3AF3-4C18-BDB2-4DAF2618E192}"/>
    <hyperlink ref="B37" r:id="rId21" xr:uid="{32EED68B-E725-467C-8BD9-1E87819318F6}"/>
    <hyperlink ref="B38" r:id="rId22" xr:uid="{D64A3903-4784-46A6-A920-C8E3B1516231}"/>
    <hyperlink ref="B35" r:id="rId23" xr:uid="{A68B6C07-3E9C-450B-B13E-016A8D830FD3}"/>
    <hyperlink ref="B39" r:id="rId24" xr:uid="{91718D7E-2C25-47C2-BC10-48703081162F}"/>
    <hyperlink ref="B40" r:id="rId25" xr:uid="{8BBFAD88-2746-4B51-9C74-492F2CEDEC34}"/>
    <hyperlink ref="B41" r:id="rId26" xr:uid="{6CBF26C4-9F9E-4210-BB9A-7C672C75E644}"/>
    <hyperlink ref="B17" r:id="rId27" xr:uid="{53141A3A-25AF-498E-BAB9-944018A08570}"/>
    <hyperlink ref="B18" r:id="rId28" xr:uid="{49A49CB1-1320-48FA-BED9-8A9349E465A5}"/>
    <hyperlink ref="B19" r:id="rId29" xr:uid="{56D4CAD0-4936-46C2-8A37-1316048FE715}"/>
    <hyperlink ref="B21" r:id="rId30" xr:uid="{3659D4F7-AF60-4E9A-A427-B42C225E8007}"/>
    <hyperlink ref="B6" r:id="rId31" xr:uid="{684F8961-A0A4-4FA7-BA9F-99577F4675BA}"/>
    <hyperlink ref="B5" r:id="rId32" xr:uid="{84CF0484-5DD5-4387-B25E-5D90E478C895}"/>
    <hyperlink ref="B4" r:id="rId33" xr:uid="{C7A16AC7-7C04-4DE6-A1FE-7E50D6351434}"/>
  </hyperlinks>
  <pageMargins left="0.7" right="0.7" top="0.75" bottom="0.75" header="0.3" footer="0.3"/>
  <pageSetup paperSize="9" orientation="portrait" r:id="rId34"/>
  <legacyDrawing r:id="rId35"/>
  <tableParts count="1">
    <tablePart r:id="rId3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A524-0B75-4F7F-A630-0E588A650A8D}">
  <dimension ref="A1:U2641"/>
  <sheetViews>
    <sheetView topLeftCell="A57" zoomScale="115" zoomScaleNormal="115" workbookViewId="0">
      <selection activeCell="D1384" sqref="D1384"/>
    </sheetView>
  </sheetViews>
  <sheetFormatPr defaultColWidth="11.42578125" defaultRowHeight="15.95"/>
  <cols>
    <col min="1" max="1" width="11.42578125" style="41"/>
    <col min="2" max="2" width="37.140625" style="41" customWidth="1"/>
    <col min="3" max="3" width="5" style="41" bestFit="1" customWidth="1"/>
    <col min="4" max="4" width="11.42578125" style="41"/>
    <col min="5" max="5" width="24.85546875" style="41" customWidth="1"/>
    <col min="6" max="7" width="11.42578125" style="41"/>
    <col min="8" max="9" width="20.5703125" style="41" customWidth="1"/>
    <col min="10" max="10" width="11.42578125" style="41"/>
    <col min="11" max="11" width="24.140625" style="41" customWidth="1"/>
    <col min="12" max="16384" width="11.42578125" style="41"/>
  </cols>
  <sheetData>
    <row r="1" spans="1:21">
      <c r="A1" s="41" t="s">
        <v>0</v>
      </c>
      <c r="B1" s="41" t="s">
        <v>1</v>
      </c>
      <c r="C1" s="41" t="s">
        <v>957</v>
      </c>
      <c r="D1" s="41" t="s">
        <v>8</v>
      </c>
      <c r="E1" s="41" t="s">
        <v>9</v>
      </c>
      <c r="F1" s="41" t="s">
        <v>10</v>
      </c>
      <c r="G1" s="41" t="s">
        <v>11</v>
      </c>
      <c r="H1" s="41" t="s">
        <v>12</v>
      </c>
      <c r="I1" s="41" t="s">
        <v>13</v>
      </c>
      <c r="J1" s="41" t="s">
        <v>14</v>
      </c>
      <c r="K1" s="41" t="s">
        <v>15</v>
      </c>
      <c r="L1" s="41" t="s">
        <v>16</v>
      </c>
      <c r="M1" s="41" t="s">
        <v>17</v>
      </c>
      <c r="N1" s="41" t="s">
        <v>18</v>
      </c>
      <c r="O1" s="41" t="s">
        <v>19</v>
      </c>
      <c r="P1" s="41" t="s">
        <v>20</v>
      </c>
      <c r="Q1" s="41" t="s">
        <v>21</v>
      </c>
      <c r="R1" s="41" t="s">
        <v>22</v>
      </c>
      <c r="S1" s="41" t="s">
        <v>23</v>
      </c>
      <c r="T1" s="41" t="s">
        <v>24</v>
      </c>
      <c r="U1" s="41" t="s">
        <v>25</v>
      </c>
    </row>
    <row r="2" spans="1:21">
      <c r="A2" s="41">
        <v>2951</v>
      </c>
      <c r="B2" s="41" t="s">
        <v>958</v>
      </c>
      <c r="E2" s="41" t="s">
        <v>959</v>
      </c>
      <c r="F2" s="41" t="s">
        <v>28</v>
      </c>
      <c r="G2" s="41" t="s">
        <v>29</v>
      </c>
      <c r="I2" s="41" t="s">
        <v>960</v>
      </c>
      <c r="J2" s="41" t="s">
        <v>380</v>
      </c>
      <c r="K2" s="42"/>
      <c r="L2" s="41" t="s">
        <v>961</v>
      </c>
      <c r="M2" s="41">
        <v>66</v>
      </c>
      <c r="N2" s="41" t="s">
        <v>962</v>
      </c>
      <c r="O2" s="41" t="s">
        <v>961</v>
      </c>
      <c r="P2" s="41" t="s">
        <v>60</v>
      </c>
      <c r="Q2" s="41" t="s">
        <v>963</v>
      </c>
      <c r="R2" s="41" t="s">
        <v>39</v>
      </c>
      <c r="S2" s="41" t="s">
        <v>40</v>
      </c>
      <c r="T2" s="41" t="s">
        <v>40</v>
      </c>
      <c r="U2" s="41" t="s">
        <v>40</v>
      </c>
    </row>
    <row r="3" spans="1:21">
      <c r="A3" s="41">
        <v>2950</v>
      </c>
      <c r="B3" s="41" t="s">
        <v>964</v>
      </c>
      <c r="E3" s="41" t="s">
        <v>965</v>
      </c>
      <c r="F3" s="41" t="s">
        <v>28</v>
      </c>
      <c r="G3" s="41" t="s">
        <v>29</v>
      </c>
      <c r="I3" s="41" t="s">
        <v>966</v>
      </c>
      <c r="J3" s="41" t="s">
        <v>32</v>
      </c>
      <c r="K3" s="42"/>
      <c r="L3" s="41" t="s">
        <v>967</v>
      </c>
      <c r="M3" s="41">
        <v>220</v>
      </c>
      <c r="N3" s="41" t="s">
        <v>968</v>
      </c>
      <c r="O3" s="41" t="s">
        <v>968</v>
      </c>
      <c r="P3" s="41" t="s">
        <v>37</v>
      </c>
      <c r="Q3" s="41" t="s">
        <v>969</v>
      </c>
      <c r="R3" s="41" t="s">
        <v>39</v>
      </c>
      <c r="S3" s="41" t="s">
        <v>40</v>
      </c>
      <c r="T3" s="41" t="s">
        <v>40</v>
      </c>
      <c r="U3" s="41" t="s">
        <v>40</v>
      </c>
    </row>
    <row r="4" spans="1:21">
      <c r="A4" s="41">
        <v>2949</v>
      </c>
      <c r="B4" s="41" t="s">
        <v>970</v>
      </c>
      <c r="E4" s="41" t="s">
        <v>971</v>
      </c>
      <c r="F4" s="41" t="s">
        <v>53</v>
      </c>
      <c r="G4" s="41" t="s">
        <v>972</v>
      </c>
      <c r="I4" s="41" t="s">
        <v>973</v>
      </c>
      <c r="J4" s="41" t="s">
        <v>32</v>
      </c>
      <c r="K4" s="42"/>
      <c r="L4" s="41" t="s">
        <v>974</v>
      </c>
      <c r="M4" s="41">
        <v>220</v>
      </c>
      <c r="N4" s="41" t="s">
        <v>805</v>
      </c>
      <c r="O4" s="41" t="s">
        <v>396</v>
      </c>
      <c r="P4" s="41" t="s">
        <v>98</v>
      </c>
      <c r="Q4" s="41" t="s">
        <v>116</v>
      </c>
      <c r="R4" s="41" t="s">
        <v>62</v>
      </c>
      <c r="S4" s="41" t="s">
        <v>40</v>
      </c>
      <c r="T4" s="41" t="s">
        <v>40</v>
      </c>
      <c r="U4" s="41" t="s">
        <v>40</v>
      </c>
    </row>
    <row r="5" spans="1:21">
      <c r="A5" s="41">
        <v>2948</v>
      </c>
      <c r="B5" s="41" t="s">
        <v>975</v>
      </c>
      <c r="E5" s="41" t="s">
        <v>976</v>
      </c>
      <c r="F5" s="41" t="s">
        <v>28</v>
      </c>
      <c r="G5" s="41" t="s">
        <v>29</v>
      </c>
      <c r="I5" s="41" t="s">
        <v>977</v>
      </c>
      <c r="J5" s="41" t="s">
        <v>672</v>
      </c>
      <c r="K5" s="42"/>
      <c r="L5" s="41" t="s">
        <v>978</v>
      </c>
      <c r="M5" s="41">
        <v>110</v>
      </c>
      <c r="N5" s="41" t="s">
        <v>979</v>
      </c>
      <c r="O5" s="41" t="s">
        <v>741</v>
      </c>
      <c r="P5" s="41" t="s">
        <v>98</v>
      </c>
      <c r="Q5" s="41" t="s">
        <v>370</v>
      </c>
      <c r="R5" s="41" t="s">
        <v>39</v>
      </c>
      <c r="S5" s="41" t="s">
        <v>40</v>
      </c>
      <c r="T5" s="41" t="s">
        <v>40</v>
      </c>
      <c r="U5" s="41" t="s">
        <v>40</v>
      </c>
    </row>
    <row r="6" spans="1:21">
      <c r="A6" s="41">
        <v>2947</v>
      </c>
      <c r="B6" s="41" t="s">
        <v>980</v>
      </c>
      <c r="E6" s="41" t="s">
        <v>981</v>
      </c>
      <c r="F6" s="41" t="s">
        <v>53</v>
      </c>
      <c r="G6" s="41" t="s">
        <v>972</v>
      </c>
      <c r="I6" s="41" t="s">
        <v>982</v>
      </c>
      <c r="J6" s="41" t="s">
        <v>32</v>
      </c>
      <c r="K6" s="42"/>
      <c r="L6" s="41" t="s">
        <v>983</v>
      </c>
      <c r="M6" s="41">
        <v>110</v>
      </c>
      <c r="N6" s="41" t="s">
        <v>984</v>
      </c>
      <c r="O6" s="41" t="s">
        <v>985</v>
      </c>
      <c r="P6" s="41" t="s">
        <v>179</v>
      </c>
      <c r="Q6" s="41" t="s">
        <v>592</v>
      </c>
      <c r="R6" s="41" t="s">
        <v>62</v>
      </c>
      <c r="S6" s="41" t="s">
        <v>40</v>
      </c>
      <c r="T6" s="41" t="s">
        <v>40</v>
      </c>
      <c r="U6" s="41" t="s">
        <v>40</v>
      </c>
    </row>
    <row r="7" spans="1:21">
      <c r="A7" s="41">
        <v>2946</v>
      </c>
      <c r="B7" s="41" t="s">
        <v>986</v>
      </c>
      <c r="E7" s="41" t="s">
        <v>987</v>
      </c>
      <c r="F7" s="41" t="s">
        <v>28</v>
      </c>
      <c r="G7" s="41" t="s">
        <v>29</v>
      </c>
      <c r="I7" s="41" t="s">
        <v>149</v>
      </c>
      <c r="J7" s="41" t="s">
        <v>32</v>
      </c>
      <c r="K7" s="42"/>
      <c r="L7" s="41" t="s">
        <v>988</v>
      </c>
      <c r="M7" s="41">
        <v>23</v>
      </c>
      <c r="N7" s="41" t="s">
        <v>340</v>
      </c>
      <c r="O7" s="41" t="s">
        <v>989</v>
      </c>
      <c r="P7" s="41" t="s">
        <v>60</v>
      </c>
      <c r="Q7" s="41" t="s">
        <v>990</v>
      </c>
      <c r="R7" s="41" t="s">
        <v>39</v>
      </c>
      <c r="S7" s="41" t="s">
        <v>40</v>
      </c>
      <c r="T7" s="41" t="s">
        <v>40</v>
      </c>
      <c r="U7" s="41" t="s">
        <v>40</v>
      </c>
    </row>
    <row r="8" spans="1:21">
      <c r="A8" s="41">
        <v>2945</v>
      </c>
      <c r="B8" s="41" t="s">
        <v>991</v>
      </c>
      <c r="E8" s="41" t="s">
        <v>992</v>
      </c>
      <c r="F8" s="41" t="s">
        <v>42</v>
      </c>
      <c r="G8" s="41" t="s">
        <v>993</v>
      </c>
      <c r="I8" s="41" t="s">
        <v>994</v>
      </c>
      <c r="J8" s="41" t="s">
        <v>672</v>
      </c>
      <c r="K8" s="42"/>
      <c r="L8" s="41" t="s">
        <v>995</v>
      </c>
      <c r="M8" s="41">
        <v>23</v>
      </c>
      <c r="N8" s="41" t="s">
        <v>996</v>
      </c>
      <c r="O8" s="41" t="s">
        <v>388</v>
      </c>
      <c r="P8" s="41" t="s">
        <v>68</v>
      </c>
      <c r="Q8" s="41" t="s">
        <v>677</v>
      </c>
      <c r="R8" s="41" t="s">
        <v>39</v>
      </c>
      <c r="S8" s="41" t="s">
        <v>40</v>
      </c>
      <c r="T8" s="41" t="s">
        <v>40</v>
      </c>
      <c r="U8" s="41" t="s">
        <v>40</v>
      </c>
    </row>
    <row r="9" spans="1:21">
      <c r="A9" s="41">
        <v>2944</v>
      </c>
      <c r="B9" s="41" t="s">
        <v>997</v>
      </c>
      <c r="E9" s="41" t="s">
        <v>998</v>
      </c>
      <c r="F9" s="41" t="s">
        <v>53</v>
      </c>
      <c r="G9" s="41" t="s">
        <v>972</v>
      </c>
      <c r="I9" s="41" t="s">
        <v>999</v>
      </c>
      <c r="J9" s="41" t="s">
        <v>672</v>
      </c>
      <c r="K9" s="42"/>
      <c r="L9" s="41" t="s">
        <v>1000</v>
      </c>
      <c r="M9" s="41">
        <v>13</v>
      </c>
      <c r="N9" s="41" t="s">
        <v>1001</v>
      </c>
      <c r="O9" s="41" t="s">
        <v>1002</v>
      </c>
      <c r="P9" s="41" t="s">
        <v>60</v>
      </c>
      <c r="Q9" s="41" t="s">
        <v>419</v>
      </c>
      <c r="R9" s="41" t="s">
        <v>132</v>
      </c>
      <c r="S9" s="41" t="s">
        <v>40</v>
      </c>
      <c r="T9" s="41" t="s">
        <v>40</v>
      </c>
      <c r="U9" s="41" t="s">
        <v>40</v>
      </c>
    </row>
    <row r="10" spans="1:21">
      <c r="A10" s="41">
        <v>2943</v>
      </c>
      <c r="B10" s="41" t="s">
        <v>1003</v>
      </c>
      <c r="E10" s="41" t="s">
        <v>1004</v>
      </c>
      <c r="F10" s="41" t="s">
        <v>28</v>
      </c>
      <c r="G10" s="41" t="s">
        <v>29</v>
      </c>
      <c r="I10" s="41" t="s">
        <v>231</v>
      </c>
      <c r="J10" s="41" t="s">
        <v>672</v>
      </c>
      <c r="K10" s="42"/>
      <c r="L10" s="41" t="s">
        <v>1005</v>
      </c>
      <c r="M10" s="41">
        <v>110</v>
      </c>
      <c r="N10" s="41" t="s">
        <v>1006</v>
      </c>
      <c r="O10" s="41" t="s">
        <v>747</v>
      </c>
      <c r="P10" s="41" t="s">
        <v>179</v>
      </c>
      <c r="Q10" s="41" t="s">
        <v>538</v>
      </c>
      <c r="R10" s="41" t="s">
        <v>39</v>
      </c>
      <c r="S10" s="41" t="s">
        <v>40</v>
      </c>
      <c r="T10" s="41" t="s">
        <v>40</v>
      </c>
      <c r="U10" s="41" t="s">
        <v>40</v>
      </c>
    </row>
    <row r="11" spans="1:21">
      <c r="A11" s="41">
        <v>2942</v>
      </c>
      <c r="B11" s="41" t="s">
        <v>970</v>
      </c>
      <c r="D11" s="41">
        <v>7156</v>
      </c>
      <c r="E11" s="41" t="s">
        <v>971</v>
      </c>
      <c r="F11" s="41" t="s">
        <v>53</v>
      </c>
      <c r="G11" s="41" t="s">
        <v>43</v>
      </c>
      <c r="I11" s="41" t="s">
        <v>973</v>
      </c>
      <c r="J11" s="41" t="s">
        <v>32</v>
      </c>
      <c r="K11" s="42"/>
      <c r="L11" s="41" t="s">
        <v>974</v>
      </c>
      <c r="M11" s="41">
        <v>220</v>
      </c>
      <c r="N11" s="41" t="s">
        <v>805</v>
      </c>
      <c r="O11" s="41" t="s">
        <v>396</v>
      </c>
      <c r="P11" s="41" t="s">
        <v>98</v>
      </c>
      <c r="Q11" s="41" t="s">
        <v>116</v>
      </c>
      <c r="R11" s="41" t="s">
        <v>62</v>
      </c>
      <c r="S11" s="41" t="s">
        <v>40</v>
      </c>
      <c r="T11" s="41" t="s">
        <v>40</v>
      </c>
      <c r="U11" s="41" t="s">
        <v>40</v>
      </c>
    </row>
    <row r="12" spans="1:21">
      <c r="A12" s="41">
        <v>2941</v>
      </c>
      <c r="B12" s="41" t="s">
        <v>1007</v>
      </c>
      <c r="D12" s="41">
        <v>7154</v>
      </c>
      <c r="E12" s="41" t="s">
        <v>998</v>
      </c>
      <c r="F12" s="41" t="s">
        <v>53</v>
      </c>
      <c r="G12" s="41" t="s">
        <v>293</v>
      </c>
      <c r="I12" s="41" t="s">
        <v>194</v>
      </c>
      <c r="J12" s="41" t="s">
        <v>672</v>
      </c>
      <c r="K12" s="42"/>
      <c r="L12" s="41" t="s">
        <v>1008</v>
      </c>
      <c r="M12" s="41">
        <v>15</v>
      </c>
      <c r="N12" s="41" t="s">
        <v>1009</v>
      </c>
      <c r="O12" s="41" t="s">
        <v>1010</v>
      </c>
      <c r="P12" s="41" t="s">
        <v>172</v>
      </c>
      <c r="Q12" s="41" t="s">
        <v>1011</v>
      </c>
      <c r="R12" s="41" t="s">
        <v>132</v>
      </c>
      <c r="S12" s="41" t="s">
        <v>40</v>
      </c>
      <c r="T12" s="41" t="s">
        <v>40</v>
      </c>
      <c r="U12" s="41" t="s">
        <v>40</v>
      </c>
    </row>
    <row r="13" spans="1:21">
      <c r="A13" s="41">
        <v>2940</v>
      </c>
      <c r="B13" s="41" t="s">
        <v>1012</v>
      </c>
      <c r="D13" s="41">
        <v>7155</v>
      </c>
      <c r="E13" s="41" t="s">
        <v>976</v>
      </c>
      <c r="F13" s="41" t="s">
        <v>53</v>
      </c>
      <c r="G13" s="41" t="s">
        <v>293</v>
      </c>
      <c r="I13" s="41" t="s">
        <v>411</v>
      </c>
      <c r="J13" s="41" t="s">
        <v>672</v>
      </c>
      <c r="K13" s="42"/>
      <c r="L13" s="41" t="s">
        <v>1013</v>
      </c>
      <c r="M13" s="41">
        <v>220</v>
      </c>
      <c r="N13" s="41" t="s">
        <v>1014</v>
      </c>
      <c r="O13" s="41" t="s">
        <v>1015</v>
      </c>
      <c r="P13" s="41" t="s">
        <v>98</v>
      </c>
      <c r="Q13" s="41" t="s">
        <v>116</v>
      </c>
      <c r="R13" s="41" t="s">
        <v>62</v>
      </c>
      <c r="S13" s="41" t="s">
        <v>40</v>
      </c>
      <c r="T13" s="41" t="s">
        <v>40</v>
      </c>
      <c r="U13" s="41" t="s">
        <v>40</v>
      </c>
    </row>
    <row r="14" spans="1:21">
      <c r="A14" s="41">
        <v>2939</v>
      </c>
      <c r="B14" s="41" t="s">
        <v>1016</v>
      </c>
      <c r="D14" s="41">
        <v>7151</v>
      </c>
      <c r="E14" s="41" t="s">
        <v>1017</v>
      </c>
      <c r="F14" s="41" t="s">
        <v>28</v>
      </c>
      <c r="G14" s="41" t="s">
        <v>293</v>
      </c>
      <c r="I14" s="41" t="s">
        <v>1018</v>
      </c>
      <c r="J14" s="41" t="s">
        <v>32</v>
      </c>
      <c r="K14" s="42"/>
      <c r="L14" s="41" t="s">
        <v>1019</v>
      </c>
      <c r="M14" s="41">
        <v>220</v>
      </c>
      <c r="N14" s="41" t="s">
        <v>1020</v>
      </c>
      <c r="O14" s="41" t="s">
        <v>452</v>
      </c>
      <c r="P14" s="41" t="s">
        <v>334</v>
      </c>
      <c r="Q14" s="41" t="s">
        <v>1021</v>
      </c>
      <c r="R14" s="41" t="s">
        <v>39</v>
      </c>
      <c r="S14" s="41" t="s">
        <v>40</v>
      </c>
      <c r="T14" s="41" t="s">
        <v>40</v>
      </c>
      <c r="U14" s="41" t="s">
        <v>40</v>
      </c>
    </row>
    <row r="15" spans="1:21">
      <c r="A15" s="41">
        <v>2938</v>
      </c>
      <c r="B15" s="41" t="s">
        <v>1022</v>
      </c>
      <c r="E15" s="41" t="s">
        <v>1023</v>
      </c>
      <c r="F15" s="41" t="s">
        <v>42</v>
      </c>
      <c r="G15" s="41" t="s">
        <v>993</v>
      </c>
      <c r="I15" s="41" t="s">
        <v>1024</v>
      </c>
      <c r="J15" s="41" t="s">
        <v>32</v>
      </c>
      <c r="K15" s="42"/>
      <c r="L15" s="41" t="s">
        <v>1025</v>
      </c>
      <c r="M15" s="41">
        <v>33</v>
      </c>
      <c r="N15" s="41" t="s">
        <v>1026</v>
      </c>
      <c r="O15" s="41" t="s">
        <v>36</v>
      </c>
      <c r="P15" s="41" t="s">
        <v>98</v>
      </c>
      <c r="Q15" s="41" t="s">
        <v>116</v>
      </c>
      <c r="R15" s="41" t="s">
        <v>39</v>
      </c>
      <c r="S15" s="41" t="s">
        <v>40</v>
      </c>
      <c r="T15" s="41" t="s">
        <v>40</v>
      </c>
      <c r="U15" s="41" t="s">
        <v>40</v>
      </c>
    </row>
    <row r="16" spans="1:21">
      <c r="A16" s="41">
        <v>2937</v>
      </c>
      <c r="B16" s="41" t="s">
        <v>1027</v>
      </c>
      <c r="D16" s="41">
        <v>7101</v>
      </c>
      <c r="E16" s="41" t="s">
        <v>1028</v>
      </c>
      <c r="F16" s="41" t="s">
        <v>28</v>
      </c>
      <c r="G16" s="41" t="s">
        <v>293</v>
      </c>
      <c r="I16" s="41" t="s">
        <v>411</v>
      </c>
      <c r="J16" s="41" t="s">
        <v>32</v>
      </c>
      <c r="K16" s="42"/>
      <c r="L16" s="41" t="s">
        <v>1029</v>
      </c>
      <c r="M16" s="41">
        <v>110</v>
      </c>
      <c r="N16" s="41" t="s">
        <v>1030</v>
      </c>
      <c r="O16" s="41" t="s">
        <v>1031</v>
      </c>
      <c r="P16" s="41" t="s">
        <v>50</v>
      </c>
      <c r="Q16" s="41" t="s">
        <v>51</v>
      </c>
      <c r="R16" s="41" t="s">
        <v>39</v>
      </c>
      <c r="S16" s="41" t="s">
        <v>40</v>
      </c>
      <c r="T16" s="41" t="s">
        <v>40</v>
      </c>
      <c r="U16" s="41" t="s">
        <v>40</v>
      </c>
    </row>
    <row r="17" spans="1:21">
      <c r="A17" s="41">
        <v>2936</v>
      </c>
      <c r="B17" s="41" t="s">
        <v>1032</v>
      </c>
      <c r="D17" s="41">
        <v>7100</v>
      </c>
      <c r="E17" s="41" t="s">
        <v>1028</v>
      </c>
      <c r="F17" s="41" t="s">
        <v>28</v>
      </c>
      <c r="G17" s="41" t="s">
        <v>293</v>
      </c>
      <c r="I17" s="41" t="s">
        <v>1033</v>
      </c>
      <c r="J17" s="41" t="s">
        <v>32</v>
      </c>
      <c r="K17" s="42"/>
      <c r="L17" s="41" t="s">
        <v>1029</v>
      </c>
      <c r="M17" s="41">
        <v>110</v>
      </c>
      <c r="N17" s="41" t="s">
        <v>1030</v>
      </c>
      <c r="O17" s="41" t="s">
        <v>1031</v>
      </c>
      <c r="P17" s="41" t="s">
        <v>50</v>
      </c>
      <c r="Q17" s="41" t="s">
        <v>51</v>
      </c>
      <c r="R17" s="41" t="s">
        <v>39</v>
      </c>
      <c r="S17" s="41" t="s">
        <v>40</v>
      </c>
      <c r="T17" s="41" t="s">
        <v>40</v>
      </c>
      <c r="U17" s="41" t="s">
        <v>40</v>
      </c>
    </row>
    <row r="18" spans="1:21">
      <c r="A18" s="41">
        <v>2935</v>
      </c>
      <c r="B18" s="41" t="s">
        <v>1034</v>
      </c>
      <c r="D18" s="41">
        <v>7152</v>
      </c>
      <c r="E18" s="41" t="s">
        <v>1035</v>
      </c>
      <c r="F18" s="41" t="s">
        <v>42</v>
      </c>
      <c r="G18" s="41" t="s">
        <v>1036</v>
      </c>
      <c r="I18" s="41" t="s">
        <v>1037</v>
      </c>
      <c r="J18" s="41" t="s">
        <v>295</v>
      </c>
      <c r="K18" s="42"/>
      <c r="L18" s="41" t="s">
        <v>1038</v>
      </c>
      <c r="M18" s="41">
        <v>33</v>
      </c>
      <c r="N18" s="41" t="s">
        <v>1039</v>
      </c>
      <c r="O18" s="41" t="s">
        <v>77</v>
      </c>
      <c r="P18" s="41" t="s">
        <v>179</v>
      </c>
      <c r="Q18" s="41" t="s">
        <v>538</v>
      </c>
      <c r="R18" s="41" t="s">
        <v>39</v>
      </c>
      <c r="S18" s="41" t="s">
        <v>40</v>
      </c>
      <c r="T18" s="41" t="s">
        <v>40</v>
      </c>
      <c r="U18" s="41" t="s">
        <v>40</v>
      </c>
    </row>
    <row r="19" spans="1:21">
      <c r="A19" s="41">
        <v>2934</v>
      </c>
      <c r="B19" s="41" t="s">
        <v>1040</v>
      </c>
      <c r="D19" s="41">
        <v>7099</v>
      </c>
      <c r="E19" s="41" t="s">
        <v>1041</v>
      </c>
      <c r="F19" s="41" t="s">
        <v>53</v>
      </c>
      <c r="G19" s="41" t="s">
        <v>796</v>
      </c>
      <c r="I19" s="41" t="s">
        <v>1042</v>
      </c>
      <c r="J19" s="41" t="s">
        <v>380</v>
      </c>
      <c r="K19" s="42"/>
      <c r="L19" s="41" t="s">
        <v>1043</v>
      </c>
      <c r="M19" s="41">
        <v>220</v>
      </c>
      <c r="N19" s="41" t="s">
        <v>1044</v>
      </c>
      <c r="O19" s="41" t="s">
        <v>1045</v>
      </c>
      <c r="P19" s="41" t="s">
        <v>1046</v>
      </c>
      <c r="Q19" s="41" t="s">
        <v>1047</v>
      </c>
      <c r="R19" s="41" t="s">
        <v>62</v>
      </c>
      <c r="S19" s="41" t="s">
        <v>40</v>
      </c>
      <c r="T19" s="41" t="s">
        <v>40</v>
      </c>
      <c r="U19" s="41" t="s">
        <v>40</v>
      </c>
    </row>
    <row r="20" spans="1:21">
      <c r="A20" s="41">
        <v>2933</v>
      </c>
      <c r="B20" s="41" t="s">
        <v>1048</v>
      </c>
      <c r="D20" s="41">
        <v>7098</v>
      </c>
      <c r="E20" s="41" t="s">
        <v>1049</v>
      </c>
      <c r="F20" s="41" t="s">
        <v>28</v>
      </c>
      <c r="G20" s="41" t="s">
        <v>286</v>
      </c>
      <c r="I20" s="41" t="s">
        <v>1050</v>
      </c>
      <c r="J20" s="41" t="s">
        <v>672</v>
      </c>
      <c r="K20" s="42"/>
      <c r="L20" s="41" t="s">
        <v>1051</v>
      </c>
      <c r="M20" s="41">
        <v>220</v>
      </c>
      <c r="N20" s="41" t="s">
        <v>1052</v>
      </c>
      <c r="O20" s="41" t="s">
        <v>620</v>
      </c>
      <c r="P20" s="41" t="s">
        <v>179</v>
      </c>
      <c r="Q20" s="41" t="s">
        <v>180</v>
      </c>
      <c r="R20" s="41" t="s">
        <v>39</v>
      </c>
      <c r="S20" s="41" t="s">
        <v>40</v>
      </c>
      <c r="T20" s="41" t="s">
        <v>40</v>
      </c>
      <c r="U20" s="41" t="s">
        <v>40</v>
      </c>
    </row>
    <row r="21" spans="1:21">
      <c r="A21" s="41">
        <v>2932</v>
      </c>
      <c r="B21" s="41" t="s">
        <v>1053</v>
      </c>
      <c r="D21" s="41">
        <v>7153</v>
      </c>
      <c r="E21" s="41" t="s">
        <v>1054</v>
      </c>
      <c r="F21" s="41" t="s">
        <v>42</v>
      </c>
      <c r="G21" s="41" t="s">
        <v>1036</v>
      </c>
      <c r="I21" s="41" t="s">
        <v>1055</v>
      </c>
      <c r="J21" s="41" t="s">
        <v>32</v>
      </c>
      <c r="K21" s="42"/>
      <c r="L21" s="41" t="s">
        <v>1056</v>
      </c>
      <c r="M21" s="41">
        <v>33</v>
      </c>
      <c r="N21" s="41" t="s">
        <v>1057</v>
      </c>
      <c r="O21" s="41" t="s">
        <v>1058</v>
      </c>
      <c r="P21" s="41" t="s">
        <v>98</v>
      </c>
      <c r="Q21" s="41" t="s">
        <v>99</v>
      </c>
      <c r="R21" s="41" t="s">
        <v>39</v>
      </c>
      <c r="S21" s="41" t="s">
        <v>40</v>
      </c>
      <c r="T21" s="41" t="s">
        <v>40</v>
      </c>
      <c r="U21" s="41" t="s">
        <v>40</v>
      </c>
    </row>
    <row r="22" spans="1:21">
      <c r="A22" s="41">
        <v>2931</v>
      </c>
      <c r="B22" s="41" t="s">
        <v>1059</v>
      </c>
      <c r="E22" s="41" t="s">
        <v>1060</v>
      </c>
      <c r="F22" s="41" t="s">
        <v>42</v>
      </c>
      <c r="G22" s="41" t="s">
        <v>993</v>
      </c>
      <c r="I22" s="41" t="s">
        <v>1061</v>
      </c>
      <c r="J22" s="41" t="s">
        <v>32</v>
      </c>
      <c r="K22" s="42"/>
      <c r="L22" s="41" t="s">
        <v>1062</v>
      </c>
      <c r="M22" s="41">
        <v>33</v>
      </c>
      <c r="N22" s="41" t="s">
        <v>1063</v>
      </c>
      <c r="O22" s="41" t="s">
        <v>1064</v>
      </c>
      <c r="P22" s="41" t="s">
        <v>78</v>
      </c>
      <c r="Q22" s="41" t="s">
        <v>1065</v>
      </c>
      <c r="R22" s="41" t="s">
        <v>39</v>
      </c>
      <c r="S22" s="41" t="s">
        <v>40</v>
      </c>
      <c r="T22" s="41" t="s">
        <v>40</v>
      </c>
      <c r="U22" s="41" t="s">
        <v>40</v>
      </c>
    </row>
    <row r="23" spans="1:21">
      <c r="A23" s="41">
        <v>2930</v>
      </c>
      <c r="B23" s="41" t="s">
        <v>1066</v>
      </c>
      <c r="E23" s="41" t="s">
        <v>1067</v>
      </c>
      <c r="F23" s="41" t="s">
        <v>53</v>
      </c>
      <c r="G23" s="41" t="s">
        <v>972</v>
      </c>
      <c r="I23" s="41" t="s">
        <v>1068</v>
      </c>
      <c r="J23" s="41" t="s">
        <v>672</v>
      </c>
      <c r="K23" s="42"/>
      <c r="L23" s="41" t="s">
        <v>1069</v>
      </c>
      <c r="M23" s="41">
        <v>12</v>
      </c>
      <c r="N23" s="41" t="s">
        <v>59</v>
      </c>
      <c r="O23" s="41" t="s">
        <v>362</v>
      </c>
      <c r="P23" s="41" t="s">
        <v>78</v>
      </c>
      <c r="Q23" s="41" t="s">
        <v>1070</v>
      </c>
      <c r="R23" s="41" t="s">
        <v>132</v>
      </c>
      <c r="S23" s="41" t="s">
        <v>40</v>
      </c>
      <c r="T23" s="41" t="s">
        <v>40</v>
      </c>
      <c r="U23" s="41" t="s">
        <v>40</v>
      </c>
    </row>
    <row r="24" spans="1:21">
      <c r="A24" s="41">
        <v>2929</v>
      </c>
      <c r="B24" s="41" t="s">
        <v>1066</v>
      </c>
      <c r="D24" s="41">
        <v>7095</v>
      </c>
      <c r="E24" s="41" t="s">
        <v>1067</v>
      </c>
      <c r="F24" s="41" t="s">
        <v>53</v>
      </c>
      <c r="G24" s="41" t="s">
        <v>1071</v>
      </c>
      <c r="I24" s="41" t="s">
        <v>1068</v>
      </c>
      <c r="J24" s="41" t="s">
        <v>672</v>
      </c>
      <c r="K24" s="42"/>
      <c r="L24" s="41" t="s">
        <v>1069</v>
      </c>
      <c r="M24" s="41">
        <v>12</v>
      </c>
      <c r="N24" s="41" t="s">
        <v>59</v>
      </c>
      <c r="O24" s="41" t="s">
        <v>362</v>
      </c>
      <c r="P24" s="41" t="s">
        <v>78</v>
      </c>
      <c r="Q24" s="41" t="s">
        <v>1070</v>
      </c>
      <c r="R24" s="41" t="s">
        <v>132</v>
      </c>
      <c r="S24" s="41" t="s">
        <v>1072</v>
      </c>
      <c r="T24" s="41" t="s">
        <v>40</v>
      </c>
      <c r="U24" s="41" t="s">
        <v>40</v>
      </c>
    </row>
    <row r="25" spans="1:21">
      <c r="A25" s="41">
        <v>2928</v>
      </c>
      <c r="B25" s="41" t="s">
        <v>1073</v>
      </c>
      <c r="D25" s="41">
        <v>7097</v>
      </c>
      <c r="E25" s="41" t="s">
        <v>1074</v>
      </c>
      <c r="F25" s="41" t="s">
        <v>53</v>
      </c>
      <c r="G25" s="41" t="s">
        <v>796</v>
      </c>
      <c r="I25" s="41" t="s">
        <v>231</v>
      </c>
      <c r="J25" s="41" t="s">
        <v>32</v>
      </c>
      <c r="K25" s="42"/>
      <c r="P25" s="41" t="s">
        <v>68</v>
      </c>
      <c r="Q25" s="41" t="s">
        <v>699</v>
      </c>
      <c r="R25" s="41" t="s">
        <v>132</v>
      </c>
      <c r="S25" s="41" t="s">
        <v>40</v>
      </c>
      <c r="T25" s="41" t="s">
        <v>40</v>
      </c>
      <c r="U25" s="41" t="s">
        <v>40</v>
      </c>
    </row>
    <row r="26" spans="1:21">
      <c r="A26" s="41">
        <v>2927</v>
      </c>
      <c r="B26" s="41" t="s">
        <v>1075</v>
      </c>
      <c r="E26" s="41" t="s">
        <v>1076</v>
      </c>
      <c r="F26" s="41" t="s">
        <v>53</v>
      </c>
      <c r="G26" s="41" t="s">
        <v>972</v>
      </c>
      <c r="I26" s="41" t="s">
        <v>56</v>
      </c>
      <c r="J26" s="41" t="s">
        <v>32</v>
      </c>
      <c r="K26" s="42"/>
      <c r="L26" s="41" t="s">
        <v>1077</v>
      </c>
      <c r="M26" s="41">
        <v>220</v>
      </c>
      <c r="N26" s="41" t="s">
        <v>1078</v>
      </c>
      <c r="O26" s="41" t="s">
        <v>757</v>
      </c>
      <c r="P26" s="41" t="s">
        <v>78</v>
      </c>
      <c r="Q26" s="41" t="s">
        <v>483</v>
      </c>
      <c r="R26" s="41" t="s">
        <v>132</v>
      </c>
      <c r="S26" s="41" t="s">
        <v>40</v>
      </c>
      <c r="T26" s="41" t="s">
        <v>40</v>
      </c>
      <c r="U26" s="41" t="s">
        <v>40</v>
      </c>
    </row>
    <row r="27" spans="1:21">
      <c r="A27" s="41">
        <v>2926</v>
      </c>
      <c r="B27" s="41" t="s">
        <v>1075</v>
      </c>
      <c r="D27" s="41">
        <v>7094</v>
      </c>
      <c r="E27" s="41" t="s">
        <v>1076</v>
      </c>
      <c r="F27" s="41" t="s">
        <v>53</v>
      </c>
      <c r="G27" s="41" t="s">
        <v>64</v>
      </c>
      <c r="I27" s="41" t="s">
        <v>56</v>
      </c>
      <c r="J27" s="41" t="s">
        <v>32</v>
      </c>
      <c r="K27" s="42"/>
      <c r="L27" s="41" t="s">
        <v>1077</v>
      </c>
      <c r="M27" s="41">
        <v>220</v>
      </c>
      <c r="N27" s="41" t="s">
        <v>1078</v>
      </c>
      <c r="O27" s="41" t="s">
        <v>757</v>
      </c>
      <c r="P27" s="41" t="s">
        <v>78</v>
      </c>
      <c r="Q27" s="41" t="s">
        <v>483</v>
      </c>
      <c r="R27" s="41" t="s">
        <v>132</v>
      </c>
      <c r="S27" s="41" t="s">
        <v>40</v>
      </c>
      <c r="T27" s="41" t="s">
        <v>40</v>
      </c>
      <c r="U27" s="41" t="s">
        <v>40</v>
      </c>
    </row>
    <row r="28" spans="1:21">
      <c r="A28" s="41">
        <v>2925</v>
      </c>
      <c r="B28" s="41" t="s">
        <v>1079</v>
      </c>
      <c r="D28" s="41">
        <v>7093</v>
      </c>
      <c r="E28" s="41" t="s">
        <v>1080</v>
      </c>
      <c r="F28" s="41" t="s">
        <v>53</v>
      </c>
      <c r="G28" s="41" t="s">
        <v>1071</v>
      </c>
      <c r="I28" s="41" t="s">
        <v>1068</v>
      </c>
      <c r="J28" s="41" t="s">
        <v>672</v>
      </c>
      <c r="K28" s="42"/>
      <c r="L28" s="41" t="s">
        <v>1081</v>
      </c>
      <c r="M28" s="41">
        <v>12</v>
      </c>
      <c r="N28" s="41" t="s">
        <v>1082</v>
      </c>
      <c r="O28" s="41" t="s">
        <v>1083</v>
      </c>
      <c r="P28" s="41" t="s">
        <v>78</v>
      </c>
      <c r="Q28" s="41" t="s">
        <v>1084</v>
      </c>
      <c r="R28" s="41" t="s">
        <v>132</v>
      </c>
      <c r="S28" s="41" t="s">
        <v>40</v>
      </c>
      <c r="T28" s="41" t="s">
        <v>40</v>
      </c>
      <c r="U28" s="41" t="s">
        <v>40</v>
      </c>
    </row>
    <row r="29" spans="1:21">
      <c r="A29" s="41">
        <v>2924</v>
      </c>
      <c r="B29" s="41" t="s">
        <v>1085</v>
      </c>
      <c r="D29" s="41">
        <v>7092</v>
      </c>
      <c r="E29" s="41" t="s">
        <v>1086</v>
      </c>
      <c r="F29" s="41" t="s">
        <v>42</v>
      </c>
      <c r="G29" s="41" t="s">
        <v>1036</v>
      </c>
      <c r="I29" s="41" t="s">
        <v>1087</v>
      </c>
      <c r="J29" s="41" t="s">
        <v>295</v>
      </c>
      <c r="K29" s="42"/>
      <c r="L29" s="41" t="s">
        <v>1088</v>
      </c>
      <c r="M29" s="41">
        <v>23</v>
      </c>
      <c r="N29" s="41" t="s">
        <v>1089</v>
      </c>
      <c r="O29" s="41" t="s">
        <v>77</v>
      </c>
      <c r="P29" s="41" t="s">
        <v>37</v>
      </c>
      <c r="Q29" s="41" t="s">
        <v>969</v>
      </c>
      <c r="R29" s="41" t="s">
        <v>39</v>
      </c>
      <c r="S29" s="41" t="s">
        <v>40</v>
      </c>
      <c r="T29" s="41" t="s">
        <v>40</v>
      </c>
      <c r="U29" s="41" t="s">
        <v>40</v>
      </c>
    </row>
    <row r="30" spans="1:21">
      <c r="A30" s="41">
        <v>2923</v>
      </c>
      <c r="B30" s="41" t="s">
        <v>1090</v>
      </c>
      <c r="D30" s="41">
        <v>7090</v>
      </c>
      <c r="E30" s="41" t="s">
        <v>1091</v>
      </c>
      <c r="F30" s="41" t="s">
        <v>53</v>
      </c>
      <c r="G30" s="41" t="s">
        <v>796</v>
      </c>
      <c r="I30" s="41" t="s">
        <v>1092</v>
      </c>
      <c r="J30" s="41" t="s">
        <v>672</v>
      </c>
      <c r="K30" s="42"/>
      <c r="L30" s="41" t="s">
        <v>1093</v>
      </c>
      <c r="M30" s="41">
        <v>12</v>
      </c>
      <c r="N30" s="41" t="s">
        <v>1094</v>
      </c>
      <c r="O30" s="41" t="s">
        <v>1095</v>
      </c>
      <c r="P30" s="41" t="s">
        <v>68</v>
      </c>
      <c r="Q30" s="41" t="s">
        <v>1096</v>
      </c>
      <c r="R30" s="41" t="s">
        <v>132</v>
      </c>
      <c r="S30" s="41" t="s">
        <v>40</v>
      </c>
      <c r="T30" s="41" t="s">
        <v>40</v>
      </c>
      <c r="U30" s="41" t="s">
        <v>40</v>
      </c>
    </row>
    <row r="31" spans="1:21">
      <c r="A31" s="41">
        <v>2922</v>
      </c>
      <c r="B31" s="41" t="s">
        <v>1097</v>
      </c>
      <c r="D31" s="41">
        <v>7091</v>
      </c>
      <c r="E31" s="41" t="s">
        <v>1091</v>
      </c>
      <c r="F31" s="41" t="s">
        <v>53</v>
      </c>
      <c r="G31" s="41" t="s">
        <v>796</v>
      </c>
      <c r="I31" s="41" t="s">
        <v>1092</v>
      </c>
      <c r="J31" s="41" t="s">
        <v>672</v>
      </c>
      <c r="K31" s="42"/>
      <c r="L31" s="41" t="s">
        <v>1098</v>
      </c>
      <c r="M31" s="41">
        <v>12</v>
      </c>
      <c r="N31" s="41" t="s">
        <v>1099</v>
      </c>
      <c r="O31" s="41" t="s">
        <v>1100</v>
      </c>
      <c r="P31" s="41" t="s">
        <v>68</v>
      </c>
      <c r="Q31" s="41" t="s">
        <v>91</v>
      </c>
      <c r="R31" s="41" t="s">
        <v>132</v>
      </c>
      <c r="S31" s="41" t="s">
        <v>40</v>
      </c>
      <c r="T31" s="41" t="s">
        <v>40</v>
      </c>
      <c r="U31" s="41" t="s">
        <v>40</v>
      </c>
    </row>
    <row r="32" spans="1:21">
      <c r="A32" s="41">
        <v>2921</v>
      </c>
      <c r="B32" s="41" t="s">
        <v>1073</v>
      </c>
      <c r="E32" s="41" t="s">
        <v>1074</v>
      </c>
      <c r="F32" s="41" t="s">
        <v>53</v>
      </c>
      <c r="G32" s="41" t="s">
        <v>43</v>
      </c>
      <c r="I32" s="41" t="s">
        <v>231</v>
      </c>
      <c r="J32" s="41" t="s">
        <v>32</v>
      </c>
      <c r="K32" s="42"/>
      <c r="P32" s="41" t="s">
        <v>68</v>
      </c>
      <c r="Q32" s="41" t="s">
        <v>699</v>
      </c>
      <c r="R32" s="41" t="s">
        <v>132</v>
      </c>
      <c r="S32" s="41" t="s">
        <v>40</v>
      </c>
      <c r="T32" s="41" t="s">
        <v>40</v>
      </c>
      <c r="U32" s="41" t="s">
        <v>40</v>
      </c>
    </row>
    <row r="33" spans="1:21">
      <c r="A33" s="41">
        <v>2920</v>
      </c>
      <c r="B33" s="41" t="s">
        <v>1101</v>
      </c>
      <c r="D33" s="41">
        <v>7089</v>
      </c>
      <c r="E33" s="41" t="s">
        <v>1102</v>
      </c>
      <c r="F33" s="41" t="s">
        <v>28</v>
      </c>
      <c r="G33" s="41" t="s">
        <v>293</v>
      </c>
      <c r="I33" s="41" t="s">
        <v>406</v>
      </c>
      <c r="J33" s="41" t="s">
        <v>32</v>
      </c>
      <c r="K33" s="42"/>
      <c r="L33" s="41" t="s">
        <v>1103</v>
      </c>
      <c r="M33" s="41">
        <v>220</v>
      </c>
      <c r="N33" s="41" t="s">
        <v>59</v>
      </c>
      <c r="O33" s="41" t="s">
        <v>36</v>
      </c>
      <c r="P33" s="41" t="s">
        <v>172</v>
      </c>
      <c r="Q33" s="41" t="s">
        <v>1104</v>
      </c>
      <c r="R33" s="41" t="s">
        <v>39</v>
      </c>
      <c r="S33" s="41" t="s">
        <v>40</v>
      </c>
      <c r="T33" s="41" t="s">
        <v>40</v>
      </c>
      <c r="U33" s="41" t="s">
        <v>40</v>
      </c>
    </row>
    <row r="34" spans="1:21">
      <c r="A34" s="41">
        <v>2919</v>
      </c>
      <c r="B34" s="41" t="s">
        <v>1073</v>
      </c>
      <c r="E34" s="41" t="s">
        <v>1074</v>
      </c>
      <c r="F34" s="41" t="s">
        <v>53</v>
      </c>
      <c r="G34" s="41" t="s">
        <v>43</v>
      </c>
      <c r="I34" s="41" t="s">
        <v>231</v>
      </c>
      <c r="J34" s="41" t="s">
        <v>32</v>
      </c>
      <c r="K34" s="42"/>
      <c r="P34" s="41" t="s">
        <v>68</v>
      </c>
      <c r="Q34" s="41" t="s">
        <v>699</v>
      </c>
      <c r="R34" s="41" t="s">
        <v>132</v>
      </c>
      <c r="S34" s="41" t="s">
        <v>40</v>
      </c>
      <c r="T34" s="41" t="s">
        <v>40</v>
      </c>
      <c r="U34" s="41" t="s">
        <v>40</v>
      </c>
    </row>
    <row r="35" spans="1:21">
      <c r="A35" s="41">
        <v>2918</v>
      </c>
      <c r="B35" s="41" t="s">
        <v>1073</v>
      </c>
      <c r="E35" s="41" t="s">
        <v>1074</v>
      </c>
      <c r="F35" s="41" t="s">
        <v>53</v>
      </c>
      <c r="G35" s="41" t="s">
        <v>43</v>
      </c>
      <c r="I35" s="41" t="s">
        <v>231</v>
      </c>
      <c r="J35" s="41" t="s">
        <v>32</v>
      </c>
      <c r="K35" s="42"/>
      <c r="P35" s="41" t="s">
        <v>68</v>
      </c>
      <c r="Q35" s="41" t="s">
        <v>699</v>
      </c>
      <c r="R35" s="41" t="s">
        <v>132</v>
      </c>
      <c r="S35" s="41" t="s">
        <v>40</v>
      </c>
      <c r="T35" s="41" t="s">
        <v>40</v>
      </c>
      <c r="U35" s="41" t="s">
        <v>40</v>
      </c>
    </row>
    <row r="36" spans="1:21">
      <c r="A36" s="41">
        <v>2917</v>
      </c>
      <c r="B36" s="41" t="s">
        <v>1073</v>
      </c>
      <c r="E36" s="41" t="s">
        <v>1074</v>
      </c>
      <c r="F36" s="41" t="s">
        <v>53</v>
      </c>
      <c r="G36" s="41" t="s">
        <v>43</v>
      </c>
      <c r="I36" s="41" t="s">
        <v>231</v>
      </c>
      <c r="J36" s="41" t="s">
        <v>32</v>
      </c>
      <c r="K36" s="42"/>
      <c r="P36" s="41" t="s">
        <v>68</v>
      </c>
      <c r="Q36" s="41" t="s">
        <v>699</v>
      </c>
      <c r="R36" s="41" t="s">
        <v>132</v>
      </c>
      <c r="S36" s="41" t="s">
        <v>40</v>
      </c>
      <c r="T36" s="41" t="s">
        <v>40</v>
      </c>
      <c r="U36" s="41" t="s">
        <v>40</v>
      </c>
    </row>
    <row r="37" spans="1:21">
      <c r="A37" s="41">
        <v>2916</v>
      </c>
      <c r="B37" s="41" t="s">
        <v>1073</v>
      </c>
      <c r="E37" s="41" t="s">
        <v>1074</v>
      </c>
      <c r="F37" s="41" t="s">
        <v>53</v>
      </c>
      <c r="G37" s="41" t="s">
        <v>43</v>
      </c>
      <c r="I37" s="41" t="s">
        <v>231</v>
      </c>
      <c r="J37" s="41" t="s">
        <v>32</v>
      </c>
      <c r="K37" s="42"/>
      <c r="P37" s="41" t="s">
        <v>68</v>
      </c>
      <c r="Q37" s="41" t="s">
        <v>699</v>
      </c>
      <c r="R37" s="41" t="s">
        <v>132</v>
      </c>
      <c r="S37" s="41" t="s">
        <v>40</v>
      </c>
      <c r="T37" s="41" t="s">
        <v>40</v>
      </c>
      <c r="U37" s="41" t="s">
        <v>40</v>
      </c>
    </row>
    <row r="38" spans="1:21">
      <c r="A38" s="41">
        <v>2915</v>
      </c>
      <c r="B38" s="41" t="s">
        <v>1073</v>
      </c>
      <c r="E38" s="41" t="s">
        <v>1074</v>
      </c>
      <c r="F38" s="41" t="s">
        <v>53</v>
      </c>
      <c r="G38" s="41" t="s">
        <v>43</v>
      </c>
      <c r="I38" s="41" t="s">
        <v>231</v>
      </c>
      <c r="J38" s="41" t="s">
        <v>32</v>
      </c>
      <c r="K38" s="42"/>
      <c r="P38" s="41" t="s">
        <v>68</v>
      </c>
      <c r="Q38" s="41" t="s">
        <v>699</v>
      </c>
      <c r="R38" s="41" t="s">
        <v>132</v>
      </c>
      <c r="S38" s="41" t="s">
        <v>40</v>
      </c>
      <c r="T38" s="41" t="s">
        <v>40</v>
      </c>
      <c r="U38" s="41" t="s">
        <v>40</v>
      </c>
    </row>
    <row r="39" spans="1:21">
      <c r="A39" s="41">
        <v>2914</v>
      </c>
      <c r="B39" s="41" t="s">
        <v>1073</v>
      </c>
      <c r="E39" s="41" t="s">
        <v>1074</v>
      </c>
      <c r="F39" s="41" t="s">
        <v>53</v>
      </c>
      <c r="G39" s="41" t="s">
        <v>43</v>
      </c>
      <c r="I39" s="41" t="s">
        <v>231</v>
      </c>
      <c r="J39" s="41" t="s">
        <v>32</v>
      </c>
      <c r="K39" s="42"/>
      <c r="P39" s="41" t="s">
        <v>68</v>
      </c>
      <c r="Q39" s="41" t="s">
        <v>699</v>
      </c>
      <c r="R39" s="41" t="s">
        <v>132</v>
      </c>
      <c r="S39" s="41" t="s">
        <v>40</v>
      </c>
      <c r="T39" s="41" t="s">
        <v>40</v>
      </c>
      <c r="U39" s="41" t="s">
        <v>40</v>
      </c>
    </row>
    <row r="40" spans="1:21">
      <c r="A40" s="41">
        <v>2913</v>
      </c>
      <c r="B40" s="41" t="s">
        <v>1073</v>
      </c>
      <c r="E40" s="41" t="s">
        <v>1074</v>
      </c>
      <c r="F40" s="41" t="s">
        <v>53</v>
      </c>
      <c r="G40" s="41" t="s">
        <v>43</v>
      </c>
      <c r="I40" s="41" t="s">
        <v>231</v>
      </c>
      <c r="J40" s="41" t="s">
        <v>32</v>
      </c>
      <c r="K40" s="42"/>
      <c r="P40" s="41" t="s">
        <v>68</v>
      </c>
      <c r="Q40" s="41" t="s">
        <v>699</v>
      </c>
      <c r="R40" s="41" t="s">
        <v>132</v>
      </c>
      <c r="S40" s="41" t="s">
        <v>40</v>
      </c>
      <c r="T40" s="41" t="s">
        <v>40</v>
      </c>
      <c r="U40" s="41" t="s">
        <v>40</v>
      </c>
    </row>
    <row r="41" spans="1:21">
      <c r="A41" s="41">
        <v>2912</v>
      </c>
      <c r="B41" s="41" t="s">
        <v>1105</v>
      </c>
      <c r="D41" s="41">
        <v>7082</v>
      </c>
      <c r="E41" s="41" t="s">
        <v>1106</v>
      </c>
      <c r="F41" s="41" t="s">
        <v>28</v>
      </c>
      <c r="G41" s="41" t="s">
        <v>293</v>
      </c>
      <c r="I41" s="41" t="s">
        <v>1107</v>
      </c>
      <c r="J41" s="41" t="s">
        <v>32</v>
      </c>
      <c r="K41" s="42"/>
      <c r="L41" s="41" t="s">
        <v>1108</v>
      </c>
      <c r="M41" s="41">
        <v>23</v>
      </c>
      <c r="N41" s="41" t="s">
        <v>1109</v>
      </c>
      <c r="O41" s="41" t="s">
        <v>291</v>
      </c>
      <c r="P41" s="41" t="s">
        <v>1046</v>
      </c>
      <c r="Q41" s="41" t="s">
        <v>1110</v>
      </c>
      <c r="R41" s="41" t="s">
        <v>39</v>
      </c>
      <c r="S41" s="41" t="s">
        <v>40</v>
      </c>
      <c r="T41" s="41" t="s">
        <v>40</v>
      </c>
      <c r="U41" s="41" t="s">
        <v>40</v>
      </c>
    </row>
    <row r="42" spans="1:21">
      <c r="A42" s="41">
        <v>2911</v>
      </c>
      <c r="B42" s="41" t="s">
        <v>1111</v>
      </c>
      <c r="D42" s="41">
        <v>7081</v>
      </c>
      <c r="E42" s="41" t="s">
        <v>1112</v>
      </c>
      <c r="F42" s="41" t="s">
        <v>28</v>
      </c>
      <c r="G42" s="41" t="s">
        <v>293</v>
      </c>
      <c r="I42" s="41" t="s">
        <v>325</v>
      </c>
      <c r="J42" s="41" t="s">
        <v>32</v>
      </c>
      <c r="K42" s="42"/>
      <c r="L42" s="41" t="s">
        <v>1113</v>
      </c>
      <c r="M42" s="41">
        <v>220</v>
      </c>
      <c r="N42" s="41" t="s">
        <v>1114</v>
      </c>
      <c r="O42" s="41" t="s">
        <v>1115</v>
      </c>
      <c r="P42" s="41" t="s">
        <v>179</v>
      </c>
      <c r="Q42" s="41" t="s">
        <v>1116</v>
      </c>
      <c r="R42" s="41" t="s">
        <v>39</v>
      </c>
      <c r="S42" s="41" t="s">
        <v>40</v>
      </c>
      <c r="T42" s="41" t="s">
        <v>40</v>
      </c>
      <c r="U42" s="41" t="s">
        <v>40</v>
      </c>
    </row>
    <row r="43" spans="1:21">
      <c r="A43" s="41">
        <v>2910</v>
      </c>
      <c r="B43" s="41" t="s">
        <v>1117</v>
      </c>
      <c r="D43" s="41">
        <v>7080</v>
      </c>
      <c r="E43" s="41" t="s">
        <v>1118</v>
      </c>
      <c r="F43" s="41" t="s">
        <v>53</v>
      </c>
      <c r="G43" s="41" t="s">
        <v>796</v>
      </c>
      <c r="I43" s="41" t="s">
        <v>162</v>
      </c>
      <c r="J43" s="41" t="s">
        <v>672</v>
      </c>
      <c r="K43" s="42"/>
      <c r="L43" s="41" t="s">
        <v>1119</v>
      </c>
      <c r="M43" s="41">
        <v>220</v>
      </c>
      <c r="N43" s="41" t="s">
        <v>340</v>
      </c>
      <c r="O43" s="41" t="s">
        <v>794</v>
      </c>
      <c r="P43" s="41" t="s">
        <v>98</v>
      </c>
      <c r="Q43" s="41" t="s">
        <v>569</v>
      </c>
      <c r="R43" s="41" t="s">
        <v>62</v>
      </c>
      <c r="S43" s="41" t="s">
        <v>40</v>
      </c>
      <c r="T43" s="41" t="s">
        <v>40</v>
      </c>
      <c r="U43" s="41" t="s">
        <v>40</v>
      </c>
    </row>
    <row r="44" spans="1:21">
      <c r="A44" s="41">
        <v>2909</v>
      </c>
      <c r="B44" s="41" t="s">
        <v>1120</v>
      </c>
      <c r="D44" s="41">
        <v>7088</v>
      </c>
      <c r="E44" s="41" t="s">
        <v>1086</v>
      </c>
      <c r="F44" s="41" t="s">
        <v>42</v>
      </c>
      <c r="G44" s="41" t="s">
        <v>1036</v>
      </c>
      <c r="I44" s="41" t="s">
        <v>1121</v>
      </c>
      <c r="J44" s="41" t="s">
        <v>295</v>
      </c>
      <c r="K44" s="42"/>
      <c r="L44" s="41" t="s">
        <v>1122</v>
      </c>
      <c r="M44" s="41">
        <v>23</v>
      </c>
      <c r="N44" s="41" t="s">
        <v>1123</v>
      </c>
      <c r="O44" s="41" t="s">
        <v>1124</v>
      </c>
      <c r="P44" s="41" t="s">
        <v>37</v>
      </c>
      <c r="Q44" s="41" t="s">
        <v>1125</v>
      </c>
      <c r="R44" s="41" t="s">
        <v>39</v>
      </c>
      <c r="S44" s="41" t="s">
        <v>40</v>
      </c>
      <c r="T44" s="41" t="s">
        <v>40</v>
      </c>
      <c r="U44" s="41" t="s">
        <v>40</v>
      </c>
    </row>
    <row r="45" spans="1:21">
      <c r="A45" s="41">
        <v>2908</v>
      </c>
      <c r="B45" s="41" t="s">
        <v>1126</v>
      </c>
      <c r="E45" s="41" t="s">
        <v>1112</v>
      </c>
      <c r="F45" s="41" t="s">
        <v>28</v>
      </c>
      <c r="G45" s="41" t="s">
        <v>43</v>
      </c>
      <c r="I45" s="41" t="s">
        <v>325</v>
      </c>
      <c r="J45" s="41" t="s">
        <v>32</v>
      </c>
      <c r="K45" s="42"/>
      <c r="L45" s="41" t="s">
        <v>1127</v>
      </c>
      <c r="M45" s="41">
        <v>220</v>
      </c>
      <c r="N45" s="41" t="s">
        <v>1114</v>
      </c>
      <c r="O45" s="41" t="s">
        <v>1128</v>
      </c>
      <c r="P45" s="41" t="s">
        <v>179</v>
      </c>
      <c r="Q45" s="41" t="s">
        <v>1116</v>
      </c>
      <c r="R45" s="41" t="s">
        <v>39</v>
      </c>
      <c r="S45" s="41" t="s">
        <v>40</v>
      </c>
      <c r="T45" s="41" t="s">
        <v>40</v>
      </c>
      <c r="U45" s="41" t="s">
        <v>40</v>
      </c>
    </row>
    <row r="46" spans="1:21">
      <c r="A46" s="41">
        <v>2907</v>
      </c>
      <c r="B46" s="41" t="s">
        <v>1129</v>
      </c>
      <c r="D46" s="41">
        <v>7087</v>
      </c>
      <c r="E46" s="41" t="s">
        <v>1130</v>
      </c>
      <c r="F46" s="41" t="s">
        <v>42</v>
      </c>
      <c r="G46" s="41" t="s">
        <v>1036</v>
      </c>
      <c r="I46" s="41" t="s">
        <v>1131</v>
      </c>
      <c r="J46" s="41" t="s">
        <v>672</v>
      </c>
      <c r="K46" s="42"/>
      <c r="L46" s="41" t="s">
        <v>1132</v>
      </c>
      <c r="M46" s="41">
        <v>110</v>
      </c>
      <c r="N46" s="41" t="s">
        <v>1133</v>
      </c>
      <c r="O46" s="41" t="s">
        <v>1134</v>
      </c>
      <c r="P46" s="41" t="s">
        <v>98</v>
      </c>
      <c r="Q46" s="41" t="s">
        <v>99</v>
      </c>
      <c r="R46" s="41" t="s">
        <v>39</v>
      </c>
      <c r="S46" s="41" t="s">
        <v>40</v>
      </c>
      <c r="T46" s="41" t="s">
        <v>40</v>
      </c>
      <c r="U46" s="41" t="s">
        <v>40</v>
      </c>
    </row>
    <row r="47" spans="1:21">
      <c r="A47" s="41">
        <v>2906</v>
      </c>
      <c r="B47" s="41" t="s">
        <v>1135</v>
      </c>
      <c r="D47" s="41">
        <v>7078</v>
      </c>
      <c r="E47" s="41" t="s">
        <v>1136</v>
      </c>
      <c r="F47" s="41" t="s">
        <v>53</v>
      </c>
      <c r="G47" s="41" t="s">
        <v>188</v>
      </c>
      <c r="I47" s="41" t="s">
        <v>1137</v>
      </c>
      <c r="J47" s="41" t="s">
        <v>295</v>
      </c>
      <c r="K47" s="42"/>
      <c r="L47" s="41" t="s">
        <v>1138</v>
      </c>
      <c r="M47" s="41">
        <v>110</v>
      </c>
      <c r="N47" s="41" t="s">
        <v>48</v>
      </c>
      <c r="O47" s="41" t="s">
        <v>178</v>
      </c>
      <c r="P47" s="41" t="s">
        <v>78</v>
      </c>
      <c r="Q47" s="41" t="s">
        <v>1139</v>
      </c>
      <c r="R47" s="41" t="s">
        <v>132</v>
      </c>
      <c r="S47" s="41" t="s">
        <v>40</v>
      </c>
      <c r="T47" s="41" t="s">
        <v>40</v>
      </c>
      <c r="U47" s="41" t="s">
        <v>40</v>
      </c>
    </row>
    <row r="48" spans="1:21">
      <c r="A48" s="41">
        <v>2905</v>
      </c>
      <c r="B48" s="41" t="s">
        <v>1140</v>
      </c>
      <c r="D48" s="41">
        <v>7076</v>
      </c>
      <c r="E48" s="41" t="s">
        <v>1141</v>
      </c>
      <c r="F48" s="41" t="s">
        <v>28</v>
      </c>
      <c r="G48" s="41" t="s">
        <v>293</v>
      </c>
      <c r="I48" s="41" t="s">
        <v>1142</v>
      </c>
      <c r="J48" s="41" t="s">
        <v>672</v>
      </c>
      <c r="K48" s="42"/>
      <c r="L48" s="41" t="s">
        <v>1143</v>
      </c>
      <c r="M48" s="41">
        <v>13</v>
      </c>
      <c r="N48" s="41" t="s">
        <v>1144</v>
      </c>
      <c r="O48" s="41" t="s">
        <v>362</v>
      </c>
      <c r="P48" s="41" t="s">
        <v>98</v>
      </c>
      <c r="Q48" s="41" t="s">
        <v>98</v>
      </c>
      <c r="R48" s="41" t="s">
        <v>39</v>
      </c>
      <c r="S48" s="41" t="s">
        <v>40</v>
      </c>
      <c r="T48" s="41" t="s">
        <v>40</v>
      </c>
      <c r="U48" s="41" t="s">
        <v>40</v>
      </c>
    </row>
    <row r="49" spans="1:21">
      <c r="A49" s="41">
        <v>2904</v>
      </c>
      <c r="B49" s="41" t="s">
        <v>1140</v>
      </c>
      <c r="E49" s="41" t="s">
        <v>1141</v>
      </c>
      <c r="F49" s="41" t="s">
        <v>28</v>
      </c>
      <c r="G49" s="41" t="s">
        <v>29</v>
      </c>
      <c r="I49" s="41" t="s">
        <v>1142</v>
      </c>
      <c r="J49" s="41" t="s">
        <v>672</v>
      </c>
      <c r="K49" s="42"/>
      <c r="L49" s="41" t="s">
        <v>1143</v>
      </c>
      <c r="M49" s="41">
        <v>13</v>
      </c>
      <c r="N49" s="41" t="s">
        <v>1144</v>
      </c>
      <c r="O49" s="41" t="s">
        <v>362</v>
      </c>
      <c r="P49" s="41" t="s">
        <v>98</v>
      </c>
      <c r="Q49" s="41" t="s">
        <v>98</v>
      </c>
      <c r="R49" s="41" t="s">
        <v>39</v>
      </c>
      <c r="S49" s="41" t="s">
        <v>40</v>
      </c>
      <c r="T49" s="41" t="s">
        <v>40</v>
      </c>
      <c r="U49" s="41" t="s">
        <v>40</v>
      </c>
    </row>
    <row r="50" spans="1:21">
      <c r="A50" s="41">
        <v>2903</v>
      </c>
      <c r="B50" s="41" t="s">
        <v>1075</v>
      </c>
      <c r="D50" s="41">
        <v>7077</v>
      </c>
      <c r="E50" s="41" t="s">
        <v>1076</v>
      </c>
      <c r="F50" s="41" t="s">
        <v>53</v>
      </c>
      <c r="G50" s="41" t="s">
        <v>64</v>
      </c>
      <c r="I50" s="41" t="s">
        <v>56</v>
      </c>
      <c r="J50" s="41" t="s">
        <v>32</v>
      </c>
      <c r="K50" s="42"/>
      <c r="L50" s="41" t="s">
        <v>1077</v>
      </c>
      <c r="M50" s="41">
        <v>220</v>
      </c>
      <c r="N50" s="41" t="s">
        <v>1145</v>
      </c>
      <c r="O50" s="41" t="s">
        <v>757</v>
      </c>
      <c r="P50" s="41" t="s">
        <v>78</v>
      </c>
      <c r="Q50" s="41" t="s">
        <v>483</v>
      </c>
      <c r="R50" s="41" t="s">
        <v>132</v>
      </c>
      <c r="S50" s="41" t="s">
        <v>40</v>
      </c>
      <c r="T50" s="41" t="s">
        <v>40</v>
      </c>
      <c r="U50" s="41" t="s">
        <v>40</v>
      </c>
    </row>
    <row r="51" spans="1:21">
      <c r="A51" s="41">
        <v>2902</v>
      </c>
      <c r="B51" s="41" t="s">
        <v>1146</v>
      </c>
      <c r="D51" s="41">
        <v>7079</v>
      </c>
      <c r="E51" s="41" t="s">
        <v>1041</v>
      </c>
      <c r="F51" s="41" t="s">
        <v>53</v>
      </c>
      <c r="G51" s="41" t="s">
        <v>64</v>
      </c>
      <c r="I51" s="41" t="s">
        <v>1042</v>
      </c>
      <c r="J51" s="41" t="s">
        <v>380</v>
      </c>
      <c r="K51" s="42"/>
      <c r="L51" s="41" t="s">
        <v>1147</v>
      </c>
      <c r="M51" s="41">
        <v>220</v>
      </c>
      <c r="N51" s="41" t="s">
        <v>395</v>
      </c>
      <c r="O51" s="41" t="s">
        <v>1148</v>
      </c>
      <c r="P51" s="41" t="s">
        <v>1046</v>
      </c>
      <c r="Q51" s="41" t="s">
        <v>1047</v>
      </c>
      <c r="R51" s="41" t="s">
        <v>62</v>
      </c>
      <c r="S51" s="41" t="s">
        <v>40</v>
      </c>
      <c r="T51" s="41" t="s">
        <v>40</v>
      </c>
      <c r="U51" s="41" t="s">
        <v>40</v>
      </c>
    </row>
    <row r="52" spans="1:21">
      <c r="A52" s="41">
        <v>2901</v>
      </c>
      <c r="B52" s="41" t="s">
        <v>1149</v>
      </c>
      <c r="D52" s="41">
        <v>7075</v>
      </c>
      <c r="E52" s="41" t="s">
        <v>1076</v>
      </c>
      <c r="F52" s="41" t="s">
        <v>53</v>
      </c>
      <c r="G52" s="41" t="s">
        <v>64</v>
      </c>
      <c r="I52" s="41" t="s">
        <v>149</v>
      </c>
      <c r="J52" s="41" t="s">
        <v>32</v>
      </c>
      <c r="K52" s="42"/>
      <c r="L52" s="41" t="s">
        <v>1150</v>
      </c>
      <c r="M52" s="41">
        <v>66</v>
      </c>
      <c r="N52" s="41" t="s">
        <v>67</v>
      </c>
      <c r="O52" s="41" t="s">
        <v>1151</v>
      </c>
      <c r="P52" s="41" t="s">
        <v>60</v>
      </c>
      <c r="Q52" s="41" t="s">
        <v>61</v>
      </c>
      <c r="R52" s="41" t="s">
        <v>132</v>
      </c>
      <c r="S52" s="41" t="s">
        <v>40</v>
      </c>
      <c r="T52" s="41" t="s">
        <v>40</v>
      </c>
      <c r="U52" s="41" t="s">
        <v>40</v>
      </c>
    </row>
    <row r="53" spans="1:21">
      <c r="A53" s="41">
        <v>2900</v>
      </c>
      <c r="B53" s="41" t="s">
        <v>1152</v>
      </c>
      <c r="D53" s="41">
        <v>7059</v>
      </c>
      <c r="E53" s="41" t="s">
        <v>1136</v>
      </c>
      <c r="F53" s="41" t="s">
        <v>53</v>
      </c>
      <c r="G53" s="41" t="s">
        <v>64</v>
      </c>
      <c r="I53" s="41" t="s">
        <v>231</v>
      </c>
      <c r="J53" s="41" t="s">
        <v>295</v>
      </c>
      <c r="K53" s="42"/>
      <c r="L53" s="41" t="s">
        <v>1153</v>
      </c>
      <c r="M53" s="41">
        <v>23</v>
      </c>
      <c r="N53" s="41" t="s">
        <v>1154</v>
      </c>
      <c r="O53" s="41" t="s">
        <v>1155</v>
      </c>
      <c r="P53" s="41" t="s">
        <v>68</v>
      </c>
      <c r="Q53" s="41" t="s">
        <v>1156</v>
      </c>
      <c r="R53" s="41" t="s">
        <v>132</v>
      </c>
      <c r="S53" s="41" t="s">
        <v>40</v>
      </c>
      <c r="T53" s="41" t="s">
        <v>40</v>
      </c>
      <c r="U53" s="41" t="s">
        <v>40</v>
      </c>
    </row>
    <row r="54" spans="1:21">
      <c r="A54" s="41">
        <v>2899</v>
      </c>
      <c r="B54" s="41" t="s">
        <v>1157</v>
      </c>
      <c r="D54" s="41">
        <v>7057</v>
      </c>
      <c r="E54" s="41" t="s">
        <v>1158</v>
      </c>
      <c r="F54" s="41" t="s">
        <v>53</v>
      </c>
      <c r="G54" s="41" t="s">
        <v>64</v>
      </c>
      <c r="I54" s="41" t="s">
        <v>56</v>
      </c>
      <c r="J54" s="41" t="s">
        <v>295</v>
      </c>
      <c r="K54" s="42"/>
      <c r="L54" s="41" t="s">
        <v>1159</v>
      </c>
      <c r="M54" s="41">
        <v>220</v>
      </c>
      <c r="N54" s="41" t="s">
        <v>59</v>
      </c>
      <c r="O54" s="41" t="s">
        <v>341</v>
      </c>
      <c r="P54" s="41" t="s">
        <v>172</v>
      </c>
      <c r="Q54" s="41" t="s">
        <v>253</v>
      </c>
      <c r="R54" s="41" t="s">
        <v>132</v>
      </c>
      <c r="S54" s="41" t="s">
        <v>40</v>
      </c>
      <c r="T54" s="41" t="s">
        <v>40</v>
      </c>
      <c r="U54" s="41" t="s">
        <v>40</v>
      </c>
    </row>
    <row r="55" spans="1:21">
      <c r="A55" s="41">
        <v>2898</v>
      </c>
      <c r="B55" s="41" t="s">
        <v>1160</v>
      </c>
      <c r="D55" s="41">
        <v>7058</v>
      </c>
      <c r="E55" s="41" t="s">
        <v>1161</v>
      </c>
      <c r="F55" s="41" t="s">
        <v>53</v>
      </c>
      <c r="G55" s="41" t="s">
        <v>1162</v>
      </c>
      <c r="I55" s="41" t="s">
        <v>1137</v>
      </c>
      <c r="J55" s="41" t="s">
        <v>32</v>
      </c>
      <c r="K55" s="42"/>
      <c r="L55" s="41" t="s">
        <v>1163</v>
      </c>
      <c r="M55" s="41">
        <v>110</v>
      </c>
      <c r="N55" s="41" t="s">
        <v>1164</v>
      </c>
      <c r="O55" s="41" t="s">
        <v>333</v>
      </c>
      <c r="P55" s="41" t="s">
        <v>68</v>
      </c>
      <c r="Q55" s="41" t="s">
        <v>1165</v>
      </c>
      <c r="R55" s="41" t="s">
        <v>132</v>
      </c>
      <c r="S55" s="41" t="s">
        <v>40</v>
      </c>
      <c r="T55" s="41" t="s">
        <v>40</v>
      </c>
      <c r="U55" s="41" t="s">
        <v>40</v>
      </c>
    </row>
    <row r="56" spans="1:21">
      <c r="A56" s="41">
        <v>2896</v>
      </c>
      <c r="B56" s="41" t="s">
        <v>1166</v>
      </c>
      <c r="D56" s="41">
        <v>7056</v>
      </c>
      <c r="E56" s="41" t="s">
        <v>1167</v>
      </c>
      <c r="F56" s="41" t="s">
        <v>42</v>
      </c>
      <c r="G56" s="41" t="s">
        <v>141</v>
      </c>
      <c r="I56" s="41" t="s">
        <v>1168</v>
      </c>
      <c r="J56" s="41" t="s">
        <v>32</v>
      </c>
      <c r="K56" s="42"/>
      <c r="L56" s="41" t="s">
        <v>1169</v>
      </c>
      <c r="M56" s="41">
        <v>33</v>
      </c>
      <c r="N56" s="41" t="s">
        <v>59</v>
      </c>
      <c r="O56" s="41" t="s">
        <v>1170</v>
      </c>
      <c r="P56" s="41" t="s">
        <v>78</v>
      </c>
      <c r="Q56" s="41" t="s">
        <v>1171</v>
      </c>
      <c r="R56" s="41" t="s">
        <v>39</v>
      </c>
      <c r="S56" s="41" t="s">
        <v>40</v>
      </c>
      <c r="T56" s="41" t="s">
        <v>1172</v>
      </c>
      <c r="U56" s="41" t="s">
        <v>40</v>
      </c>
    </row>
    <row r="57" spans="1:21">
      <c r="A57" s="41">
        <v>2895</v>
      </c>
      <c r="B57" s="41" t="s">
        <v>1173</v>
      </c>
      <c r="D57" s="41">
        <v>7048</v>
      </c>
      <c r="E57" s="41" t="s">
        <v>1174</v>
      </c>
      <c r="F57" s="41" t="s">
        <v>42</v>
      </c>
      <c r="G57" s="41" t="s">
        <v>1175</v>
      </c>
      <c r="I57" s="41" t="s">
        <v>1176</v>
      </c>
      <c r="J57" s="41" t="s">
        <v>32</v>
      </c>
      <c r="K57" s="42"/>
      <c r="L57" s="41" t="s">
        <v>1177</v>
      </c>
      <c r="M57" s="41">
        <v>33</v>
      </c>
      <c r="N57" s="41" t="s">
        <v>1178</v>
      </c>
      <c r="O57" s="41" t="s">
        <v>1179</v>
      </c>
      <c r="P57" s="41" t="s">
        <v>179</v>
      </c>
      <c r="Q57" s="41" t="s">
        <v>1116</v>
      </c>
      <c r="R57" s="41" t="s">
        <v>39</v>
      </c>
      <c r="S57" s="41" t="s">
        <v>40</v>
      </c>
      <c r="T57" s="41" t="s">
        <v>40</v>
      </c>
      <c r="U57" s="41" t="s">
        <v>40</v>
      </c>
    </row>
    <row r="58" spans="1:21">
      <c r="A58" s="41">
        <v>2894</v>
      </c>
      <c r="B58" s="41" t="s">
        <v>1173</v>
      </c>
      <c r="D58" s="41">
        <v>7047</v>
      </c>
      <c r="E58" s="41" t="s">
        <v>1174</v>
      </c>
      <c r="F58" s="41" t="s">
        <v>28</v>
      </c>
      <c r="G58" s="41" t="s">
        <v>286</v>
      </c>
      <c r="I58" s="41" t="s">
        <v>1176</v>
      </c>
      <c r="J58" s="41" t="s">
        <v>32</v>
      </c>
      <c r="K58" s="42"/>
      <c r="L58" s="41" t="s">
        <v>1180</v>
      </c>
      <c r="M58" s="41">
        <v>33</v>
      </c>
      <c r="N58" s="41" t="s">
        <v>1178</v>
      </c>
      <c r="O58" s="41" t="s">
        <v>1179</v>
      </c>
      <c r="P58" s="41" t="s">
        <v>179</v>
      </c>
      <c r="Q58" s="41" t="s">
        <v>1116</v>
      </c>
      <c r="R58" s="41" t="s">
        <v>39</v>
      </c>
      <c r="S58" s="41" t="s">
        <v>40</v>
      </c>
      <c r="T58" s="41" t="s">
        <v>40</v>
      </c>
      <c r="U58" s="41" t="s">
        <v>40</v>
      </c>
    </row>
    <row r="59" spans="1:21">
      <c r="A59" s="41">
        <v>2893</v>
      </c>
      <c r="B59" s="41" t="s">
        <v>1181</v>
      </c>
      <c r="D59" s="41">
        <v>7046</v>
      </c>
      <c r="E59" s="41" t="s">
        <v>1182</v>
      </c>
      <c r="F59" s="41" t="s">
        <v>42</v>
      </c>
      <c r="G59" s="41" t="s">
        <v>1036</v>
      </c>
      <c r="I59" s="41" t="s">
        <v>1183</v>
      </c>
      <c r="J59" s="41" t="s">
        <v>32</v>
      </c>
      <c r="K59" s="42"/>
      <c r="L59" s="41" t="s">
        <v>1184</v>
      </c>
      <c r="M59" s="41">
        <v>33</v>
      </c>
      <c r="N59" s="41" t="s">
        <v>1133</v>
      </c>
      <c r="O59" s="41" t="s">
        <v>1185</v>
      </c>
      <c r="P59" s="41" t="s">
        <v>98</v>
      </c>
      <c r="Q59" s="41" t="s">
        <v>116</v>
      </c>
      <c r="R59" s="41" t="s">
        <v>39</v>
      </c>
      <c r="S59" s="41" t="s">
        <v>40</v>
      </c>
      <c r="T59" s="41" t="s">
        <v>40</v>
      </c>
      <c r="U59" s="41" t="s">
        <v>40</v>
      </c>
    </row>
    <row r="60" spans="1:21">
      <c r="A60" s="41">
        <v>2892</v>
      </c>
      <c r="B60" s="41" t="s">
        <v>1186</v>
      </c>
      <c r="E60" s="41" t="s">
        <v>1187</v>
      </c>
      <c r="F60" s="41" t="s">
        <v>53</v>
      </c>
      <c r="G60" s="41" t="s">
        <v>43</v>
      </c>
      <c r="I60" s="41" t="s">
        <v>1188</v>
      </c>
      <c r="J60" s="41" t="s">
        <v>32</v>
      </c>
      <c r="K60" s="42"/>
      <c r="L60" s="41" t="s">
        <v>974</v>
      </c>
      <c r="M60" s="41">
        <v>220</v>
      </c>
      <c r="N60" s="41" t="s">
        <v>151</v>
      </c>
      <c r="O60" s="41" t="s">
        <v>1189</v>
      </c>
      <c r="P60" s="41" t="s">
        <v>98</v>
      </c>
      <c r="Q60" s="41" t="s">
        <v>116</v>
      </c>
      <c r="R60" s="41" t="s">
        <v>62</v>
      </c>
      <c r="S60" s="41" t="s">
        <v>40</v>
      </c>
      <c r="T60" s="41" t="s">
        <v>40</v>
      </c>
      <c r="U60" s="41" t="s">
        <v>40</v>
      </c>
    </row>
    <row r="61" spans="1:21">
      <c r="A61" s="41">
        <v>2891</v>
      </c>
      <c r="B61" s="41" t="s">
        <v>1186</v>
      </c>
      <c r="D61" s="41">
        <v>7045</v>
      </c>
      <c r="E61" s="41" t="s">
        <v>1187</v>
      </c>
      <c r="F61" s="41" t="s">
        <v>53</v>
      </c>
      <c r="G61" s="41" t="s">
        <v>188</v>
      </c>
      <c r="I61" s="41" t="s">
        <v>1188</v>
      </c>
      <c r="J61" s="41" t="s">
        <v>32</v>
      </c>
      <c r="K61" s="42"/>
      <c r="L61" s="41" t="s">
        <v>974</v>
      </c>
      <c r="M61" s="41">
        <v>220</v>
      </c>
      <c r="N61" s="41" t="s">
        <v>151</v>
      </c>
      <c r="O61" s="41" t="s">
        <v>1189</v>
      </c>
      <c r="P61" s="41" t="s">
        <v>98</v>
      </c>
      <c r="Q61" s="41" t="s">
        <v>116</v>
      </c>
      <c r="R61" s="41" t="s">
        <v>62</v>
      </c>
      <c r="S61" s="41" t="s">
        <v>40</v>
      </c>
      <c r="T61" s="41" t="s">
        <v>40</v>
      </c>
      <c r="U61" s="41" t="s">
        <v>40</v>
      </c>
    </row>
    <row r="62" spans="1:21">
      <c r="A62" s="41">
        <v>2890</v>
      </c>
      <c r="B62" s="41" t="s">
        <v>1190</v>
      </c>
      <c r="D62" s="41">
        <v>7044</v>
      </c>
      <c r="E62" s="41" t="s">
        <v>1191</v>
      </c>
      <c r="F62" s="41" t="s">
        <v>53</v>
      </c>
      <c r="G62" s="41" t="s">
        <v>64</v>
      </c>
      <c r="I62" s="41" t="s">
        <v>1068</v>
      </c>
      <c r="J62" s="41" t="s">
        <v>672</v>
      </c>
      <c r="K62" s="42"/>
      <c r="L62" s="41" t="s">
        <v>1192</v>
      </c>
      <c r="M62" s="41">
        <v>66</v>
      </c>
      <c r="N62" s="41" t="s">
        <v>1193</v>
      </c>
      <c r="O62" s="41" t="s">
        <v>1194</v>
      </c>
      <c r="P62" s="41" t="s">
        <v>98</v>
      </c>
      <c r="Q62" s="41" t="s">
        <v>99</v>
      </c>
      <c r="R62" s="41" t="s">
        <v>62</v>
      </c>
      <c r="S62" s="41" t="s">
        <v>40</v>
      </c>
      <c r="T62" s="41" t="s">
        <v>40</v>
      </c>
      <c r="U62" s="41" t="s">
        <v>40</v>
      </c>
    </row>
    <row r="63" spans="1:21">
      <c r="A63" s="41">
        <v>2889</v>
      </c>
      <c r="B63" s="41" t="s">
        <v>1195</v>
      </c>
      <c r="D63" s="41">
        <v>7042</v>
      </c>
      <c r="E63" s="41" t="s">
        <v>1196</v>
      </c>
      <c r="F63" s="41" t="s">
        <v>42</v>
      </c>
      <c r="G63" s="41" t="s">
        <v>1197</v>
      </c>
      <c r="I63" s="41" t="s">
        <v>149</v>
      </c>
      <c r="J63" s="41" t="s">
        <v>32</v>
      </c>
      <c r="K63" s="42"/>
      <c r="L63" s="41" t="s">
        <v>1198</v>
      </c>
      <c r="M63" s="41">
        <v>33</v>
      </c>
      <c r="N63" s="41" t="s">
        <v>1199</v>
      </c>
      <c r="O63" s="41" t="s">
        <v>1200</v>
      </c>
      <c r="P63" s="41" t="s">
        <v>98</v>
      </c>
      <c r="Q63" s="41" t="s">
        <v>491</v>
      </c>
      <c r="R63" s="41" t="s">
        <v>39</v>
      </c>
      <c r="S63" s="41" t="s">
        <v>40</v>
      </c>
      <c r="T63" s="41" t="s">
        <v>40</v>
      </c>
      <c r="U63" s="41" t="s">
        <v>40</v>
      </c>
    </row>
    <row r="64" spans="1:21">
      <c r="A64" s="41">
        <v>2888</v>
      </c>
      <c r="B64" s="41" t="s">
        <v>1201</v>
      </c>
      <c r="D64" s="41">
        <v>7041</v>
      </c>
      <c r="E64" s="41" t="s">
        <v>1202</v>
      </c>
      <c r="F64" s="41" t="s">
        <v>53</v>
      </c>
      <c r="G64" s="41" t="s">
        <v>54</v>
      </c>
      <c r="I64" s="41" t="s">
        <v>1203</v>
      </c>
      <c r="J64" s="41" t="s">
        <v>380</v>
      </c>
      <c r="K64" s="42"/>
      <c r="L64" s="41" t="s">
        <v>1204</v>
      </c>
      <c r="M64" s="41">
        <v>110</v>
      </c>
      <c r="N64" s="41" t="s">
        <v>1205</v>
      </c>
      <c r="O64" s="41" t="s">
        <v>341</v>
      </c>
      <c r="P64" s="41" t="s">
        <v>83</v>
      </c>
      <c r="Q64" s="41" t="s">
        <v>1206</v>
      </c>
      <c r="R64" s="41" t="s">
        <v>132</v>
      </c>
      <c r="S64" s="41" t="s">
        <v>40</v>
      </c>
      <c r="T64" s="41" t="s">
        <v>40</v>
      </c>
      <c r="U64" s="41" t="s">
        <v>40</v>
      </c>
    </row>
    <row r="65" spans="1:21">
      <c r="A65" s="41">
        <v>2887</v>
      </c>
      <c r="B65" s="41" t="s">
        <v>1207</v>
      </c>
      <c r="D65" s="41">
        <v>7040</v>
      </c>
      <c r="E65" s="41" t="s">
        <v>1208</v>
      </c>
      <c r="F65" s="41" t="s">
        <v>28</v>
      </c>
      <c r="G65" s="41" t="s">
        <v>286</v>
      </c>
      <c r="I65" s="41" t="s">
        <v>1068</v>
      </c>
      <c r="J65" s="41" t="s">
        <v>32</v>
      </c>
      <c r="K65" s="42"/>
      <c r="L65" s="41" t="s">
        <v>1209</v>
      </c>
      <c r="M65" s="41">
        <v>13</v>
      </c>
      <c r="N65" s="41" t="s">
        <v>1210</v>
      </c>
      <c r="O65" s="41" t="s">
        <v>1211</v>
      </c>
      <c r="P65" s="41" t="s">
        <v>98</v>
      </c>
      <c r="Q65" s="41" t="s">
        <v>491</v>
      </c>
      <c r="R65" s="41" t="s">
        <v>39</v>
      </c>
      <c r="S65" s="41" t="s">
        <v>40</v>
      </c>
      <c r="T65" s="41" t="s">
        <v>40</v>
      </c>
      <c r="U65" s="41" t="s">
        <v>40</v>
      </c>
    </row>
    <row r="66" spans="1:21">
      <c r="A66" s="41">
        <v>2886</v>
      </c>
      <c r="B66" s="41" t="s">
        <v>1212</v>
      </c>
      <c r="D66" s="41">
        <v>7036</v>
      </c>
      <c r="E66" s="41" t="s">
        <v>1213</v>
      </c>
      <c r="F66" s="41" t="s">
        <v>53</v>
      </c>
      <c r="G66" s="41" t="s">
        <v>188</v>
      </c>
      <c r="I66" s="41" t="s">
        <v>56</v>
      </c>
      <c r="J66" s="41" t="s">
        <v>295</v>
      </c>
      <c r="K66" s="42"/>
      <c r="L66" s="41" t="s">
        <v>1214</v>
      </c>
      <c r="M66" s="41">
        <v>220</v>
      </c>
      <c r="N66" s="41" t="s">
        <v>1215</v>
      </c>
      <c r="O66" s="41" t="s">
        <v>1216</v>
      </c>
      <c r="P66" s="41" t="s">
        <v>37</v>
      </c>
      <c r="Q66" s="41" t="s">
        <v>969</v>
      </c>
      <c r="R66" s="41" t="s">
        <v>62</v>
      </c>
      <c r="S66" s="41" t="s">
        <v>40</v>
      </c>
      <c r="T66" s="41" t="s">
        <v>40</v>
      </c>
      <c r="U66" s="41" t="s">
        <v>40</v>
      </c>
    </row>
    <row r="67" spans="1:21">
      <c r="A67" s="41">
        <v>2885</v>
      </c>
      <c r="B67" s="41" t="s">
        <v>1160</v>
      </c>
      <c r="D67" s="41">
        <v>7037</v>
      </c>
      <c r="E67" s="41" t="s">
        <v>1161</v>
      </c>
      <c r="F67" s="41" t="s">
        <v>53</v>
      </c>
      <c r="G67" s="41" t="s">
        <v>64</v>
      </c>
      <c r="I67" s="41" t="s">
        <v>1137</v>
      </c>
      <c r="J67" s="41" t="s">
        <v>32</v>
      </c>
      <c r="K67" s="42"/>
      <c r="L67" s="41" t="s">
        <v>1163</v>
      </c>
      <c r="M67" s="41">
        <v>110</v>
      </c>
      <c r="N67" s="41" t="s">
        <v>1217</v>
      </c>
      <c r="O67" s="41" t="s">
        <v>333</v>
      </c>
      <c r="P67" s="41" t="s">
        <v>68</v>
      </c>
      <c r="Q67" s="41" t="s">
        <v>1165</v>
      </c>
      <c r="R67" s="41" t="s">
        <v>132</v>
      </c>
      <c r="S67" s="41" t="s">
        <v>40</v>
      </c>
      <c r="T67" s="41" t="s">
        <v>40</v>
      </c>
      <c r="U67" s="41" t="s">
        <v>40</v>
      </c>
    </row>
    <row r="68" spans="1:21">
      <c r="A68" s="41">
        <v>2884</v>
      </c>
      <c r="B68" s="41" t="s">
        <v>1218</v>
      </c>
      <c r="E68" s="41" t="s">
        <v>1080</v>
      </c>
      <c r="F68" s="41" t="s">
        <v>53</v>
      </c>
      <c r="G68" s="41" t="s">
        <v>972</v>
      </c>
      <c r="I68" s="41" t="s">
        <v>1068</v>
      </c>
      <c r="J68" s="41" t="s">
        <v>672</v>
      </c>
      <c r="K68" s="42"/>
      <c r="L68" s="41" t="s">
        <v>1219</v>
      </c>
      <c r="M68" s="41">
        <v>13</v>
      </c>
      <c r="N68" s="41" t="s">
        <v>1220</v>
      </c>
      <c r="O68" s="41" t="s">
        <v>402</v>
      </c>
      <c r="P68" s="41" t="s">
        <v>60</v>
      </c>
      <c r="Q68" s="41" t="s">
        <v>61</v>
      </c>
      <c r="R68" s="41" t="s">
        <v>132</v>
      </c>
      <c r="S68" s="41" t="s">
        <v>40</v>
      </c>
      <c r="T68" s="41" t="s">
        <v>40</v>
      </c>
      <c r="U68" s="41" t="s">
        <v>40</v>
      </c>
    </row>
    <row r="69" spans="1:21">
      <c r="A69" s="41">
        <v>2883</v>
      </c>
      <c r="B69" s="41" t="s">
        <v>1218</v>
      </c>
      <c r="D69" s="41">
        <v>7035</v>
      </c>
      <c r="E69" s="41" t="s">
        <v>1080</v>
      </c>
      <c r="F69" s="41" t="s">
        <v>53</v>
      </c>
      <c r="G69" s="41" t="s">
        <v>1071</v>
      </c>
      <c r="I69" s="41" t="s">
        <v>1068</v>
      </c>
      <c r="J69" s="41" t="s">
        <v>672</v>
      </c>
      <c r="K69" s="42"/>
      <c r="L69" s="41" t="s">
        <v>1219</v>
      </c>
      <c r="M69" s="41">
        <v>13</v>
      </c>
      <c r="N69" s="41" t="s">
        <v>1220</v>
      </c>
      <c r="O69" s="41" t="s">
        <v>402</v>
      </c>
      <c r="P69" s="41" t="s">
        <v>60</v>
      </c>
      <c r="Q69" s="41" t="s">
        <v>61</v>
      </c>
      <c r="R69" s="41" t="s">
        <v>132</v>
      </c>
      <c r="S69" s="41" t="s">
        <v>40</v>
      </c>
      <c r="T69" s="41" t="s">
        <v>40</v>
      </c>
      <c r="U69" s="41" t="s">
        <v>40</v>
      </c>
    </row>
    <row r="70" spans="1:21">
      <c r="A70" s="41">
        <v>2882</v>
      </c>
      <c r="B70" s="41" t="s">
        <v>1221</v>
      </c>
      <c r="D70" s="41">
        <v>7043</v>
      </c>
      <c r="E70" s="41" t="s">
        <v>1222</v>
      </c>
      <c r="F70" s="41" t="s">
        <v>28</v>
      </c>
      <c r="G70" s="41" t="s">
        <v>286</v>
      </c>
      <c r="I70" s="41" t="s">
        <v>1223</v>
      </c>
      <c r="J70" s="41" t="s">
        <v>672</v>
      </c>
      <c r="K70" s="42"/>
      <c r="L70" s="41" t="s">
        <v>1224</v>
      </c>
      <c r="M70" s="41">
        <v>220</v>
      </c>
      <c r="N70" s="41" t="s">
        <v>67</v>
      </c>
      <c r="O70" s="41" t="s">
        <v>1225</v>
      </c>
      <c r="P70" s="41" t="s">
        <v>68</v>
      </c>
      <c r="Q70" s="41" t="s">
        <v>699</v>
      </c>
      <c r="R70" s="41" t="s">
        <v>39</v>
      </c>
      <c r="S70" s="41" t="s">
        <v>40</v>
      </c>
      <c r="T70" s="41" t="s">
        <v>40</v>
      </c>
      <c r="U70" s="41" t="s">
        <v>40</v>
      </c>
    </row>
    <row r="71" spans="1:21">
      <c r="A71" s="41">
        <v>2881</v>
      </c>
      <c r="B71" s="41" t="s">
        <v>1226</v>
      </c>
      <c r="D71" s="41">
        <v>7021</v>
      </c>
      <c r="E71" s="41" t="s">
        <v>1227</v>
      </c>
      <c r="F71" s="41" t="s">
        <v>42</v>
      </c>
      <c r="G71" s="41" t="s">
        <v>141</v>
      </c>
      <c r="I71" s="41" t="s">
        <v>1228</v>
      </c>
      <c r="J71" s="41" t="s">
        <v>32</v>
      </c>
      <c r="K71" s="42"/>
      <c r="L71" s="41" t="s">
        <v>1229</v>
      </c>
      <c r="M71" s="41">
        <v>220</v>
      </c>
      <c r="N71" s="41" t="s">
        <v>67</v>
      </c>
      <c r="O71" s="41" t="s">
        <v>1230</v>
      </c>
      <c r="P71" s="41" t="s">
        <v>98</v>
      </c>
      <c r="Q71" s="41" t="s">
        <v>491</v>
      </c>
      <c r="R71" s="41" t="s">
        <v>39</v>
      </c>
      <c r="S71" s="41" t="s">
        <v>40</v>
      </c>
      <c r="T71" s="41" t="s">
        <v>1231</v>
      </c>
      <c r="U71" s="41" t="s">
        <v>40</v>
      </c>
    </row>
    <row r="72" spans="1:21">
      <c r="A72" s="41">
        <v>2880</v>
      </c>
      <c r="B72" s="41" t="s">
        <v>1232</v>
      </c>
      <c r="D72" s="41">
        <v>7020</v>
      </c>
      <c r="E72" s="41" t="s">
        <v>1227</v>
      </c>
      <c r="F72" s="41" t="s">
        <v>42</v>
      </c>
      <c r="G72" s="41" t="s">
        <v>141</v>
      </c>
      <c r="I72" s="41" t="s">
        <v>1233</v>
      </c>
      <c r="J72" s="41" t="s">
        <v>32</v>
      </c>
      <c r="K72" s="42"/>
      <c r="L72" s="41" t="s">
        <v>1229</v>
      </c>
      <c r="M72" s="41">
        <v>220</v>
      </c>
      <c r="N72" s="41" t="s">
        <v>67</v>
      </c>
      <c r="O72" s="41" t="s">
        <v>1234</v>
      </c>
      <c r="P72" s="41" t="s">
        <v>98</v>
      </c>
      <c r="Q72" s="41" t="s">
        <v>491</v>
      </c>
      <c r="R72" s="41" t="s">
        <v>39</v>
      </c>
      <c r="S72" s="41" t="s">
        <v>40</v>
      </c>
      <c r="T72" s="41" t="s">
        <v>1231</v>
      </c>
      <c r="U72" s="41" t="s">
        <v>40</v>
      </c>
    </row>
    <row r="73" spans="1:21">
      <c r="A73" s="41">
        <v>2879</v>
      </c>
      <c r="B73" s="41" t="s">
        <v>1235</v>
      </c>
      <c r="C73" s="41">
        <v>1</v>
      </c>
      <c r="D73" s="41">
        <v>7034</v>
      </c>
      <c r="E73" s="41" t="s">
        <v>715</v>
      </c>
      <c r="F73" s="41" t="s">
        <v>42</v>
      </c>
      <c r="G73" s="41" t="s">
        <v>141</v>
      </c>
      <c r="H73" s="42">
        <v>46021</v>
      </c>
      <c r="I73" s="41">
        <v>300</v>
      </c>
      <c r="J73" s="41" t="s">
        <v>672</v>
      </c>
      <c r="K73" s="42">
        <v>48502</v>
      </c>
      <c r="L73" s="41" t="s">
        <v>1236</v>
      </c>
      <c r="M73" s="41">
        <v>220</v>
      </c>
      <c r="N73" s="41" t="s">
        <v>579</v>
      </c>
      <c r="O73" s="41" t="s">
        <v>138</v>
      </c>
      <c r="P73" s="41" t="s">
        <v>68</v>
      </c>
      <c r="Q73" s="41" t="s">
        <v>677</v>
      </c>
      <c r="R73" s="41" t="s">
        <v>39</v>
      </c>
      <c r="S73" s="41" t="s">
        <v>40</v>
      </c>
      <c r="T73" s="41" t="s">
        <v>1172</v>
      </c>
      <c r="U73" s="41" t="s">
        <v>40</v>
      </c>
    </row>
    <row r="74" spans="1:21">
      <c r="A74" s="41">
        <v>2878</v>
      </c>
      <c r="B74" s="41" t="s">
        <v>1237</v>
      </c>
      <c r="D74" s="41">
        <v>7019</v>
      </c>
      <c r="E74" s="41" t="s">
        <v>1238</v>
      </c>
      <c r="F74" s="41" t="s">
        <v>53</v>
      </c>
      <c r="G74" s="41" t="s">
        <v>54</v>
      </c>
      <c r="I74" s="41" t="s">
        <v>1239</v>
      </c>
      <c r="J74" s="41" t="s">
        <v>672</v>
      </c>
      <c r="K74" s="42"/>
      <c r="L74" s="41" t="s">
        <v>1240</v>
      </c>
      <c r="M74" s="41">
        <v>23</v>
      </c>
      <c r="N74" s="41" t="s">
        <v>1241</v>
      </c>
      <c r="O74" s="41" t="s">
        <v>989</v>
      </c>
      <c r="P74" s="41" t="s">
        <v>83</v>
      </c>
      <c r="Q74" s="41" t="s">
        <v>84</v>
      </c>
      <c r="R74" s="41" t="s">
        <v>132</v>
      </c>
      <c r="S74" s="41" t="s">
        <v>40</v>
      </c>
      <c r="T74" s="41" t="s">
        <v>40</v>
      </c>
      <c r="U74" s="41" t="s">
        <v>40</v>
      </c>
    </row>
    <row r="75" spans="1:21">
      <c r="A75" s="41">
        <v>2877</v>
      </c>
      <c r="B75" s="41" t="s">
        <v>1242</v>
      </c>
      <c r="D75" s="41">
        <v>7018</v>
      </c>
      <c r="E75" s="41" t="s">
        <v>1238</v>
      </c>
      <c r="F75" s="41" t="s">
        <v>53</v>
      </c>
      <c r="G75" s="41" t="s">
        <v>54</v>
      </c>
      <c r="I75" s="41" t="s">
        <v>1243</v>
      </c>
      <c r="J75" s="41" t="s">
        <v>672</v>
      </c>
      <c r="K75" s="42"/>
      <c r="L75" s="41" t="s">
        <v>1240</v>
      </c>
      <c r="M75" s="41">
        <v>23</v>
      </c>
      <c r="N75" s="41" t="s">
        <v>1241</v>
      </c>
      <c r="O75" s="41" t="s">
        <v>565</v>
      </c>
      <c r="P75" s="41" t="s">
        <v>83</v>
      </c>
      <c r="Q75" s="41" t="s">
        <v>84</v>
      </c>
      <c r="R75" s="41" t="s">
        <v>132</v>
      </c>
      <c r="S75" s="41" t="s">
        <v>40</v>
      </c>
      <c r="T75" s="41" t="s">
        <v>40</v>
      </c>
      <c r="U75" s="41" t="s">
        <v>40</v>
      </c>
    </row>
    <row r="76" spans="1:21">
      <c r="A76" s="41">
        <v>2876</v>
      </c>
      <c r="B76" s="41" t="s">
        <v>1244</v>
      </c>
      <c r="D76" s="41">
        <v>7017</v>
      </c>
      <c r="E76" s="41" t="s">
        <v>1238</v>
      </c>
      <c r="F76" s="41" t="s">
        <v>53</v>
      </c>
      <c r="G76" s="41" t="s">
        <v>54</v>
      </c>
      <c r="I76" s="41" t="s">
        <v>1245</v>
      </c>
      <c r="J76" s="41" t="s">
        <v>672</v>
      </c>
      <c r="K76" s="42"/>
      <c r="L76" s="41" t="s">
        <v>1240</v>
      </c>
      <c r="M76" s="41">
        <v>23</v>
      </c>
      <c r="N76" s="41" t="s">
        <v>1241</v>
      </c>
      <c r="O76" s="41" t="s">
        <v>291</v>
      </c>
      <c r="P76" s="41" t="s">
        <v>83</v>
      </c>
      <c r="Q76" s="41" t="s">
        <v>84</v>
      </c>
      <c r="R76" s="41" t="s">
        <v>132</v>
      </c>
      <c r="S76" s="41" t="s">
        <v>40</v>
      </c>
      <c r="T76" s="41" t="s">
        <v>40</v>
      </c>
      <c r="U76" s="41" t="s">
        <v>40</v>
      </c>
    </row>
    <row r="77" spans="1:21">
      <c r="A77" s="41">
        <v>2875</v>
      </c>
      <c r="B77" s="41" t="s">
        <v>1246</v>
      </c>
      <c r="D77" s="41">
        <v>7016</v>
      </c>
      <c r="E77" s="41" t="s">
        <v>1238</v>
      </c>
      <c r="F77" s="41" t="s">
        <v>53</v>
      </c>
      <c r="G77" s="41" t="s">
        <v>54</v>
      </c>
      <c r="I77" s="41" t="s">
        <v>316</v>
      </c>
      <c r="J77" s="41" t="s">
        <v>672</v>
      </c>
      <c r="K77" s="42"/>
      <c r="L77" s="41" t="s">
        <v>1240</v>
      </c>
      <c r="M77" s="41">
        <v>23</v>
      </c>
      <c r="N77" s="41" t="s">
        <v>1241</v>
      </c>
      <c r="O77" s="41" t="s">
        <v>1194</v>
      </c>
      <c r="P77" s="41" t="s">
        <v>83</v>
      </c>
      <c r="Q77" s="41" t="s">
        <v>84</v>
      </c>
      <c r="R77" s="41" t="s">
        <v>132</v>
      </c>
      <c r="S77" s="41" t="s">
        <v>40</v>
      </c>
      <c r="T77" s="41" t="s">
        <v>40</v>
      </c>
      <c r="U77" s="41" t="s">
        <v>40</v>
      </c>
    </row>
    <row r="78" spans="1:21">
      <c r="A78" s="41">
        <v>2874</v>
      </c>
      <c r="B78" s="41" t="s">
        <v>1247</v>
      </c>
      <c r="D78" s="41">
        <v>7015</v>
      </c>
      <c r="E78" s="41" t="s">
        <v>1248</v>
      </c>
      <c r="F78" s="41" t="s">
        <v>53</v>
      </c>
      <c r="G78" s="41" t="s">
        <v>1071</v>
      </c>
      <c r="I78" s="41" t="s">
        <v>1249</v>
      </c>
      <c r="J78" s="41" t="s">
        <v>672</v>
      </c>
      <c r="K78" s="42"/>
      <c r="L78" s="41" t="s">
        <v>1250</v>
      </c>
      <c r="M78" s="41">
        <v>13</v>
      </c>
      <c r="N78" s="41" t="s">
        <v>1241</v>
      </c>
      <c r="O78" s="41" t="s">
        <v>663</v>
      </c>
      <c r="P78" s="41" t="s">
        <v>1046</v>
      </c>
      <c r="Q78" s="41" t="s">
        <v>1110</v>
      </c>
      <c r="R78" s="41" t="s">
        <v>132</v>
      </c>
      <c r="S78" s="41" t="s">
        <v>40</v>
      </c>
      <c r="T78" s="41" t="s">
        <v>40</v>
      </c>
      <c r="U78" s="41" t="s">
        <v>40</v>
      </c>
    </row>
    <row r="79" spans="1:21">
      <c r="A79" s="41">
        <v>2873</v>
      </c>
      <c r="B79" s="41" t="s">
        <v>1251</v>
      </c>
      <c r="D79" s="41">
        <v>7014</v>
      </c>
      <c r="E79" s="41" t="s">
        <v>1091</v>
      </c>
      <c r="F79" s="41" t="s">
        <v>53</v>
      </c>
      <c r="G79" s="41" t="s">
        <v>188</v>
      </c>
      <c r="I79" s="41" t="s">
        <v>1092</v>
      </c>
      <c r="J79" s="41" t="s">
        <v>672</v>
      </c>
      <c r="K79" s="42"/>
      <c r="L79" s="41" t="s">
        <v>1252</v>
      </c>
      <c r="M79" s="41">
        <v>12</v>
      </c>
      <c r="N79" s="41" t="s">
        <v>1253</v>
      </c>
      <c r="O79" s="41" t="s">
        <v>1100</v>
      </c>
      <c r="P79" s="41" t="s">
        <v>68</v>
      </c>
      <c r="Q79" s="41" t="s">
        <v>1254</v>
      </c>
      <c r="R79" s="41" t="s">
        <v>132</v>
      </c>
      <c r="S79" s="41" t="s">
        <v>40</v>
      </c>
      <c r="T79" s="41" t="s">
        <v>40</v>
      </c>
      <c r="U79" s="41" t="s">
        <v>40</v>
      </c>
    </row>
    <row r="80" spans="1:21">
      <c r="A80" s="41">
        <v>2872</v>
      </c>
      <c r="B80" s="41" t="s">
        <v>1255</v>
      </c>
      <c r="D80" s="41">
        <v>7013</v>
      </c>
      <c r="E80" s="41" t="s">
        <v>1091</v>
      </c>
      <c r="F80" s="41" t="s">
        <v>53</v>
      </c>
      <c r="G80" s="41" t="s">
        <v>188</v>
      </c>
      <c r="I80" s="41" t="s">
        <v>977</v>
      </c>
      <c r="J80" s="41" t="s">
        <v>672</v>
      </c>
      <c r="K80" s="42"/>
      <c r="L80" s="41" t="s">
        <v>1256</v>
      </c>
      <c r="M80" s="41">
        <v>23</v>
      </c>
      <c r="N80" s="41" t="s">
        <v>1257</v>
      </c>
      <c r="O80" s="41" t="s">
        <v>1258</v>
      </c>
      <c r="P80" s="41" t="s">
        <v>68</v>
      </c>
      <c r="Q80" s="41" t="s">
        <v>677</v>
      </c>
      <c r="R80" s="41" t="s">
        <v>132</v>
      </c>
      <c r="S80" s="41" t="s">
        <v>40</v>
      </c>
      <c r="T80" s="41" t="s">
        <v>40</v>
      </c>
      <c r="U80" s="41" t="s">
        <v>40</v>
      </c>
    </row>
    <row r="81" spans="1:21">
      <c r="A81" s="41">
        <v>2871</v>
      </c>
      <c r="B81" s="41" t="s">
        <v>1259</v>
      </c>
      <c r="D81" s="41">
        <v>7012</v>
      </c>
      <c r="E81" s="41" t="s">
        <v>1091</v>
      </c>
      <c r="F81" s="41" t="s">
        <v>53</v>
      </c>
      <c r="G81" s="41" t="s">
        <v>188</v>
      </c>
      <c r="I81" s="41" t="s">
        <v>1092</v>
      </c>
      <c r="J81" s="41" t="s">
        <v>672</v>
      </c>
      <c r="K81" s="42"/>
      <c r="L81" s="41" t="s">
        <v>1260</v>
      </c>
      <c r="M81" s="41">
        <v>12</v>
      </c>
      <c r="N81" s="41" t="s">
        <v>1094</v>
      </c>
      <c r="O81" s="41" t="s">
        <v>1261</v>
      </c>
      <c r="P81" s="41" t="s">
        <v>68</v>
      </c>
      <c r="Q81" s="41" t="s">
        <v>1096</v>
      </c>
      <c r="R81" s="41" t="s">
        <v>132</v>
      </c>
      <c r="S81" s="41" t="s">
        <v>40</v>
      </c>
      <c r="T81" s="41" t="s">
        <v>40</v>
      </c>
      <c r="U81" s="41" t="s">
        <v>40</v>
      </c>
    </row>
    <row r="82" spans="1:21">
      <c r="A82" s="41">
        <v>2870</v>
      </c>
      <c r="B82" s="41" t="s">
        <v>1262</v>
      </c>
      <c r="D82" s="41">
        <v>7011</v>
      </c>
      <c r="E82" s="41" t="s">
        <v>1091</v>
      </c>
      <c r="F82" s="41" t="s">
        <v>53</v>
      </c>
      <c r="G82" s="41" t="s">
        <v>188</v>
      </c>
      <c r="I82" s="41" t="s">
        <v>1092</v>
      </c>
      <c r="J82" s="41" t="s">
        <v>672</v>
      </c>
      <c r="K82" s="42"/>
      <c r="L82" s="41" t="s">
        <v>1093</v>
      </c>
      <c r="M82" s="41">
        <v>12</v>
      </c>
      <c r="N82" s="41" t="s">
        <v>1263</v>
      </c>
      <c r="O82" s="41" t="s">
        <v>402</v>
      </c>
      <c r="P82" s="41" t="s">
        <v>68</v>
      </c>
      <c r="Q82" s="41" t="s">
        <v>1096</v>
      </c>
      <c r="R82" s="41" t="s">
        <v>132</v>
      </c>
      <c r="S82" s="41" t="s">
        <v>40</v>
      </c>
      <c r="T82" s="41" t="s">
        <v>40</v>
      </c>
      <c r="U82" s="41" t="s">
        <v>40</v>
      </c>
    </row>
    <row r="83" spans="1:21">
      <c r="A83" s="41">
        <v>2869</v>
      </c>
      <c r="B83" s="41" t="s">
        <v>1264</v>
      </c>
      <c r="D83" s="41">
        <v>7010</v>
      </c>
      <c r="E83" s="41" t="s">
        <v>1091</v>
      </c>
      <c r="F83" s="41" t="s">
        <v>53</v>
      </c>
      <c r="G83" s="41" t="s">
        <v>796</v>
      </c>
      <c r="I83" s="41" t="s">
        <v>977</v>
      </c>
      <c r="J83" s="41" t="s">
        <v>672</v>
      </c>
      <c r="K83" s="42"/>
      <c r="L83" s="41" t="s">
        <v>1265</v>
      </c>
      <c r="M83" s="41">
        <v>23</v>
      </c>
      <c r="N83" s="41" t="s">
        <v>1266</v>
      </c>
      <c r="O83" s="41" t="s">
        <v>1267</v>
      </c>
      <c r="P83" s="41" t="s">
        <v>68</v>
      </c>
      <c r="Q83" s="41" t="s">
        <v>1268</v>
      </c>
      <c r="R83" s="41" t="s">
        <v>132</v>
      </c>
      <c r="S83" s="41" t="s">
        <v>40</v>
      </c>
      <c r="T83" s="41" t="s">
        <v>40</v>
      </c>
      <c r="U83" s="41" t="s">
        <v>40</v>
      </c>
    </row>
    <row r="84" spans="1:21">
      <c r="A84" s="41">
        <v>2868</v>
      </c>
      <c r="B84" s="41" t="s">
        <v>1269</v>
      </c>
      <c r="D84" s="41">
        <v>7009</v>
      </c>
      <c r="E84" s="41" t="s">
        <v>1270</v>
      </c>
      <c r="F84" s="41" t="s">
        <v>53</v>
      </c>
      <c r="G84" s="41" t="s">
        <v>188</v>
      </c>
      <c r="I84" s="41" t="s">
        <v>149</v>
      </c>
      <c r="J84" s="41" t="s">
        <v>32</v>
      </c>
      <c r="K84" s="42"/>
      <c r="L84" s="41" t="s">
        <v>1271</v>
      </c>
      <c r="M84" s="41">
        <v>12</v>
      </c>
      <c r="N84" s="41" t="s">
        <v>1272</v>
      </c>
      <c r="O84" s="41" t="s">
        <v>1273</v>
      </c>
      <c r="P84" s="41" t="s">
        <v>78</v>
      </c>
      <c r="Q84" s="41" t="s">
        <v>1274</v>
      </c>
      <c r="R84" s="41" t="s">
        <v>132</v>
      </c>
      <c r="S84" s="41" t="s">
        <v>40</v>
      </c>
      <c r="T84" s="41" t="s">
        <v>40</v>
      </c>
      <c r="U84" s="41" t="s">
        <v>40</v>
      </c>
    </row>
    <row r="85" spans="1:21">
      <c r="A85" s="41">
        <v>2867</v>
      </c>
      <c r="B85" s="41" t="s">
        <v>1275</v>
      </c>
      <c r="D85" s="41">
        <v>7033</v>
      </c>
      <c r="E85" s="41" t="s">
        <v>1276</v>
      </c>
      <c r="F85" s="41" t="s">
        <v>28</v>
      </c>
      <c r="G85" s="41" t="s">
        <v>1162</v>
      </c>
      <c r="I85" s="41" t="s">
        <v>464</v>
      </c>
      <c r="J85" s="41" t="s">
        <v>32</v>
      </c>
      <c r="K85" s="42"/>
      <c r="L85" s="41" t="s">
        <v>1277</v>
      </c>
      <c r="M85" s="41">
        <v>110</v>
      </c>
      <c r="N85" s="41" t="s">
        <v>1278</v>
      </c>
      <c r="O85" s="41" t="s">
        <v>1279</v>
      </c>
      <c r="P85" s="41" t="s">
        <v>153</v>
      </c>
      <c r="Q85" s="41" t="s">
        <v>1280</v>
      </c>
      <c r="R85" s="41" t="s">
        <v>39</v>
      </c>
      <c r="S85" s="41" t="s">
        <v>40</v>
      </c>
      <c r="T85" s="41" t="s">
        <v>40</v>
      </c>
      <c r="U85" s="41" t="s">
        <v>40</v>
      </c>
    </row>
    <row r="86" spans="1:21">
      <c r="A86" s="41">
        <v>2866</v>
      </c>
      <c r="B86" s="41" t="s">
        <v>1281</v>
      </c>
      <c r="D86" s="41">
        <v>7008</v>
      </c>
      <c r="E86" s="41" t="s">
        <v>1282</v>
      </c>
      <c r="F86" s="41" t="s">
        <v>28</v>
      </c>
      <c r="G86" s="41" t="s">
        <v>64</v>
      </c>
      <c r="I86" s="41" t="s">
        <v>966</v>
      </c>
      <c r="J86" s="41" t="s">
        <v>380</v>
      </c>
      <c r="K86" s="42"/>
      <c r="L86" s="41" t="s">
        <v>1283</v>
      </c>
      <c r="M86" s="41">
        <v>110</v>
      </c>
      <c r="N86" s="41" t="s">
        <v>67</v>
      </c>
      <c r="O86" s="41" t="s">
        <v>1284</v>
      </c>
      <c r="P86" s="41" t="s">
        <v>83</v>
      </c>
      <c r="Q86" s="41" t="s">
        <v>1206</v>
      </c>
      <c r="R86" s="41" t="s">
        <v>39</v>
      </c>
      <c r="S86" s="41" t="s">
        <v>40</v>
      </c>
      <c r="T86" s="41" t="s">
        <v>40</v>
      </c>
      <c r="U86" s="41" t="s">
        <v>40</v>
      </c>
    </row>
    <row r="87" spans="1:21">
      <c r="A87" s="41">
        <v>2865</v>
      </c>
      <c r="B87" s="41" t="s">
        <v>1285</v>
      </c>
      <c r="D87" s="41">
        <v>7007</v>
      </c>
      <c r="E87" s="41" t="s">
        <v>1286</v>
      </c>
      <c r="F87" s="41" t="s">
        <v>42</v>
      </c>
      <c r="G87" s="41" t="s">
        <v>141</v>
      </c>
      <c r="I87" s="41" t="s">
        <v>325</v>
      </c>
      <c r="J87" s="41" t="s">
        <v>32</v>
      </c>
      <c r="K87" s="42"/>
      <c r="L87" s="41" t="s">
        <v>1287</v>
      </c>
      <c r="M87" s="41">
        <v>33</v>
      </c>
      <c r="N87" s="41" t="s">
        <v>1288</v>
      </c>
      <c r="O87" s="41" t="s">
        <v>77</v>
      </c>
      <c r="P87" s="41" t="s">
        <v>98</v>
      </c>
      <c r="Q87" s="41" t="s">
        <v>116</v>
      </c>
      <c r="R87" s="41" t="s">
        <v>39</v>
      </c>
      <c r="S87" s="41" t="s">
        <v>40</v>
      </c>
      <c r="T87" s="41" t="s">
        <v>1289</v>
      </c>
      <c r="U87" s="41" t="s">
        <v>40</v>
      </c>
    </row>
    <row r="88" spans="1:21">
      <c r="A88" s="41">
        <v>2864</v>
      </c>
      <c r="B88" s="41" t="s">
        <v>1290</v>
      </c>
      <c r="D88" s="41">
        <v>6274</v>
      </c>
      <c r="E88" s="41" t="s">
        <v>1291</v>
      </c>
      <c r="F88" s="41" t="s">
        <v>53</v>
      </c>
      <c r="G88" s="41" t="s">
        <v>188</v>
      </c>
      <c r="I88" s="41" t="s">
        <v>973</v>
      </c>
      <c r="J88" s="41" t="s">
        <v>32</v>
      </c>
      <c r="K88" s="42"/>
      <c r="L88" s="41" t="s">
        <v>1292</v>
      </c>
      <c r="M88" s="41">
        <v>220</v>
      </c>
      <c r="N88" s="41" t="s">
        <v>1293</v>
      </c>
      <c r="O88" s="41" t="s">
        <v>1294</v>
      </c>
      <c r="P88" s="41" t="s">
        <v>78</v>
      </c>
      <c r="Q88" s="41" t="s">
        <v>1295</v>
      </c>
      <c r="R88" s="41" t="s">
        <v>62</v>
      </c>
      <c r="S88" s="41" t="s">
        <v>40</v>
      </c>
      <c r="T88" s="41" t="s">
        <v>40</v>
      </c>
      <c r="U88" s="41" t="s">
        <v>40</v>
      </c>
    </row>
    <row r="89" spans="1:21">
      <c r="A89" s="41">
        <v>2863</v>
      </c>
      <c r="B89" s="41" t="s">
        <v>1296</v>
      </c>
      <c r="D89" s="41">
        <v>6273</v>
      </c>
      <c r="E89" s="41" t="s">
        <v>1297</v>
      </c>
      <c r="F89" s="41" t="s">
        <v>28</v>
      </c>
      <c r="G89" s="41" t="s">
        <v>43</v>
      </c>
      <c r="I89" s="41" t="s">
        <v>325</v>
      </c>
      <c r="J89" s="41" t="s">
        <v>32</v>
      </c>
      <c r="K89" s="42"/>
      <c r="L89" s="41" t="s">
        <v>1298</v>
      </c>
      <c r="M89" s="41">
        <v>220</v>
      </c>
      <c r="N89" s="41" t="s">
        <v>1299</v>
      </c>
      <c r="O89" s="41" t="s">
        <v>1299</v>
      </c>
      <c r="P89" s="41" t="s">
        <v>179</v>
      </c>
      <c r="Q89" s="41" t="s">
        <v>284</v>
      </c>
      <c r="R89" s="41" t="s">
        <v>39</v>
      </c>
      <c r="S89" s="41" t="s">
        <v>40</v>
      </c>
      <c r="T89" s="41" t="s">
        <v>40</v>
      </c>
      <c r="U89" s="41" t="s">
        <v>40</v>
      </c>
    </row>
    <row r="90" spans="1:21">
      <c r="A90" s="41">
        <v>2862</v>
      </c>
      <c r="B90" s="41" t="s">
        <v>1296</v>
      </c>
      <c r="D90" s="41">
        <v>6273</v>
      </c>
      <c r="E90" s="41" t="s">
        <v>1297</v>
      </c>
      <c r="F90" s="41" t="s">
        <v>28</v>
      </c>
      <c r="G90" s="41" t="s">
        <v>1300</v>
      </c>
      <c r="I90" s="41" t="s">
        <v>325</v>
      </c>
      <c r="J90" s="41" t="s">
        <v>32</v>
      </c>
      <c r="K90" s="42"/>
      <c r="L90" s="41" t="s">
        <v>1298</v>
      </c>
      <c r="M90" s="41">
        <v>220</v>
      </c>
      <c r="N90" s="41" t="s">
        <v>1299</v>
      </c>
      <c r="O90" s="41" t="s">
        <v>1299</v>
      </c>
      <c r="P90" s="41" t="s">
        <v>179</v>
      </c>
      <c r="Q90" s="41" t="s">
        <v>284</v>
      </c>
      <c r="R90" s="41" t="s">
        <v>39</v>
      </c>
      <c r="S90" s="41" t="s">
        <v>40</v>
      </c>
      <c r="T90" s="41" t="s">
        <v>40</v>
      </c>
      <c r="U90" s="41" t="s">
        <v>40</v>
      </c>
    </row>
    <row r="91" spans="1:21">
      <c r="A91" s="41">
        <v>2861</v>
      </c>
      <c r="B91" s="41" t="s">
        <v>1301</v>
      </c>
      <c r="D91" s="41">
        <v>6272</v>
      </c>
      <c r="E91" s="41" t="s">
        <v>1302</v>
      </c>
      <c r="F91" s="41" t="s">
        <v>53</v>
      </c>
      <c r="G91" s="41" t="s">
        <v>188</v>
      </c>
      <c r="I91" s="41" t="s">
        <v>1303</v>
      </c>
      <c r="J91" s="41" t="s">
        <v>32</v>
      </c>
      <c r="K91" s="42"/>
      <c r="L91" s="41" t="s">
        <v>1304</v>
      </c>
      <c r="M91" s="41">
        <v>220</v>
      </c>
      <c r="N91" s="41" t="s">
        <v>59</v>
      </c>
      <c r="O91" s="41" t="s">
        <v>1305</v>
      </c>
      <c r="P91" s="41" t="s">
        <v>98</v>
      </c>
      <c r="Q91" s="41" t="s">
        <v>116</v>
      </c>
      <c r="R91" s="41" t="s">
        <v>62</v>
      </c>
      <c r="S91" s="41" t="s">
        <v>40</v>
      </c>
      <c r="T91" s="41" t="s">
        <v>40</v>
      </c>
      <c r="U91" s="41" t="s">
        <v>40</v>
      </c>
    </row>
    <row r="92" spans="1:21">
      <c r="A92" s="41">
        <v>2860</v>
      </c>
      <c r="B92" s="41" t="s">
        <v>1306</v>
      </c>
      <c r="D92" s="41">
        <v>6276</v>
      </c>
      <c r="E92" s="41" t="s">
        <v>1307</v>
      </c>
      <c r="F92" s="41" t="s">
        <v>28</v>
      </c>
      <c r="G92" s="41" t="s">
        <v>1308</v>
      </c>
      <c r="I92" s="41" t="s">
        <v>1309</v>
      </c>
      <c r="J92" s="41" t="s">
        <v>32</v>
      </c>
      <c r="K92" s="42"/>
      <c r="L92" s="41" t="s">
        <v>1310</v>
      </c>
      <c r="M92" s="41">
        <v>33</v>
      </c>
      <c r="N92" s="41" t="s">
        <v>1311</v>
      </c>
      <c r="O92" s="41" t="s">
        <v>1312</v>
      </c>
      <c r="P92" s="41" t="s">
        <v>179</v>
      </c>
      <c r="Q92" s="41" t="s">
        <v>1116</v>
      </c>
      <c r="R92" s="41" t="s">
        <v>39</v>
      </c>
      <c r="S92" s="41" t="s">
        <v>40</v>
      </c>
      <c r="T92" s="41" t="s">
        <v>40</v>
      </c>
      <c r="U92" s="41" t="s">
        <v>40</v>
      </c>
    </row>
    <row r="93" spans="1:21">
      <c r="A93" s="41">
        <v>2859</v>
      </c>
      <c r="B93" s="41" t="s">
        <v>1313</v>
      </c>
      <c r="D93" s="41">
        <v>6275</v>
      </c>
      <c r="E93" s="41" t="s">
        <v>1307</v>
      </c>
      <c r="F93" s="41" t="s">
        <v>42</v>
      </c>
      <c r="G93" s="41" t="s">
        <v>1175</v>
      </c>
      <c r="I93" s="41" t="s">
        <v>1309</v>
      </c>
      <c r="J93" s="41" t="s">
        <v>32</v>
      </c>
      <c r="K93" s="42"/>
      <c r="L93" s="41" t="s">
        <v>1310</v>
      </c>
      <c r="M93" s="41">
        <v>33</v>
      </c>
      <c r="N93" s="41" t="s">
        <v>1314</v>
      </c>
      <c r="O93" s="41" t="s">
        <v>1312</v>
      </c>
      <c r="P93" s="41" t="s">
        <v>179</v>
      </c>
      <c r="Q93" s="41" t="s">
        <v>1116</v>
      </c>
      <c r="S93" s="41" t="s">
        <v>40</v>
      </c>
      <c r="T93" s="41" t="s">
        <v>40</v>
      </c>
      <c r="U93" s="41" t="s">
        <v>40</v>
      </c>
    </row>
    <row r="94" spans="1:21">
      <c r="A94" s="41">
        <v>2857</v>
      </c>
      <c r="B94" s="41" t="s">
        <v>1315</v>
      </c>
      <c r="D94" s="41">
        <v>6263</v>
      </c>
      <c r="E94" s="41" t="s">
        <v>1227</v>
      </c>
      <c r="F94" s="41" t="s">
        <v>42</v>
      </c>
      <c r="G94" s="41" t="s">
        <v>1036</v>
      </c>
      <c r="I94" s="41" t="s">
        <v>464</v>
      </c>
      <c r="J94" s="41" t="s">
        <v>32</v>
      </c>
      <c r="K94" s="42"/>
      <c r="L94" s="41" t="s">
        <v>1316</v>
      </c>
      <c r="M94" s="41">
        <v>33</v>
      </c>
      <c r="N94" s="41" t="s">
        <v>1317</v>
      </c>
      <c r="O94" s="41" t="s">
        <v>1318</v>
      </c>
      <c r="P94" s="41" t="s">
        <v>98</v>
      </c>
      <c r="Q94" s="41" t="s">
        <v>116</v>
      </c>
      <c r="R94" s="41" t="s">
        <v>39</v>
      </c>
      <c r="S94" s="41" t="s">
        <v>40</v>
      </c>
      <c r="T94" s="41" t="s">
        <v>40</v>
      </c>
      <c r="U94" s="41" t="s">
        <v>40</v>
      </c>
    </row>
    <row r="95" spans="1:21">
      <c r="A95" s="41">
        <v>2856</v>
      </c>
      <c r="B95" s="41" t="s">
        <v>1319</v>
      </c>
      <c r="C95" s="41">
        <v>1</v>
      </c>
      <c r="D95" s="41">
        <v>6264</v>
      </c>
      <c r="E95" s="41" t="s">
        <v>1320</v>
      </c>
      <c r="F95" s="41" t="s">
        <v>53</v>
      </c>
      <c r="G95" s="41" t="s">
        <v>54</v>
      </c>
      <c r="H95" s="42">
        <v>46003</v>
      </c>
      <c r="I95" s="41">
        <v>14</v>
      </c>
      <c r="J95" s="41" t="s">
        <v>672</v>
      </c>
      <c r="K95" s="42">
        <v>46965</v>
      </c>
      <c r="L95" s="41" t="s">
        <v>1321</v>
      </c>
      <c r="M95" s="41">
        <v>23</v>
      </c>
      <c r="N95" s="41" t="s">
        <v>1322</v>
      </c>
      <c r="O95" s="41" t="s">
        <v>1323</v>
      </c>
      <c r="P95" s="41" t="s">
        <v>68</v>
      </c>
      <c r="Q95" s="41" t="s">
        <v>191</v>
      </c>
      <c r="R95" s="41" t="s">
        <v>132</v>
      </c>
      <c r="S95" s="41" t="s">
        <v>40</v>
      </c>
      <c r="T95" s="41" t="s">
        <v>40</v>
      </c>
      <c r="U95" s="41" t="s">
        <v>40</v>
      </c>
    </row>
    <row r="96" spans="1:21">
      <c r="A96" s="41">
        <v>2855</v>
      </c>
      <c r="B96" s="41" t="s">
        <v>1324</v>
      </c>
      <c r="C96" s="41">
        <v>1</v>
      </c>
      <c r="D96" s="41">
        <v>6265</v>
      </c>
      <c r="E96" s="41" t="s">
        <v>1320</v>
      </c>
      <c r="F96" s="41" t="s">
        <v>53</v>
      </c>
      <c r="G96" s="41" t="s">
        <v>54</v>
      </c>
      <c r="H96" s="42">
        <v>46003</v>
      </c>
      <c r="I96" s="41">
        <v>40</v>
      </c>
      <c r="J96" s="41" t="s">
        <v>672</v>
      </c>
      <c r="K96" s="42">
        <v>47330</v>
      </c>
      <c r="L96" s="41" t="s">
        <v>1325</v>
      </c>
      <c r="M96" s="41">
        <v>110</v>
      </c>
      <c r="N96" s="41" t="s">
        <v>67</v>
      </c>
      <c r="O96" s="41" t="s">
        <v>1326</v>
      </c>
      <c r="P96" s="41" t="s">
        <v>68</v>
      </c>
      <c r="Q96" s="41" t="s">
        <v>191</v>
      </c>
      <c r="R96" s="41" t="s">
        <v>132</v>
      </c>
      <c r="S96" s="41" t="s">
        <v>40</v>
      </c>
      <c r="T96" s="41" t="s">
        <v>40</v>
      </c>
      <c r="U96" s="41" t="s">
        <v>40</v>
      </c>
    </row>
    <row r="97" spans="1:21">
      <c r="A97" s="41">
        <v>2854</v>
      </c>
      <c r="B97" s="41" t="s">
        <v>1319</v>
      </c>
      <c r="C97" s="43">
        <v>1</v>
      </c>
      <c r="E97" s="41" t="s">
        <v>1320</v>
      </c>
      <c r="F97" s="41" t="s">
        <v>53</v>
      </c>
      <c r="G97" s="41" t="s">
        <v>43</v>
      </c>
      <c r="I97" s="41" t="s">
        <v>1327</v>
      </c>
      <c r="J97" s="41" t="s">
        <v>672</v>
      </c>
      <c r="K97" s="42"/>
      <c r="L97" s="41" t="s">
        <v>1321</v>
      </c>
      <c r="M97" s="41">
        <v>23</v>
      </c>
      <c r="N97" s="41" t="s">
        <v>1322</v>
      </c>
      <c r="O97" s="41" t="s">
        <v>1328</v>
      </c>
      <c r="P97" s="41" t="s">
        <v>68</v>
      </c>
      <c r="Q97" s="41" t="s">
        <v>191</v>
      </c>
      <c r="R97" s="41" t="s">
        <v>132</v>
      </c>
      <c r="S97" s="41" t="s">
        <v>40</v>
      </c>
      <c r="T97" s="41" t="s">
        <v>40</v>
      </c>
      <c r="U97" s="41" t="s">
        <v>40</v>
      </c>
    </row>
    <row r="98" spans="1:21">
      <c r="A98" s="41">
        <v>2853</v>
      </c>
      <c r="B98" s="41" t="s">
        <v>1319</v>
      </c>
      <c r="C98" s="41">
        <v>1</v>
      </c>
      <c r="D98" s="41">
        <v>6266</v>
      </c>
      <c r="E98" s="41" t="s">
        <v>1320</v>
      </c>
      <c r="F98" s="41" t="s">
        <v>53</v>
      </c>
      <c r="G98" s="41" t="s">
        <v>54</v>
      </c>
      <c r="H98" s="42">
        <v>46003</v>
      </c>
      <c r="I98" s="41">
        <v>14</v>
      </c>
      <c r="J98" s="41" t="s">
        <v>672</v>
      </c>
      <c r="K98" s="42">
        <v>46965</v>
      </c>
      <c r="L98" s="41" t="s">
        <v>1321</v>
      </c>
      <c r="M98" s="41">
        <v>23</v>
      </c>
      <c r="N98" s="41" t="s">
        <v>1322</v>
      </c>
      <c r="O98" s="41" t="s">
        <v>1328</v>
      </c>
      <c r="P98" s="41" t="s">
        <v>68</v>
      </c>
      <c r="Q98" s="41" t="s">
        <v>191</v>
      </c>
      <c r="R98" s="41" t="s">
        <v>132</v>
      </c>
      <c r="S98" s="41" t="s">
        <v>40</v>
      </c>
      <c r="T98" s="41" t="s">
        <v>40</v>
      </c>
      <c r="U98" s="41" t="s">
        <v>40</v>
      </c>
    </row>
    <row r="99" spans="1:21">
      <c r="A99" s="41">
        <v>2852</v>
      </c>
      <c r="B99" s="41" t="s">
        <v>1319</v>
      </c>
      <c r="C99" s="43">
        <v>1</v>
      </c>
      <c r="E99" s="41" t="s">
        <v>1320</v>
      </c>
      <c r="F99" s="41" t="s">
        <v>53</v>
      </c>
      <c r="G99" s="41" t="s">
        <v>43</v>
      </c>
      <c r="I99" s="41" t="s">
        <v>1327</v>
      </c>
      <c r="J99" s="41" t="s">
        <v>672</v>
      </c>
      <c r="K99" s="42"/>
      <c r="P99" s="41" t="s">
        <v>68</v>
      </c>
      <c r="Q99" s="41" t="s">
        <v>191</v>
      </c>
      <c r="R99" s="41" t="s">
        <v>132</v>
      </c>
      <c r="S99" s="41" t="s">
        <v>40</v>
      </c>
      <c r="T99" s="41" t="s">
        <v>40</v>
      </c>
      <c r="U99" s="41" t="s">
        <v>40</v>
      </c>
    </row>
    <row r="100" spans="1:21">
      <c r="A100" s="41">
        <v>2851</v>
      </c>
      <c r="B100" s="41" t="s">
        <v>1329</v>
      </c>
      <c r="D100" s="41">
        <v>6262</v>
      </c>
      <c r="E100" s="41" t="s">
        <v>1227</v>
      </c>
      <c r="F100" s="41" t="s">
        <v>53</v>
      </c>
      <c r="G100" s="41" t="s">
        <v>175</v>
      </c>
      <c r="I100" s="41" t="s">
        <v>325</v>
      </c>
      <c r="J100" s="41" t="s">
        <v>32</v>
      </c>
      <c r="K100" s="42"/>
      <c r="L100" s="41" t="s">
        <v>1330</v>
      </c>
      <c r="M100" s="41">
        <v>220</v>
      </c>
      <c r="N100" s="41" t="s">
        <v>67</v>
      </c>
      <c r="O100" s="41" t="s">
        <v>794</v>
      </c>
      <c r="P100" s="41" t="s">
        <v>98</v>
      </c>
      <c r="Q100" s="41" t="s">
        <v>116</v>
      </c>
      <c r="R100" s="41" t="s">
        <v>62</v>
      </c>
      <c r="S100" s="41" t="s">
        <v>40</v>
      </c>
      <c r="T100" s="41" t="s">
        <v>40</v>
      </c>
      <c r="U100" s="41" t="s">
        <v>40</v>
      </c>
    </row>
    <row r="101" spans="1:21">
      <c r="A101" s="41">
        <v>2850</v>
      </c>
      <c r="B101" s="41" t="s">
        <v>1331</v>
      </c>
      <c r="C101" s="43">
        <v>1</v>
      </c>
      <c r="E101" s="41" t="s">
        <v>1332</v>
      </c>
      <c r="F101" s="41" t="s">
        <v>53</v>
      </c>
      <c r="G101" s="41" t="s">
        <v>972</v>
      </c>
      <c r="H101" s="42">
        <v>46001</v>
      </c>
      <c r="I101" s="41">
        <v>200</v>
      </c>
      <c r="J101" s="41" t="s">
        <v>672</v>
      </c>
      <c r="K101" s="42">
        <v>47118</v>
      </c>
      <c r="L101" s="41" t="s">
        <v>696</v>
      </c>
      <c r="M101" s="41">
        <v>220</v>
      </c>
      <c r="N101" s="41" t="s">
        <v>1333</v>
      </c>
      <c r="O101" s="41" t="s">
        <v>757</v>
      </c>
      <c r="P101" s="41" t="s">
        <v>68</v>
      </c>
      <c r="Q101" s="41" t="s">
        <v>699</v>
      </c>
      <c r="R101" s="41" t="s">
        <v>132</v>
      </c>
      <c r="S101" s="41" t="s">
        <v>40</v>
      </c>
      <c r="T101" s="41" t="s">
        <v>40</v>
      </c>
      <c r="U101" s="41" t="s">
        <v>40</v>
      </c>
    </row>
    <row r="102" spans="1:21">
      <c r="A102" s="41">
        <v>2849</v>
      </c>
      <c r="B102" s="41" t="s">
        <v>1331</v>
      </c>
      <c r="C102" s="43">
        <v>1</v>
      </c>
      <c r="D102" s="41">
        <v>6261</v>
      </c>
      <c r="E102" s="41" t="s">
        <v>1332</v>
      </c>
      <c r="F102" s="41" t="s">
        <v>53</v>
      </c>
      <c r="G102" s="41" t="s">
        <v>64</v>
      </c>
      <c r="I102" s="41" t="s">
        <v>45</v>
      </c>
      <c r="J102" s="41" t="s">
        <v>672</v>
      </c>
      <c r="K102" s="42"/>
      <c r="L102" s="41" t="s">
        <v>696</v>
      </c>
      <c r="M102" s="41">
        <v>220</v>
      </c>
      <c r="N102" s="41" t="s">
        <v>1333</v>
      </c>
      <c r="O102" s="41" t="s">
        <v>757</v>
      </c>
      <c r="P102" s="41" t="s">
        <v>68</v>
      </c>
      <c r="Q102" s="41" t="s">
        <v>699</v>
      </c>
      <c r="R102" s="41" t="s">
        <v>132</v>
      </c>
      <c r="S102" s="41" t="s">
        <v>40</v>
      </c>
      <c r="T102" s="41" t="s">
        <v>40</v>
      </c>
      <c r="U102" s="41" t="s">
        <v>40</v>
      </c>
    </row>
    <row r="103" spans="1:21">
      <c r="A103" s="41">
        <v>2848</v>
      </c>
      <c r="B103" s="41" t="s">
        <v>1334</v>
      </c>
      <c r="C103" s="43">
        <v>1</v>
      </c>
      <c r="D103" s="41">
        <v>6260</v>
      </c>
      <c r="E103" s="41" t="s">
        <v>1332</v>
      </c>
      <c r="F103" s="41" t="s">
        <v>53</v>
      </c>
      <c r="G103" s="41" t="s">
        <v>64</v>
      </c>
      <c r="I103" s="41" t="s">
        <v>45</v>
      </c>
      <c r="J103" s="41" t="s">
        <v>672</v>
      </c>
      <c r="K103" s="42"/>
      <c r="L103" s="41" t="s">
        <v>696</v>
      </c>
      <c r="M103" s="41">
        <v>220</v>
      </c>
      <c r="N103" s="41" t="s">
        <v>1335</v>
      </c>
      <c r="O103" s="41" t="s">
        <v>452</v>
      </c>
      <c r="P103" s="41" t="s">
        <v>68</v>
      </c>
      <c r="Q103" s="41" t="s">
        <v>699</v>
      </c>
      <c r="R103" s="41" t="s">
        <v>132</v>
      </c>
      <c r="S103" s="41" t="s">
        <v>40</v>
      </c>
      <c r="T103" s="41" t="s">
        <v>40</v>
      </c>
      <c r="U103" s="41" t="s">
        <v>40</v>
      </c>
    </row>
    <row r="104" spans="1:21">
      <c r="A104" s="41">
        <v>2847</v>
      </c>
      <c r="B104" s="41" t="s">
        <v>1336</v>
      </c>
      <c r="D104" s="41">
        <v>6254</v>
      </c>
      <c r="E104" s="41" t="s">
        <v>1091</v>
      </c>
      <c r="F104" s="41" t="s">
        <v>53</v>
      </c>
      <c r="G104" s="41" t="s">
        <v>188</v>
      </c>
      <c r="I104" s="41" t="s">
        <v>977</v>
      </c>
      <c r="J104" s="41" t="s">
        <v>672</v>
      </c>
      <c r="K104" s="42"/>
      <c r="L104" s="41" t="s">
        <v>1337</v>
      </c>
      <c r="M104" s="41">
        <v>23</v>
      </c>
      <c r="N104" s="41" t="s">
        <v>1338</v>
      </c>
      <c r="O104" s="41" t="s">
        <v>299</v>
      </c>
      <c r="P104" s="41" t="s">
        <v>68</v>
      </c>
      <c r="Q104" s="41" t="s">
        <v>191</v>
      </c>
      <c r="R104" s="41" t="s">
        <v>132</v>
      </c>
      <c r="S104" s="41" t="s">
        <v>40</v>
      </c>
      <c r="T104" s="41" t="s">
        <v>40</v>
      </c>
      <c r="U104" s="41" t="s">
        <v>40</v>
      </c>
    </row>
    <row r="105" spans="1:21">
      <c r="A105" s="41">
        <v>2846</v>
      </c>
      <c r="B105" s="41" t="s">
        <v>1339</v>
      </c>
      <c r="D105" s="41">
        <v>6253</v>
      </c>
      <c r="E105" s="41" t="s">
        <v>1340</v>
      </c>
      <c r="F105" s="41" t="s">
        <v>53</v>
      </c>
      <c r="G105" s="41" t="s">
        <v>64</v>
      </c>
      <c r="I105" s="41" t="s">
        <v>149</v>
      </c>
      <c r="J105" s="41" t="s">
        <v>32</v>
      </c>
      <c r="K105" s="42"/>
      <c r="L105" s="41" t="s">
        <v>1341</v>
      </c>
      <c r="M105" s="41">
        <v>15</v>
      </c>
      <c r="N105" s="41" t="s">
        <v>1342</v>
      </c>
      <c r="O105" s="41" t="s">
        <v>1343</v>
      </c>
      <c r="P105" s="41" t="s">
        <v>60</v>
      </c>
      <c r="Q105" s="41" t="s">
        <v>1344</v>
      </c>
      <c r="R105" s="41" t="s">
        <v>132</v>
      </c>
      <c r="S105" s="41" t="s">
        <v>40</v>
      </c>
      <c r="T105" s="41" t="s">
        <v>40</v>
      </c>
      <c r="U105" s="41" t="s">
        <v>40</v>
      </c>
    </row>
    <row r="106" spans="1:21">
      <c r="A106" s="41">
        <v>2845</v>
      </c>
      <c r="B106" s="41" t="s">
        <v>1345</v>
      </c>
      <c r="D106" s="41">
        <v>6252</v>
      </c>
      <c r="E106" s="41" t="s">
        <v>1196</v>
      </c>
      <c r="F106" s="41" t="s">
        <v>28</v>
      </c>
      <c r="G106" s="41" t="s">
        <v>1300</v>
      </c>
      <c r="I106" s="41" t="s">
        <v>475</v>
      </c>
      <c r="J106" s="41" t="s">
        <v>32</v>
      </c>
      <c r="K106" s="42"/>
      <c r="L106" s="41" t="s">
        <v>1346</v>
      </c>
      <c r="M106" s="41">
        <v>33</v>
      </c>
      <c r="N106" s="41" t="s">
        <v>1347</v>
      </c>
      <c r="O106" s="41" t="s">
        <v>1200</v>
      </c>
      <c r="P106" s="41" t="s">
        <v>60</v>
      </c>
      <c r="Q106" s="41" t="s">
        <v>1348</v>
      </c>
      <c r="R106" s="41" t="s">
        <v>39</v>
      </c>
      <c r="S106" s="41" t="s">
        <v>40</v>
      </c>
      <c r="T106" s="41" t="s">
        <v>40</v>
      </c>
      <c r="U106" s="41" t="s">
        <v>40</v>
      </c>
    </row>
    <row r="107" spans="1:21">
      <c r="A107" s="41">
        <v>2844</v>
      </c>
      <c r="B107" s="41" t="s">
        <v>1345</v>
      </c>
      <c r="D107" s="41">
        <v>6251</v>
      </c>
      <c r="E107" s="41" t="s">
        <v>1196</v>
      </c>
      <c r="F107" s="41" t="s">
        <v>42</v>
      </c>
      <c r="G107" s="41" t="s">
        <v>1175</v>
      </c>
      <c r="I107" s="41" t="s">
        <v>1349</v>
      </c>
      <c r="J107" s="41" t="s">
        <v>32</v>
      </c>
      <c r="K107" s="42"/>
      <c r="L107" s="41" t="s">
        <v>1346</v>
      </c>
      <c r="M107" s="41">
        <v>33</v>
      </c>
      <c r="N107" s="41" t="s">
        <v>1347</v>
      </c>
      <c r="O107" s="41" t="s">
        <v>1200</v>
      </c>
      <c r="P107" s="41" t="s">
        <v>60</v>
      </c>
      <c r="Q107" s="41" t="s">
        <v>1348</v>
      </c>
      <c r="R107" s="41" t="s">
        <v>39</v>
      </c>
      <c r="S107" s="41" t="s">
        <v>40</v>
      </c>
      <c r="T107" s="41" t="s">
        <v>40</v>
      </c>
      <c r="U107" s="41" t="s">
        <v>40</v>
      </c>
    </row>
    <row r="108" spans="1:21">
      <c r="A108" s="41">
        <v>2843</v>
      </c>
      <c r="B108" s="41" t="s">
        <v>1350</v>
      </c>
      <c r="C108" s="43">
        <v>1</v>
      </c>
      <c r="D108" s="41">
        <v>6250</v>
      </c>
      <c r="E108" s="41" t="s">
        <v>1351</v>
      </c>
      <c r="F108" s="41" t="s">
        <v>53</v>
      </c>
      <c r="G108" s="41" t="s">
        <v>64</v>
      </c>
      <c r="I108" s="41" t="s">
        <v>201</v>
      </c>
      <c r="J108" s="41" t="s">
        <v>672</v>
      </c>
      <c r="K108" s="42"/>
      <c r="L108" s="41" t="s">
        <v>1352</v>
      </c>
      <c r="M108" s="41">
        <v>220</v>
      </c>
      <c r="N108" s="41" t="s">
        <v>340</v>
      </c>
      <c r="O108" s="41" t="s">
        <v>452</v>
      </c>
      <c r="P108" s="41" t="s">
        <v>68</v>
      </c>
      <c r="Q108" s="41" t="s">
        <v>699</v>
      </c>
      <c r="R108" s="41" t="s">
        <v>132</v>
      </c>
      <c r="S108" s="41" t="s">
        <v>40</v>
      </c>
      <c r="T108" s="41" t="s">
        <v>40</v>
      </c>
      <c r="U108" s="41" t="s">
        <v>40</v>
      </c>
    </row>
    <row r="109" spans="1:21">
      <c r="A109" s="41">
        <v>2842</v>
      </c>
      <c r="B109" s="41" t="s">
        <v>1353</v>
      </c>
      <c r="D109" s="41">
        <v>6249</v>
      </c>
      <c r="E109" s="41" t="s">
        <v>1354</v>
      </c>
      <c r="F109" s="41" t="s">
        <v>28</v>
      </c>
      <c r="G109" s="41" t="s">
        <v>1300</v>
      </c>
      <c r="I109" s="41" t="s">
        <v>1355</v>
      </c>
      <c r="J109" s="41" t="s">
        <v>32</v>
      </c>
      <c r="K109" s="42"/>
      <c r="L109" s="41" t="s">
        <v>1356</v>
      </c>
      <c r="M109" s="41">
        <v>110</v>
      </c>
      <c r="N109" s="41" t="s">
        <v>67</v>
      </c>
      <c r="O109" s="41" t="s">
        <v>36</v>
      </c>
      <c r="P109" s="41" t="s">
        <v>83</v>
      </c>
      <c r="Q109" s="41" t="s">
        <v>1357</v>
      </c>
      <c r="R109" s="41" t="s">
        <v>39</v>
      </c>
      <c r="S109" s="41" t="s">
        <v>40</v>
      </c>
      <c r="T109" s="41" t="s">
        <v>40</v>
      </c>
      <c r="U109" s="41" t="s">
        <v>40</v>
      </c>
    </row>
    <row r="110" spans="1:21">
      <c r="A110" s="41">
        <v>2841</v>
      </c>
      <c r="B110" s="41" t="s">
        <v>1358</v>
      </c>
      <c r="D110" s="41">
        <v>6248</v>
      </c>
      <c r="E110" s="41" t="s">
        <v>1091</v>
      </c>
      <c r="F110" s="41" t="s">
        <v>53</v>
      </c>
      <c r="G110" s="41" t="s">
        <v>188</v>
      </c>
      <c r="I110" s="41" t="s">
        <v>1092</v>
      </c>
      <c r="J110" s="41" t="s">
        <v>672</v>
      </c>
      <c r="K110" s="42"/>
      <c r="L110" s="41" t="s">
        <v>1359</v>
      </c>
      <c r="M110" s="41">
        <v>12</v>
      </c>
      <c r="N110" s="41" t="s">
        <v>1360</v>
      </c>
      <c r="O110" s="41" t="s">
        <v>1361</v>
      </c>
      <c r="P110" s="41" t="s">
        <v>68</v>
      </c>
      <c r="Q110" s="41" t="s">
        <v>1254</v>
      </c>
      <c r="R110" s="41" t="s">
        <v>132</v>
      </c>
      <c r="S110" s="41" t="s">
        <v>40</v>
      </c>
      <c r="T110" s="41" t="s">
        <v>40</v>
      </c>
      <c r="U110" s="41" t="s">
        <v>40</v>
      </c>
    </row>
    <row r="111" spans="1:21">
      <c r="A111" s="41">
        <v>2840</v>
      </c>
      <c r="B111" s="41" t="s">
        <v>1362</v>
      </c>
      <c r="D111" s="41">
        <v>6247</v>
      </c>
      <c r="E111" s="41" t="s">
        <v>1363</v>
      </c>
      <c r="F111" s="41" t="s">
        <v>28</v>
      </c>
      <c r="G111" s="41" t="s">
        <v>286</v>
      </c>
      <c r="I111" s="41" t="s">
        <v>325</v>
      </c>
      <c r="J111" s="41" t="s">
        <v>32</v>
      </c>
      <c r="K111" s="42"/>
      <c r="L111" s="41" t="s">
        <v>1364</v>
      </c>
      <c r="M111" s="41">
        <v>110</v>
      </c>
      <c r="N111" s="41" t="s">
        <v>1365</v>
      </c>
      <c r="O111" s="41" t="s">
        <v>1366</v>
      </c>
      <c r="P111" s="41" t="s">
        <v>78</v>
      </c>
      <c r="Q111" s="41" t="s">
        <v>131</v>
      </c>
      <c r="R111" s="41" t="s">
        <v>39</v>
      </c>
      <c r="S111" s="41" t="s">
        <v>40</v>
      </c>
      <c r="T111" s="41" t="s">
        <v>40</v>
      </c>
      <c r="U111" s="41" t="s">
        <v>40</v>
      </c>
    </row>
    <row r="112" spans="1:21">
      <c r="A112" s="41">
        <v>2839</v>
      </c>
      <c r="B112" s="41" t="s">
        <v>1367</v>
      </c>
      <c r="D112" s="41">
        <v>6259</v>
      </c>
      <c r="E112" s="41" t="s">
        <v>1368</v>
      </c>
      <c r="F112" s="41" t="s">
        <v>42</v>
      </c>
      <c r="G112" s="41" t="s">
        <v>1369</v>
      </c>
      <c r="I112" s="41" t="s">
        <v>1370</v>
      </c>
      <c r="J112" s="41" t="s">
        <v>672</v>
      </c>
      <c r="K112" s="42"/>
      <c r="L112" s="41" t="s">
        <v>1371</v>
      </c>
      <c r="M112" s="41">
        <v>23</v>
      </c>
      <c r="N112" s="41" t="s">
        <v>67</v>
      </c>
      <c r="O112" s="41" t="s">
        <v>1372</v>
      </c>
      <c r="P112" s="41" t="s">
        <v>50</v>
      </c>
      <c r="Q112" s="41" t="s">
        <v>51</v>
      </c>
      <c r="R112" s="41" t="s">
        <v>39</v>
      </c>
      <c r="S112" s="41" t="s">
        <v>40</v>
      </c>
      <c r="T112" s="41" t="s">
        <v>40</v>
      </c>
      <c r="U112" s="41" t="s">
        <v>40</v>
      </c>
    </row>
    <row r="113" spans="1:21">
      <c r="A113" s="41">
        <v>2838</v>
      </c>
      <c r="B113" s="41" t="s">
        <v>1373</v>
      </c>
      <c r="D113" s="41">
        <v>6246</v>
      </c>
      <c r="E113" s="41" t="s">
        <v>971</v>
      </c>
      <c r="F113" s="41" t="s">
        <v>53</v>
      </c>
      <c r="G113" s="41" t="s">
        <v>64</v>
      </c>
      <c r="I113" s="41" t="s">
        <v>1374</v>
      </c>
      <c r="J113" s="41" t="s">
        <v>32</v>
      </c>
      <c r="K113" s="42"/>
      <c r="L113" s="41" t="s">
        <v>1375</v>
      </c>
      <c r="M113" s="41">
        <v>220</v>
      </c>
      <c r="N113" s="41" t="s">
        <v>619</v>
      </c>
      <c r="O113" s="41" t="s">
        <v>1376</v>
      </c>
      <c r="P113" s="41" t="s">
        <v>98</v>
      </c>
      <c r="Q113" s="41" t="s">
        <v>98</v>
      </c>
      <c r="R113" s="41" t="s">
        <v>62</v>
      </c>
      <c r="S113" s="41" t="s">
        <v>40</v>
      </c>
      <c r="T113" s="41" t="s">
        <v>40</v>
      </c>
      <c r="U113" s="41" t="s">
        <v>40</v>
      </c>
    </row>
    <row r="114" spans="1:21">
      <c r="A114" s="41">
        <v>2837</v>
      </c>
      <c r="B114" s="41" t="s">
        <v>1377</v>
      </c>
      <c r="D114" s="41">
        <v>6245</v>
      </c>
      <c r="E114" s="41" t="s">
        <v>971</v>
      </c>
      <c r="F114" s="41" t="s">
        <v>53</v>
      </c>
      <c r="G114" s="41" t="s">
        <v>64</v>
      </c>
      <c r="I114" s="41" t="s">
        <v>1374</v>
      </c>
      <c r="J114" s="41" t="s">
        <v>32</v>
      </c>
      <c r="K114" s="42"/>
      <c r="L114" s="41" t="s">
        <v>1378</v>
      </c>
      <c r="M114" s="41">
        <v>220</v>
      </c>
      <c r="N114" s="41" t="s">
        <v>805</v>
      </c>
      <c r="O114" s="41" t="s">
        <v>1379</v>
      </c>
      <c r="P114" s="41" t="s">
        <v>68</v>
      </c>
      <c r="Q114" s="41" t="s">
        <v>1380</v>
      </c>
      <c r="R114" s="41" t="s">
        <v>62</v>
      </c>
      <c r="S114" s="41" t="s">
        <v>40</v>
      </c>
      <c r="T114" s="41" t="s">
        <v>40</v>
      </c>
      <c r="U114" s="41" t="s">
        <v>40</v>
      </c>
    </row>
    <row r="115" spans="1:21">
      <c r="A115" s="41">
        <v>2836</v>
      </c>
      <c r="B115" s="41" t="s">
        <v>1381</v>
      </c>
      <c r="D115" s="41">
        <v>6242</v>
      </c>
      <c r="E115" s="41" t="s">
        <v>1382</v>
      </c>
      <c r="F115" s="41" t="s">
        <v>53</v>
      </c>
      <c r="G115" s="41" t="s">
        <v>188</v>
      </c>
      <c r="I115" s="41" t="s">
        <v>135</v>
      </c>
      <c r="J115" s="41" t="s">
        <v>32</v>
      </c>
      <c r="K115" s="42"/>
      <c r="L115" s="41" t="s">
        <v>1383</v>
      </c>
      <c r="M115" s="41">
        <v>110</v>
      </c>
      <c r="N115" s="41" t="s">
        <v>59</v>
      </c>
      <c r="O115" s="41" t="s">
        <v>333</v>
      </c>
      <c r="P115" s="41" t="s">
        <v>78</v>
      </c>
      <c r="Q115" s="41" t="s">
        <v>131</v>
      </c>
      <c r="R115" s="41" t="s">
        <v>132</v>
      </c>
      <c r="S115" s="41" t="s">
        <v>40</v>
      </c>
      <c r="T115" s="41" t="s">
        <v>40</v>
      </c>
      <c r="U115" s="41" t="s">
        <v>40</v>
      </c>
    </row>
    <row r="116" spans="1:21">
      <c r="A116" s="41">
        <v>2835</v>
      </c>
      <c r="B116" s="41" t="s">
        <v>1384</v>
      </c>
      <c r="D116" s="41">
        <v>6241</v>
      </c>
      <c r="E116" s="41" t="s">
        <v>1385</v>
      </c>
      <c r="F116" s="41" t="s">
        <v>53</v>
      </c>
      <c r="G116" s="41" t="s">
        <v>64</v>
      </c>
      <c r="I116" s="41" t="s">
        <v>1024</v>
      </c>
      <c r="J116" s="41" t="s">
        <v>32</v>
      </c>
      <c r="K116" s="42"/>
      <c r="L116" s="41" t="s">
        <v>1386</v>
      </c>
      <c r="M116" s="41">
        <v>220</v>
      </c>
      <c r="N116" s="41" t="s">
        <v>805</v>
      </c>
      <c r="O116" s="41" t="s">
        <v>757</v>
      </c>
      <c r="P116" s="41" t="s">
        <v>37</v>
      </c>
      <c r="Q116" s="41" t="s">
        <v>1387</v>
      </c>
      <c r="R116" s="41" t="s">
        <v>62</v>
      </c>
      <c r="S116" s="41" t="s">
        <v>40</v>
      </c>
      <c r="T116" s="41" t="s">
        <v>40</v>
      </c>
      <c r="U116" s="41" t="s">
        <v>40</v>
      </c>
    </row>
    <row r="117" spans="1:21">
      <c r="A117" s="41">
        <v>2834</v>
      </c>
      <c r="B117" s="41" t="s">
        <v>1388</v>
      </c>
      <c r="D117" s="41">
        <v>6240</v>
      </c>
      <c r="E117" s="41" t="s">
        <v>1091</v>
      </c>
      <c r="F117" s="41" t="s">
        <v>53</v>
      </c>
      <c r="G117" s="41" t="s">
        <v>175</v>
      </c>
      <c r="I117" s="41" t="s">
        <v>1389</v>
      </c>
      <c r="J117" s="41" t="s">
        <v>672</v>
      </c>
      <c r="K117" s="42"/>
      <c r="L117" s="41" t="s">
        <v>1390</v>
      </c>
      <c r="M117" s="41">
        <v>12</v>
      </c>
      <c r="N117" s="41" t="s">
        <v>1391</v>
      </c>
      <c r="O117" s="41" t="s">
        <v>1392</v>
      </c>
      <c r="P117" s="41" t="s">
        <v>68</v>
      </c>
      <c r="Q117" s="41" t="s">
        <v>1393</v>
      </c>
      <c r="R117" s="41" t="s">
        <v>132</v>
      </c>
      <c r="S117" s="41" t="s">
        <v>40</v>
      </c>
      <c r="T117" s="41" t="s">
        <v>40</v>
      </c>
      <c r="U117" s="41" t="s">
        <v>40</v>
      </c>
    </row>
    <row r="118" spans="1:21">
      <c r="A118" s="41">
        <v>2833</v>
      </c>
      <c r="B118" s="41" t="s">
        <v>1394</v>
      </c>
      <c r="D118" s="41">
        <v>6238</v>
      </c>
      <c r="E118" s="41" t="s">
        <v>1395</v>
      </c>
      <c r="F118" s="41" t="s">
        <v>42</v>
      </c>
      <c r="G118" s="41" t="s">
        <v>1175</v>
      </c>
      <c r="I118" s="41" t="s">
        <v>1396</v>
      </c>
      <c r="J118" s="41" t="s">
        <v>672</v>
      </c>
      <c r="K118" s="42"/>
      <c r="L118" s="41" t="s">
        <v>1397</v>
      </c>
      <c r="M118" s="41">
        <v>33</v>
      </c>
      <c r="N118" s="41" t="s">
        <v>1398</v>
      </c>
      <c r="O118" s="41" t="s">
        <v>77</v>
      </c>
      <c r="P118" s="41" t="s">
        <v>98</v>
      </c>
      <c r="Q118" s="41" t="s">
        <v>569</v>
      </c>
      <c r="R118" s="41" t="s">
        <v>39</v>
      </c>
      <c r="S118" s="41" t="s">
        <v>40</v>
      </c>
      <c r="T118" s="41" t="s">
        <v>40</v>
      </c>
      <c r="U118" s="41" t="s">
        <v>40</v>
      </c>
    </row>
    <row r="119" spans="1:21">
      <c r="A119" s="41">
        <v>2832</v>
      </c>
      <c r="B119" s="41" t="s">
        <v>1399</v>
      </c>
      <c r="D119" s="41">
        <v>6237</v>
      </c>
      <c r="E119" s="41" t="s">
        <v>1395</v>
      </c>
      <c r="F119" s="41" t="s">
        <v>42</v>
      </c>
      <c r="G119" s="41" t="s">
        <v>121</v>
      </c>
      <c r="I119" s="41" t="s">
        <v>45</v>
      </c>
      <c r="J119" s="41" t="s">
        <v>672</v>
      </c>
      <c r="K119" s="42"/>
      <c r="L119" s="41" t="s">
        <v>1400</v>
      </c>
      <c r="M119" s="41">
        <v>33</v>
      </c>
      <c r="N119" s="41" t="s">
        <v>1401</v>
      </c>
      <c r="O119" s="41" t="s">
        <v>77</v>
      </c>
      <c r="P119" s="41" t="s">
        <v>179</v>
      </c>
      <c r="Q119" s="41" t="s">
        <v>592</v>
      </c>
      <c r="R119" s="41" t="s">
        <v>39</v>
      </c>
      <c r="S119" s="41" t="s">
        <v>40</v>
      </c>
      <c r="T119" s="41" t="s">
        <v>1402</v>
      </c>
      <c r="U119" s="41" t="s">
        <v>40</v>
      </c>
    </row>
    <row r="120" spans="1:21">
      <c r="A120" s="41">
        <v>2831</v>
      </c>
      <c r="B120" s="41" t="s">
        <v>1403</v>
      </c>
      <c r="D120" s="41">
        <v>6236</v>
      </c>
      <c r="E120" s="41" t="s">
        <v>1395</v>
      </c>
      <c r="F120" s="41" t="s">
        <v>42</v>
      </c>
      <c r="G120" s="41" t="s">
        <v>141</v>
      </c>
      <c r="I120" s="41" t="s">
        <v>1404</v>
      </c>
      <c r="J120" s="41" t="s">
        <v>672</v>
      </c>
      <c r="K120" s="42"/>
      <c r="L120" s="41" t="s">
        <v>1405</v>
      </c>
      <c r="M120" s="41">
        <v>33</v>
      </c>
      <c r="N120" s="41" t="s">
        <v>1398</v>
      </c>
      <c r="O120" s="41" t="s">
        <v>77</v>
      </c>
      <c r="P120" s="41" t="s">
        <v>179</v>
      </c>
      <c r="Q120" s="41" t="s">
        <v>284</v>
      </c>
      <c r="R120" s="41" t="s">
        <v>39</v>
      </c>
      <c r="S120" s="41" t="s">
        <v>40</v>
      </c>
      <c r="T120" s="41" t="s">
        <v>1402</v>
      </c>
      <c r="U120" s="41" t="s">
        <v>40</v>
      </c>
    </row>
    <row r="121" spans="1:21">
      <c r="A121" s="41">
        <v>2830</v>
      </c>
      <c r="B121" s="41" t="s">
        <v>1406</v>
      </c>
      <c r="D121" s="41">
        <v>6235</v>
      </c>
      <c r="E121" s="41" t="s">
        <v>1395</v>
      </c>
      <c r="F121" s="41" t="s">
        <v>42</v>
      </c>
      <c r="G121" s="41" t="s">
        <v>141</v>
      </c>
      <c r="I121" s="41" t="s">
        <v>1396</v>
      </c>
      <c r="J121" s="41" t="s">
        <v>672</v>
      </c>
      <c r="K121" s="42"/>
      <c r="L121" s="41" t="s">
        <v>1407</v>
      </c>
      <c r="M121" s="41">
        <v>33</v>
      </c>
      <c r="N121" s="41" t="s">
        <v>1408</v>
      </c>
      <c r="O121" s="41" t="s">
        <v>77</v>
      </c>
      <c r="P121" s="41" t="s">
        <v>179</v>
      </c>
      <c r="Q121" s="41" t="s">
        <v>532</v>
      </c>
      <c r="R121" s="41" t="s">
        <v>39</v>
      </c>
      <c r="S121" s="41" t="s">
        <v>40</v>
      </c>
      <c r="T121" s="41" t="s">
        <v>1402</v>
      </c>
      <c r="U121" s="41" t="s">
        <v>40</v>
      </c>
    </row>
    <row r="122" spans="1:21">
      <c r="A122" s="41">
        <v>2829</v>
      </c>
      <c r="B122" s="41" t="s">
        <v>1409</v>
      </c>
      <c r="D122" s="41">
        <v>6239</v>
      </c>
      <c r="E122" s="41" t="s">
        <v>1227</v>
      </c>
      <c r="F122" s="41" t="s">
        <v>53</v>
      </c>
      <c r="G122" s="41" t="s">
        <v>188</v>
      </c>
      <c r="I122" s="41" t="s">
        <v>102</v>
      </c>
      <c r="J122" s="41" t="s">
        <v>32</v>
      </c>
      <c r="K122" s="42"/>
      <c r="L122" s="41" t="s">
        <v>1410</v>
      </c>
      <c r="M122" s="41">
        <v>220</v>
      </c>
      <c r="N122" s="41" t="s">
        <v>1411</v>
      </c>
      <c r="O122" s="41" t="s">
        <v>1412</v>
      </c>
      <c r="P122" s="41" t="s">
        <v>98</v>
      </c>
      <c r="Q122" s="41" t="s">
        <v>569</v>
      </c>
      <c r="R122" s="41" t="s">
        <v>62</v>
      </c>
      <c r="S122" s="41" t="s">
        <v>40</v>
      </c>
      <c r="T122" s="41" t="s">
        <v>40</v>
      </c>
      <c r="U122" s="41" t="s">
        <v>40</v>
      </c>
    </row>
    <row r="123" spans="1:21">
      <c r="A123" s="41">
        <v>2828</v>
      </c>
      <c r="B123" s="41" t="s">
        <v>1413</v>
      </c>
      <c r="D123" s="41">
        <v>6233</v>
      </c>
      <c r="E123" s="41" t="s">
        <v>965</v>
      </c>
      <c r="F123" s="41" t="s">
        <v>28</v>
      </c>
      <c r="G123" s="41" t="s">
        <v>286</v>
      </c>
      <c r="I123" s="41" t="s">
        <v>464</v>
      </c>
      <c r="J123" s="41" t="s">
        <v>32</v>
      </c>
      <c r="K123" s="42"/>
      <c r="L123" s="41" t="s">
        <v>1414</v>
      </c>
      <c r="M123" s="41">
        <v>110</v>
      </c>
      <c r="N123" s="41" t="s">
        <v>1415</v>
      </c>
      <c r="O123" s="41" t="s">
        <v>1415</v>
      </c>
      <c r="P123" s="41" t="s">
        <v>78</v>
      </c>
      <c r="Q123" s="41" t="s">
        <v>1416</v>
      </c>
      <c r="R123" s="41" t="s">
        <v>39</v>
      </c>
      <c r="S123" s="41" t="s">
        <v>40</v>
      </c>
      <c r="T123" s="41" t="s">
        <v>40</v>
      </c>
      <c r="U123" s="41" t="s">
        <v>40</v>
      </c>
    </row>
    <row r="124" spans="1:21">
      <c r="A124" s="41">
        <v>2827</v>
      </c>
      <c r="B124" s="41" t="s">
        <v>1413</v>
      </c>
      <c r="E124" s="41" t="s">
        <v>965</v>
      </c>
      <c r="F124" s="41" t="s">
        <v>28</v>
      </c>
      <c r="G124" s="41" t="s">
        <v>29</v>
      </c>
      <c r="I124" s="41" t="s">
        <v>464</v>
      </c>
      <c r="J124" s="41" t="s">
        <v>32</v>
      </c>
      <c r="K124" s="42"/>
      <c r="L124" s="41" t="s">
        <v>1414</v>
      </c>
      <c r="M124" s="41">
        <v>110</v>
      </c>
      <c r="N124" s="41" t="s">
        <v>1415</v>
      </c>
      <c r="O124" s="41" t="s">
        <v>1415</v>
      </c>
      <c r="P124" s="41" t="s">
        <v>78</v>
      </c>
      <c r="Q124" s="41" t="s">
        <v>1416</v>
      </c>
      <c r="R124" s="41" t="s">
        <v>39</v>
      </c>
      <c r="S124" s="41" t="s">
        <v>40</v>
      </c>
      <c r="T124" s="41" t="s">
        <v>40</v>
      </c>
      <c r="U124" s="41" t="s">
        <v>40</v>
      </c>
    </row>
    <row r="125" spans="1:21">
      <c r="A125" s="41">
        <v>2826</v>
      </c>
      <c r="B125" s="41" t="s">
        <v>1417</v>
      </c>
      <c r="D125" s="41">
        <v>6224</v>
      </c>
      <c r="E125" s="41" t="s">
        <v>1418</v>
      </c>
      <c r="F125" s="41" t="s">
        <v>53</v>
      </c>
      <c r="G125" s="41" t="s">
        <v>175</v>
      </c>
      <c r="I125" s="41" t="s">
        <v>1068</v>
      </c>
      <c r="J125" s="41" t="s">
        <v>672</v>
      </c>
      <c r="K125" s="42"/>
      <c r="L125" s="41" t="s">
        <v>1419</v>
      </c>
      <c r="M125" s="41">
        <v>13</v>
      </c>
      <c r="N125" s="41" t="s">
        <v>1420</v>
      </c>
      <c r="O125" s="41" t="s">
        <v>362</v>
      </c>
      <c r="P125" s="41" t="s">
        <v>60</v>
      </c>
      <c r="Q125" s="41" t="s">
        <v>608</v>
      </c>
      <c r="R125" s="41" t="s">
        <v>132</v>
      </c>
      <c r="S125" s="41" t="s">
        <v>40</v>
      </c>
      <c r="T125" s="41" t="s">
        <v>40</v>
      </c>
      <c r="U125" s="41" t="s">
        <v>40</v>
      </c>
    </row>
    <row r="126" spans="1:21">
      <c r="A126" s="41">
        <v>2825</v>
      </c>
      <c r="B126" s="41" t="s">
        <v>1421</v>
      </c>
      <c r="D126" s="41">
        <v>6223</v>
      </c>
      <c r="E126" s="41" t="s">
        <v>1418</v>
      </c>
      <c r="F126" s="41" t="s">
        <v>53</v>
      </c>
      <c r="G126" s="41" t="s">
        <v>175</v>
      </c>
      <c r="I126" s="41" t="s">
        <v>1068</v>
      </c>
      <c r="J126" s="41" t="s">
        <v>672</v>
      </c>
      <c r="K126" s="42"/>
      <c r="L126" s="41" t="s">
        <v>1422</v>
      </c>
      <c r="M126" s="41">
        <v>13</v>
      </c>
      <c r="N126" s="41" t="s">
        <v>1420</v>
      </c>
      <c r="O126" s="41" t="s">
        <v>650</v>
      </c>
      <c r="P126" s="41" t="s">
        <v>60</v>
      </c>
      <c r="Q126" s="41" t="s">
        <v>608</v>
      </c>
      <c r="R126" s="41" t="s">
        <v>132</v>
      </c>
      <c r="S126" s="41" t="s">
        <v>40</v>
      </c>
      <c r="T126" s="41" t="s">
        <v>40</v>
      </c>
      <c r="U126" s="41" t="s">
        <v>40</v>
      </c>
    </row>
    <row r="127" spans="1:21">
      <c r="A127" s="41">
        <v>2824</v>
      </c>
      <c r="B127" s="41" t="s">
        <v>1423</v>
      </c>
      <c r="D127" s="41">
        <v>6222</v>
      </c>
      <c r="E127" s="41" t="s">
        <v>1424</v>
      </c>
      <c r="F127" s="41" t="s">
        <v>42</v>
      </c>
      <c r="G127" s="41" t="s">
        <v>141</v>
      </c>
      <c r="I127" s="41" t="s">
        <v>1425</v>
      </c>
      <c r="J127" s="41" t="s">
        <v>672</v>
      </c>
      <c r="K127" s="42"/>
      <c r="L127" s="41" t="s">
        <v>1426</v>
      </c>
      <c r="M127" s="41">
        <v>220</v>
      </c>
      <c r="N127" s="41" t="s">
        <v>1193</v>
      </c>
      <c r="O127" s="41" t="s">
        <v>1427</v>
      </c>
      <c r="P127" s="41" t="s">
        <v>50</v>
      </c>
      <c r="Q127" s="41" t="s">
        <v>1428</v>
      </c>
      <c r="R127" s="41" t="s">
        <v>39</v>
      </c>
      <c r="S127" s="41" t="s">
        <v>40</v>
      </c>
      <c r="T127" s="41" t="s">
        <v>266</v>
      </c>
      <c r="U127" s="41" t="s">
        <v>40</v>
      </c>
    </row>
    <row r="128" spans="1:21">
      <c r="A128" s="41">
        <v>2823</v>
      </c>
      <c r="B128" s="41" t="s">
        <v>1429</v>
      </c>
      <c r="C128" s="41">
        <v>1</v>
      </c>
      <c r="D128" s="41">
        <v>6234</v>
      </c>
      <c r="E128" s="41" t="s">
        <v>1430</v>
      </c>
      <c r="F128" s="41" t="s">
        <v>42</v>
      </c>
      <c r="G128" s="41" t="s">
        <v>141</v>
      </c>
      <c r="H128" s="42">
        <v>45980</v>
      </c>
      <c r="I128" s="41">
        <v>48</v>
      </c>
      <c r="J128" s="41" t="s">
        <v>672</v>
      </c>
      <c r="K128" s="42">
        <v>47207</v>
      </c>
      <c r="L128" s="41" t="s">
        <v>1431</v>
      </c>
      <c r="M128" s="41">
        <v>110</v>
      </c>
      <c r="N128" s="41" t="s">
        <v>59</v>
      </c>
      <c r="O128" s="41" t="s">
        <v>1432</v>
      </c>
      <c r="P128" s="41" t="s">
        <v>68</v>
      </c>
      <c r="Q128" s="41" t="s">
        <v>91</v>
      </c>
      <c r="R128" s="41" t="s">
        <v>39</v>
      </c>
      <c r="S128" s="41" t="s">
        <v>40</v>
      </c>
      <c r="T128" s="41" t="s">
        <v>1433</v>
      </c>
      <c r="U128" s="41" t="s">
        <v>40</v>
      </c>
    </row>
    <row r="129" spans="1:21">
      <c r="A129" s="41">
        <v>2822</v>
      </c>
      <c r="B129" s="41" t="s">
        <v>1434</v>
      </c>
      <c r="C129" s="43">
        <v>1</v>
      </c>
      <c r="D129" s="41">
        <v>6221</v>
      </c>
      <c r="E129" s="41" t="s">
        <v>1435</v>
      </c>
      <c r="F129" s="41" t="s">
        <v>28</v>
      </c>
      <c r="G129" s="41" t="s">
        <v>64</v>
      </c>
      <c r="I129" s="41" t="s">
        <v>411</v>
      </c>
      <c r="J129" s="41" t="s">
        <v>672</v>
      </c>
      <c r="K129" s="42"/>
      <c r="L129" s="41" t="s">
        <v>703</v>
      </c>
      <c r="M129" s="41">
        <v>220</v>
      </c>
      <c r="N129" s="41" t="s">
        <v>579</v>
      </c>
      <c r="O129" s="41" t="s">
        <v>1436</v>
      </c>
      <c r="P129" s="41" t="s">
        <v>68</v>
      </c>
      <c r="Q129" s="41" t="s">
        <v>677</v>
      </c>
      <c r="R129" s="41" t="s">
        <v>39</v>
      </c>
      <c r="S129" s="41" t="s">
        <v>40</v>
      </c>
      <c r="T129" s="41" t="s">
        <v>40</v>
      </c>
      <c r="U129" s="41" t="s">
        <v>40</v>
      </c>
    </row>
    <row r="130" spans="1:21">
      <c r="A130" s="41">
        <v>2821</v>
      </c>
      <c r="B130" s="41" t="s">
        <v>1437</v>
      </c>
      <c r="D130" s="41">
        <v>6220</v>
      </c>
      <c r="E130" s="41" t="s">
        <v>998</v>
      </c>
      <c r="F130" s="41" t="s">
        <v>53</v>
      </c>
      <c r="G130" s="41" t="s">
        <v>1071</v>
      </c>
      <c r="I130" s="41" t="s">
        <v>194</v>
      </c>
      <c r="J130" s="41" t="s">
        <v>672</v>
      </c>
      <c r="K130" s="42"/>
      <c r="L130" s="41" t="s">
        <v>1438</v>
      </c>
      <c r="M130" s="41">
        <v>15</v>
      </c>
      <c r="N130" s="41" t="s">
        <v>151</v>
      </c>
      <c r="O130" s="41" t="s">
        <v>1439</v>
      </c>
      <c r="P130" s="41" t="s">
        <v>172</v>
      </c>
      <c r="Q130" s="41" t="s">
        <v>1440</v>
      </c>
      <c r="R130" s="41" t="s">
        <v>132</v>
      </c>
      <c r="S130" s="41" t="s">
        <v>40</v>
      </c>
      <c r="T130" s="41" t="s">
        <v>40</v>
      </c>
      <c r="U130" s="41" t="s">
        <v>40</v>
      </c>
    </row>
    <row r="131" spans="1:21">
      <c r="A131" s="41">
        <v>2820</v>
      </c>
      <c r="B131" s="41" t="s">
        <v>1441</v>
      </c>
      <c r="D131" s="41">
        <v>6219</v>
      </c>
      <c r="E131" s="41" t="s">
        <v>1442</v>
      </c>
      <c r="F131" s="41" t="s">
        <v>28</v>
      </c>
      <c r="G131" s="41" t="s">
        <v>1300</v>
      </c>
      <c r="I131" s="41" t="s">
        <v>1443</v>
      </c>
      <c r="J131" s="41" t="s">
        <v>32</v>
      </c>
      <c r="K131" s="42"/>
      <c r="L131" s="41" t="s">
        <v>1444</v>
      </c>
      <c r="M131" s="41">
        <v>22</v>
      </c>
      <c r="N131" s="41" t="s">
        <v>77</v>
      </c>
      <c r="O131" s="41" t="s">
        <v>77</v>
      </c>
      <c r="P131" s="41" t="s">
        <v>179</v>
      </c>
      <c r="Q131" s="41" t="s">
        <v>532</v>
      </c>
      <c r="R131" s="41" t="s">
        <v>39</v>
      </c>
      <c r="S131" s="41" t="s">
        <v>40</v>
      </c>
      <c r="T131" s="41" t="s">
        <v>40</v>
      </c>
      <c r="U131" s="41" t="s">
        <v>40</v>
      </c>
    </row>
    <row r="132" spans="1:21">
      <c r="A132" s="41">
        <v>2819</v>
      </c>
      <c r="B132" s="41" t="s">
        <v>1445</v>
      </c>
      <c r="D132" s="41">
        <v>6225</v>
      </c>
      <c r="E132" s="41" t="s">
        <v>1446</v>
      </c>
      <c r="F132" s="41" t="s">
        <v>42</v>
      </c>
      <c r="G132" s="41" t="s">
        <v>141</v>
      </c>
      <c r="I132" s="41" t="s">
        <v>162</v>
      </c>
      <c r="J132" s="41" t="s">
        <v>32</v>
      </c>
      <c r="K132" s="42"/>
      <c r="L132" s="41" t="s">
        <v>1447</v>
      </c>
      <c r="M132" s="41">
        <v>33</v>
      </c>
      <c r="N132" s="41" t="s">
        <v>1052</v>
      </c>
      <c r="O132" s="41" t="s">
        <v>1448</v>
      </c>
      <c r="P132" s="41" t="s">
        <v>179</v>
      </c>
      <c r="Q132" s="41" t="s">
        <v>284</v>
      </c>
      <c r="R132" s="41" t="s">
        <v>39</v>
      </c>
      <c r="S132" s="41" t="s">
        <v>40</v>
      </c>
      <c r="T132" s="41" t="s">
        <v>1449</v>
      </c>
      <c r="U132" s="41" t="s">
        <v>40</v>
      </c>
    </row>
    <row r="133" spans="1:21">
      <c r="A133" s="41">
        <v>2818</v>
      </c>
      <c r="B133" s="41" t="s">
        <v>1450</v>
      </c>
      <c r="D133" s="41">
        <v>6226</v>
      </c>
      <c r="E133" s="41" t="s">
        <v>1446</v>
      </c>
      <c r="F133" s="41" t="s">
        <v>42</v>
      </c>
      <c r="G133" s="41" t="s">
        <v>141</v>
      </c>
      <c r="I133" s="41" t="s">
        <v>325</v>
      </c>
      <c r="J133" s="41" t="s">
        <v>32</v>
      </c>
      <c r="K133" s="42"/>
      <c r="L133" s="41" t="s">
        <v>1447</v>
      </c>
      <c r="M133" s="41">
        <v>33</v>
      </c>
      <c r="N133" s="41" t="s">
        <v>1020</v>
      </c>
      <c r="O133" s="41" t="s">
        <v>1451</v>
      </c>
      <c r="P133" s="41" t="s">
        <v>179</v>
      </c>
      <c r="Q133" s="41" t="s">
        <v>284</v>
      </c>
      <c r="R133" s="41" t="s">
        <v>39</v>
      </c>
      <c r="S133" s="41" t="s">
        <v>40</v>
      </c>
      <c r="T133" s="41" t="s">
        <v>1449</v>
      </c>
      <c r="U133" s="41" t="s">
        <v>40</v>
      </c>
    </row>
    <row r="134" spans="1:21">
      <c r="A134" s="41">
        <v>2817</v>
      </c>
      <c r="B134" s="41" t="s">
        <v>1452</v>
      </c>
      <c r="E134" s="41" t="s">
        <v>1453</v>
      </c>
      <c r="F134" s="41" t="s">
        <v>28</v>
      </c>
      <c r="G134" s="41" t="s">
        <v>43</v>
      </c>
      <c r="I134" s="41" t="s">
        <v>1454</v>
      </c>
      <c r="J134" s="41" t="s">
        <v>32</v>
      </c>
      <c r="K134" s="42"/>
      <c r="P134" s="41" t="s">
        <v>50</v>
      </c>
      <c r="Q134" s="41" t="s">
        <v>51</v>
      </c>
      <c r="R134" s="41" t="s">
        <v>39</v>
      </c>
      <c r="S134" s="41" t="s">
        <v>40</v>
      </c>
      <c r="T134" s="41" t="s">
        <v>40</v>
      </c>
      <c r="U134" s="41" t="s">
        <v>40</v>
      </c>
    </row>
    <row r="135" spans="1:21">
      <c r="A135" s="41">
        <v>2816</v>
      </c>
      <c r="B135" s="41" t="s">
        <v>1452</v>
      </c>
      <c r="E135" s="41" t="s">
        <v>1453</v>
      </c>
      <c r="F135" s="41" t="s">
        <v>28</v>
      </c>
      <c r="G135" s="41" t="s">
        <v>43</v>
      </c>
      <c r="I135" s="41" t="s">
        <v>1454</v>
      </c>
      <c r="J135" s="41" t="s">
        <v>32</v>
      </c>
      <c r="K135" s="42"/>
      <c r="P135" s="41" t="s">
        <v>50</v>
      </c>
      <c r="Q135" s="41" t="s">
        <v>51</v>
      </c>
      <c r="R135" s="41" t="s">
        <v>39</v>
      </c>
      <c r="S135" s="41" t="s">
        <v>40</v>
      </c>
      <c r="T135" s="41" t="s">
        <v>40</v>
      </c>
      <c r="U135" s="41" t="s">
        <v>40</v>
      </c>
    </row>
    <row r="136" spans="1:21">
      <c r="A136" s="41">
        <v>2815</v>
      </c>
      <c r="B136" s="41" t="s">
        <v>1452</v>
      </c>
      <c r="E136" s="41" t="s">
        <v>1453</v>
      </c>
      <c r="F136" s="41" t="s">
        <v>28</v>
      </c>
      <c r="G136" s="41" t="s">
        <v>43</v>
      </c>
      <c r="I136" s="41" t="s">
        <v>1454</v>
      </c>
      <c r="J136" s="41" t="s">
        <v>32</v>
      </c>
      <c r="K136" s="42"/>
      <c r="P136" s="41" t="s">
        <v>50</v>
      </c>
      <c r="Q136" s="41" t="s">
        <v>51</v>
      </c>
      <c r="R136" s="41" t="s">
        <v>39</v>
      </c>
      <c r="S136" s="41" t="s">
        <v>40</v>
      </c>
      <c r="T136" s="41" t="s">
        <v>40</v>
      </c>
      <c r="U136" s="41" t="s">
        <v>40</v>
      </c>
    </row>
    <row r="137" spans="1:21">
      <c r="A137" s="41">
        <v>2814</v>
      </c>
      <c r="B137" s="41" t="s">
        <v>1452</v>
      </c>
      <c r="E137" s="41" t="s">
        <v>1453</v>
      </c>
      <c r="F137" s="41" t="s">
        <v>28</v>
      </c>
      <c r="G137" s="41" t="s">
        <v>43</v>
      </c>
      <c r="I137" s="41" t="s">
        <v>1454</v>
      </c>
      <c r="J137" s="41" t="s">
        <v>32</v>
      </c>
      <c r="K137" s="42"/>
      <c r="P137" s="41" t="s">
        <v>50</v>
      </c>
      <c r="Q137" s="41" t="s">
        <v>51</v>
      </c>
      <c r="R137" s="41" t="s">
        <v>39</v>
      </c>
      <c r="S137" s="41" t="s">
        <v>40</v>
      </c>
      <c r="T137" s="41" t="s">
        <v>40</v>
      </c>
      <c r="U137" s="41" t="s">
        <v>40</v>
      </c>
    </row>
    <row r="138" spans="1:21">
      <c r="A138" s="41">
        <v>2813</v>
      </c>
      <c r="B138" s="41" t="s">
        <v>1452</v>
      </c>
      <c r="E138" s="41" t="s">
        <v>1453</v>
      </c>
      <c r="F138" s="41" t="s">
        <v>28</v>
      </c>
      <c r="G138" s="41" t="s">
        <v>43</v>
      </c>
      <c r="I138" s="41" t="s">
        <v>1454</v>
      </c>
      <c r="J138" s="41" t="s">
        <v>32</v>
      </c>
      <c r="K138" s="42"/>
      <c r="P138" s="41" t="s">
        <v>50</v>
      </c>
      <c r="Q138" s="41" t="s">
        <v>51</v>
      </c>
      <c r="R138" s="41" t="s">
        <v>39</v>
      </c>
      <c r="S138" s="41" t="s">
        <v>40</v>
      </c>
      <c r="T138" s="41" t="s">
        <v>40</v>
      </c>
      <c r="U138" s="41" t="s">
        <v>40</v>
      </c>
    </row>
    <row r="139" spans="1:21">
      <c r="A139" s="41">
        <v>2812</v>
      </c>
      <c r="B139" s="41" t="s">
        <v>1452</v>
      </c>
      <c r="E139" s="41" t="s">
        <v>1453</v>
      </c>
      <c r="F139" s="41" t="s">
        <v>28</v>
      </c>
      <c r="G139" s="41" t="s">
        <v>43</v>
      </c>
      <c r="I139" s="41" t="s">
        <v>1454</v>
      </c>
      <c r="J139" s="41" t="s">
        <v>32</v>
      </c>
      <c r="K139" s="42"/>
      <c r="P139" s="41" t="s">
        <v>50</v>
      </c>
      <c r="Q139" s="41" t="s">
        <v>51</v>
      </c>
      <c r="R139" s="41" t="s">
        <v>39</v>
      </c>
      <c r="S139" s="41" t="s">
        <v>40</v>
      </c>
      <c r="T139" s="41" t="s">
        <v>40</v>
      </c>
      <c r="U139" s="41" t="s">
        <v>40</v>
      </c>
    </row>
    <row r="140" spans="1:21">
      <c r="A140" s="41">
        <v>2811</v>
      </c>
      <c r="B140" s="41" t="s">
        <v>1452</v>
      </c>
      <c r="E140" s="41" t="s">
        <v>1453</v>
      </c>
      <c r="F140" s="41" t="s">
        <v>28</v>
      </c>
      <c r="G140" s="41" t="s">
        <v>43</v>
      </c>
      <c r="I140" s="41" t="s">
        <v>1454</v>
      </c>
      <c r="J140" s="41" t="s">
        <v>32</v>
      </c>
      <c r="K140" s="42"/>
      <c r="P140" s="41" t="s">
        <v>50</v>
      </c>
      <c r="Q140" s="41" t="s">
        <v>51</v>
      </c>
      <c r="R140" s="41" t="s">
        <v>39</v>
      </c>
      <c r="S140" s="41" t="s">
        <v>40</v>
      </c>
      <c r="T140" s="41" t="s">
        <v>40</v>
      </c>
      <c r="U140" s="41" t="s">
        <v>40</v>
      </c>
    </row>
    <row r="141" spans="1:21">
      <c r="A141" s="41">
        <v>2810</v>
      </c>
      <c r="B141" s="41" t="s">
        <v>1452</v>
      </c>
      <c r="D141" s="41">
        <v>6218</v>
      </c>
      <c r="E141" s="41" t="s">
        <v>1453</v>
      </c>
      <c r="F141" s="41" t="s">
        <v>28</v>
      </c>
      <c r="G141" s="41" t="s">
        <v>1300</v>
      </c>
      <c r="I141" s="41" t="s">
        <v>1454</v>
      </c>
      <c r="J141" s="41" t="s">
        <v>32</v>
      </c>
      <c r="K141" s="42"/>
      <c r="P141" s="41" t="s">
        <v>50</v>
      </c>
      <c r="Q141" s="41" t="s">
        <v>51</v>
      </c>
      <c r="R141" s="41" t="s">
        <v>39</v>
      </c>
      <c r="S141" s="41" t="s">
        <v>40</v>
      </c>
      <c r="T141" s="41" t="s">
        <v>40</v>
      </c>
      <c r="U141" s="41" t="s">
        <v>40</v>
      </c>
    </row>
    <row r="142" spans="1:21">
      <c r="A142" s="41">
        <v>2809</v>
      </c>
      <c r="B142" s="41" t="s">
        <v>1455</v>
      </c>
      <c r="D142" s="41">
        <v>6204</v>
      </c>
      <c r="E142" s="41" t="s">
        <v>1213</v>
      </c>
      <c r="F142" s="41" t="s">
        <v>53</v>
      </c>
      <c r="G142" s="41" t="s">
        <v>64</v>
      </c>
      <c r="I142" s="41" t="s">
        <v>231</v>
      </c>
      <c r="J142" s="41" t="s">
        <v>32</v>
      </c>
      <c r="K142" s="42"/>
      <c r="L142" s="41" t="s">
        <v>1456</v>
      </c>
      <c r="M142" s="41">
        <v>66</v>
      </c>
      <c r="N142" s="41" t="s">
        <v>67</v>
      </c>
      <c r="O142" s="41" t="s">
        <v>482</v>
      </c>
      <c r="P142" s="41" t="s">
        <v>172</v>
      </c>
      <c r="Q142" s="41" t="s">
        <v>1457</v>
      </c>
      <c r="R142" s="41" t="s">
        <v>132</v>
      </c>
      <c r="S142" s="41" t="s">
        <v>40</v>
      </c>
      <c r="T142" s="41" t="s">
        <v>40</v>
      </c>
      <c r="U142" s="41" t="s">
        <v>40</v>
      </c>
    </row>
    <row r="143" spans="1:21">
      <c r="A143" s="41">
        <v>2808</v>
      </c>
      <c r="B143" s="41" t="s">
        <v>1458</v>
      </c>
      <c r="D143" s="41">
        <v>6206</v>
      </c>
      <c r="E143" s="41" t="s">
        <v>1213</v>
      </c>
      <c r="F143" s="41" t="s">
        <v>53</v>
      </c>
      <c r="G143" s="41" t="s">
        <v>54</v>
      </c>
      <c r="I143" s="41" t="s">
        <v>56</v>
      </c>
      <c r="J143" s="41" t="s">
        <v>32</v>
      </c>
      <c r="K143" s="42"/>
      <c r="L143" s="41" t="s">
        <v>1459</v>
      </c>
      <c r="M143" s="41">
        <v>66</v>
      </c>
      <c r="N143" s="41" t="s">
        <v>67</v>
      </c>
      <c r="O143" s="41" t="s">
        <v>482</v>
      </c>
      <c r="P143" s="41" t="s">
        <v>68</v>
      </c>
      <c r="Q143" s="41" t="s">
        <v>938</v>
      </c>
      <c r="R143" s="41" t="s">
        <v>132</v>
      </c>
      <c r="S143" s="41" t="s">
        <v>40</v>
      </c>
      <c r="T143" s="41" t="s">
        <v>40</v>
      </c>
      <c r="U143" s="41" t="s">
        <v>40</v>
      </c>
    </row>
    <row r="144" spans="1:21">
      <c r="A144" s="41">
        <v>2807</v>
      </c>
      <c r="B144" s="41" t="s">
        <v>1460</v>
      </c>
      <c r="E144" s="41" t="s">
        <v>1158</v>
      </c>
      <c r="F144" s="41" t="s">
        <v>53</v>
      </c>
      <c r="G144" s="41" t="s">
        <v>972</v>
      </c>
      <c r="I144" s="41" t="s">
        <v>960</v>
      </c>
      <c r="J144" s="41" t="s">
        <v>295</v>
      </c>
      <c r="K144" s="42"/>
      <c r="L144" s="41" t="s">
        <v>1461</v>
      </c>
      <c r="M144" s="41">
        <v>110</v>
      </c>
      <c r="N144" s="41" t="s">
        <v>59</v>
      </c>
      <c r="O144" s="41" t="s">
        <v>341</v>
      </c>
      <c r="P144" s="41" t="s">
        <v>68</v>
      </c>
      <c r="Q144" s="41" t="s">
        <v>938</v>
      </c>
      <c r="R144" s="41" t="s">
        <v>132</v>
      </c>
      <c r="S144" s="41" t="s">
        <v>40</v>
      </c>
      <c r="T144" s="41" t="s">
        <v>40</v>
      </c>
      <c r="U144" s="41" t="s">
        <v>40</v>
      </c>
    </row>
    <row r="145" spans="1:21">
      <c r="A145" s="41">
        <v>2806</v>
      </c>
      <c r="B145" s="41" t="s">
        <v>1462</v>
      </c>
      <c r="E145" s="41" t="s">
        <v>1158</v>
      </c>
      <c r="F145" s="41" t="s">
        <v>53</v>
      </c>
      <c r="G145" s="41" t="s">
        <v>972</v>
      </c>
      <c r="I145" s="41" t="s">
        <v>960</v>
      </c>
      <c r="J145" s="41" t="s">
        <v>295</v>
      </c>
      <c r="K145" s="42"/>
      <c r="L145" s="41" t="s">
        <v>1463</v>
      </c>
      <c r="M145" s="41">
        <v>66</v>
      </c>
      <c r="N145" s="41" t="s">
        <v>67</v>
      </c>
      <c r="O145" s="41" t="s">
        <v>341</v>
      </c>
      <c r="P145" s="41" t="s">
        <v>60</v>
      </c>
      <c r="Q145" s="41" t="s">
        <v>608</v>
      </c>
      <c r="R145" s="41" t="s">
        <v>132</v>
      </c>
      <c r="S145" s="41" t="s">
        <v>40</v>
      </c>
      <c r="T145" s="41" t="s">
        <v>40</v>
      </c>
      <c r="U145" s="41" t="s">
        <v>40</v>
      </c>
    </row>
    <row r="146" spans="1:21">
      <c r="A146" s="41">
        <v>2805</v>
      </c>
      <c r="B146" s="41" t="s">
        <v>1464</v>
      </c>
      <c r="D146" s="41">
        <v>6211</v>
      </c>
      <c r="E146" s="41" t="s">
        <v>1465</v>
      </c>
      <c r="F146" s="41" t="s">
        <v>53</v>
      </c>
      <c r="G146" s="41" t="s">
        <v>64</v>
      </c>
      <c r="I146" s="41" t="s">
        <v>56</v>
      </c>
      <c r="J146" s="41" t="s">
        <v>32</v>
      </c>
      <c r="K146" s="42"/>
      <c r="L146" s="41" t="s">
        <v>1466</v>
      </c>
      <c r="M146" s="41">
        <v>66</v>
      </c>
      <c r="N146" s="41" t="s">
        <v>1467</v>
      </c>
      <c r="O146" s="41" t="s">
        <v>482</v>
      </c>
      <c r="P146" s="41" t="s">
        <v>60</v>
      </c>
      <c r="Q146" s="41" t="s">
        <v>1468</v>
      </c>
      <c r="R146" s="41" t="s">
        <v>132</v>
      </c>
      <c r="S146" s="41" t="s">
        <v>40</v>
      </c>
      <c r="T146" s="41" t="s">
        <v>40</v>
      </c>
      <c r="U146" s="41" t="s">
        <v>40</v>
      </c>
    </row>
    <row r="147" spans="1:21">
      <c r="A147" s="41">
        <v>2804</v>
      </c>
      <c r="B147" s="41" t="s">
        <v>1469</v>
      </c>
      <c r="D147" s="41">
        <v>6209</v>
      </c>
      <c r="E147" s="41" t="s">
        <v>1158</v>
      </c>
      <c r="F147" s="41" t="s">
        <v>53</v>
      </c>
      <c r="G147" s="41" t="s">
        <v>64</v>
      </c>
      <c r="I147" s="41" t="s">
        <v>960</v>
      </c>
      <c r="J147" s="41" t="s">
        <v>295</v>
      </c>
      <c r="K147" s="42"/>
      <c r="L147" s="41" t="s">
        <v>1463</v>
      </c>
      <c r="M147" s="41">
        <v>66</v>
      </c>
      <c r="N147" s="41" t="s">
        <v>59</v>
      </c>
      <c r="O147" s="41" t="s">
        <v>341</v>
      </c>
      <c r="P147" s="41" t="s">
        <v>60</v>
      </c>
      <c r="Q147" s="41" t="s">
        <v>608</v>
      </c>
      <c r="R147" s="41" t="s">
        <v>132</v>
      </c>
      <c r="S147" s="41" t="s">
        <v>40</v>
      </c>
      <c r="T147" s="41" t="s">
        <v>40</v>
      </c>
      <c r="U147" s="41" t="s">
        <v>40</v>
      </c>
    </row>
    <row r="148" spans="1:21">
      <c r="A148" s="41">
        <v>2803</v>
      </c>
      <c r="B148" s="41" t="s">
        <v>1464</v>
      </c>
      <c r="E148" s="41" t="s">
        <v>1470</v>
      </c>
      <c r="F148" s="41" t="s">
        <v>53</v>
      </c>
      <c r="G148" s="41" t="s">
        <v>43</v>
      </c>
      <c r="I148" s="41" t="s">
        <v>56</v>
      </c>
      <c r="J148" s="41" t="s">
        <v>32</v>
      </c>
      <c r="K148" s="42"/>
      <c r="L148" s="41" t="s">
        <v>1471</v>
      </c>
      <c r="M148" s="41">
        <v>66</v>
      </c>
      <c r="N148" s="41" t="s">
        <v>1472</v>
      </c>
      <c r="O148" s="41" t="s">
        <v>1473</v>
      </c>
      <c r="P148" s="41" t="s">
        <v>60</v>
      </c>
      <c r="Q148" s="41" t="s">
        <v>1468</v>
      </c>
      <c r="R148" s="41" t="s">
        <v>132</v>
      </c>
      <c r="S148" s="41" t="s">
        <v>40</v>
      </c>
      <c r="T148" s="41" t="s">
        <v>40</v>
      </c>
      <c r="U148" s="41" t="s">
        <v>40</v>
      </c>
    </row>
    <row r="149" spans="1:21">
      <c r="A149" s="41">
        <v>2802</v>
      </c>
      <c r="B149" s="41" t="s">
        <v>1474</v>
      </c>
      <c r="D149" s="41">
        <v>6201</v>
      </c>
      <c r="E149" s="41" t="s">
        <v>1475</v>
      </c>
      <c r="F149" s="41" t="s">
        <v>53</v>
      </c>
      <c r="G149" s="41" t="s">
        <v>54</v>
      </c>
      <c r="I149" s="41" t="s">
        <v>149</v>
      </c>
      <c r="J149" s="41" t="s">
        <v>32</v>
      </c>
      <c r="K149" s="42"/>
      <c r="L149" s="41" t="s">
        <v>1476</v>
      </c>
      <c r="M149" s="41">
        <v>110</v>
      </c>
      <c r="N149" s="41" t="s">
        <v>1477</v>
      </c>
      <c r="O149" s="41" t="s">
        <v>1478</v>
      </c>
      <c r="P149" s="41" t="s">
        <v>68</v>
      </c>
      <c r="Q149" s="41" t="s">
        <v>938</v>
      </c>
      <c r="R149" s="41" t="s">
        <v>132</v>
      </c>
      <c r="S149" s="41" t="s">
        <v>40</v>
      </c>
      <c r="T149" s="41" t="s">
        <v>40</v>
      </c>
      <c r="U149" s="41" t="s">
        <v>40</v>
      </c>
    </row>
    <row r="150" spans="1:21">
      <c r="A150" s="41">
        <v>2801</v>
      </c>
      <c r="B150" s="41" t="s">
        <v>1464</v>
      </c>
      <c r="E150" s="41" t="s">
        <v>1465</v>
      </c>
      <c r="F150" s="41" t="s">
        <v>53</v>
      </c>
      <c r="G150" s="41" t="s">
        <v>43</v>
      </c>
      <c r="I150" s="41" t="s">
        <v>56</v>
      </c>
      <c r="J150" s="41" t="s">
        <v>32</v>
      </c>
      <c r="K150" s="42"/>
      <c r="L150" s="41" t="s">
        <v>1466</v>
      </c>
      <c r="M150" s="41">
        <v>66</v>
      </c>
      <c r="N150" s="41" t="s">
        <v>1467</v>
      </c>
      <c r="O150" s="41" t="s">
        <v>482</v>
      </c>
      <c r="P150" s="41" t="s">
        <v>60</v>
      </c>
      <c r="Q150" s="41" t="s">
        <v>1468</v>
      </c>
      <c r="R150" s="41" t="s">
        <v>132</v>
      </c>
      <c r="S150" s="41" t="s">
        <v>40</v>
      </c>
      <c r="T150" s="41" t="s">
        <v>40</v>
      </c>
      <c r="U150" s="41" t="s">
        <v>40</v>
      </c>
    </row>
    <row r="151" spans="1:21">
      <c r="A151" s="41">
        <v>2800</v>
      </c>
      <c r="B151" s="41" t="s">
        <v>1479</v>
      </c>
      <c r="D151" s="41">
        <v>6208</v>
      </c>
      <c r="E151" s="41" t="s">
        <v>1465</v>
      </c>
      <c r="F151" s="41" t="s">
        <v>53</v>
      </c>
      <c r="G151" s="41" t="s">
        <v>64</v>
      </c>
      <c r="I151" s="41" t="s">
        <v>1480</v>
      </c>
      <c r="J151" s="41" t="s">
        <v>32</v>
      </c>
      <c r="K151" s="42"/>
      <c r="L151" s="41" t="s">
        <v>1481</v>
      </c>
      <c r="M151" s="41">
        <v>110</v>
      </c>
      <c r="N151" s="41" t="s">
        <v>1482</v>
      </c>
      <c r="O151" s="41" t="s">
        <v>1473</v>
      </c>
      <c r="P151" s="41" t="s">
        <v>68</v>
      </c>
      <c r="Q151" s="41" t="s">
        <v>938</v>
      </c>
      <c r="R151" s="41" t="s">
        <v>132</v>
      </c>
      <c r="S151" s="41" t="s">
        <v>40</v>
      </c>
      <c r="T151" s="41" t="s">
        <v>40</v>
      </c>
      <c r="U151" s="41" t="s">
        <v>40</v>
      </c>
    </row>
    <row r="152" spans="1:21">
      <c r="A152" s="41">
        <v>2799</v>
      </c>
      <c r="B152" s="41" t="s">
        <v>1469</v>
      </c>
      <c r="E152" s="41" t="s">
        <v>1158</v>
      </c>
      <c r="F152" s="41" t="s">
        <v>53</v>
      </c>
      <c r="G152" s="41" t="s">
        <v>972</v>
      </c>
      <c r="I152" s="41" t="s">
        <v>960</v>
      </c>
      <c r="J152" s="41" t="s">
        <v>295</v>
      </c>
      <c r="K152" s="42"/>
      <c r="P152" s="41" t="s">
        <v>60</v>
      </c>
      <c r="Q152" s="41" t="s">
        <v>608</v>
      </c>
      <c r="R152" s="41" t="s">
        <v>132</v>
      </c>
      <c r="S152" s="41" t="s">
        <v>40</v>
      </c>
      <c r="T152" s="41" t="s">
        <v>40</v>
      </c>
      <c r="U152" s="41" t="s">
        <v>40</v>
      </c>
    </row>
    <row r="153" spans="1:21">
      <c r="A153" s="41">
        <v>2798</v>
      </c>
      <c r="B153" s="41" t="s">
        <v>1469</v>
      </c>
      <c r="E153" s="41" t="s">
        <v>1158</v>
      </c>
      <c r="F153" s="41" t="s">
        <v>53</v>
      </c>
      <c r="G153" s="41" t="s">
        <v>972</v>
      </c>
      <c r="I153" s="41" t="s">
        <v>960</v>
      </c>
      <c r="J153" s="41" t="s">
        <v>295</v>
      </c>
      <c r="K153" s="42"/>
      <c r="P153" s="41" t="s">
        <v>60</v>
      </c>
      <c r="Q153" s="41" t="s">
        <v>608</v>
      </c>
      <c r="R153" s="41" t="s">
        <v>132</v>
      </c>
      <c r="S153" s="41" t="s">
        <v>40</v>
      </c>
      <c r="T153" s="41" t="s">
        <v>40</v>
      </c>
      <c r="U153" s="41" t="s">
        <v>40</v>
      </c>
    </row>
    <row r="154" spans="1:21">
      <c r="A154" s="41">
        <v>2797</v>
      </c>
      <c r="B154" s="41" t="s">
        <v>1483</v>
      </c>
      <c r="D154" s="41">
        <v>6212</v>
      </c>
      <c r="E154" s="41" t="s">
        <v>1385</v>
      </c>
      <c r="F154" s="41" t="s">
        <v>53</v>
      </c>
      <c r="G154" s="41" t="s">
        <v>64</v>
      </c>
      <c r="I154" s="41" t="s">
        <v>458</v>
      </c>
      <c r="J154" s="41" t="s">
        <v>32</v>
      </c>
      <c r="K154" s="42"/>
      <c r="L154" s="41" t="s">
        <v>1484</v>
      </c>
      <c r="M154" s="41">
        <v>110</v>
      </c>
      <c r="N154" s="41" t="s">
        <v>395</v>
      </c>
      <c r="O154" s="41" t="s">
        <v>328</v>
      </c>
      <c r="P154" s="41" t="s">
        <v>68</v>
      </c>
      <c r="Q154" s="41" t="s">
        <v>938</v>
      </c>
      <c r="R154" s="41" t="s">
        <v>132</v>
      </c>
      <c r="S154" s="41" t="s">
        <v>40</v>
      </c>
      <c r="T154" s="41" t="s">
        <v>40</v>
      </c>
      <c r="U154" s="41" t="s">
        <v>40</v>
      </c>
    </row>
    <row r="155" spans="1:21">
      <c r="A155" s="41">
        <v>2795</v>
      </c>
      <c r="B155" s="41" t="s">
        <v>1469</v>
      </c>
      <c r="E155" s="41" t="s">
        <v>1158</v>
      </c>
      <c r="F155" s="41" t="s">
        <v>53</v>
      </c>
      <c r="G155" s="41" t="s">
        <v>972</v>
      </c>
      <c r="I155" s="41" t="s">
        <v>960</v>
      </c>
      <c r="J155" s="41" t="s">
        <v>295</v>
      </c>
      <c r="K155" s="42"/>
      <c r="P155" s="41" t="s">
        <v>60</v>
      </c>
      <c r="Q155" s="41" t="s">
        <v>608</v>
      </c>
      <c r="R155" s="41" t="s">
        <v>132</v>
      </c>
      <c r="S155" s="41" t="s">
        <v>40</v>
      </c>
      <c r="T155" s="41" t="s">
        <v>40</v>
      </c>
      <c r="U155" s="41" t="s">
        <v>40</v>
      </c>
    </row>
    <row r="156" spans="1:21">
      <c r="A156" s="41">
        <v>2794</v>
      </c>
      <c r="B156" s="41" t="s">
        <v>1469</v>
      </c>
      <c r="E156" s="41" t="s">
        <v>1158</v>
      </c>
      <c r="F156" s="41" t="s">
        <v>53</v>
      </c>
      <c r="G156" s="41" t="s">
        <v>972</v>
      </c>
      <c r="I156" s="41" t="s">
        <v>960</v>
      </c>
      <c r="J156" s="41" t="s">
        <v>295</v>
      </c>
      <c r="K156" s="42"/>
      <c r="P156" s="41" t="s">
        <v>60</v>
      </c>
      <c r="Q156" s="41" t="s">
        <v>608</v>
      </c>
      <c r="R156" s="41" t="s">
        <v>132</v>
      </c>
      <c r="S156" s="41" t="s">
        <v>40</v>
      </c>
      <c r="T156" s="41" t="s">
        <v>40</v>
      </c>
      <c r="U156" s="41" t="s">
        <v>40</v>
      </c>
    </row>
    <row r="157" spans="1:21">
      <c r="A157" s="41">
        <v>2793</v>
      </c>
      <c r="B157" s="41" t="s">
        <v>1469</v>
      </c>
      <c r="E157" s="41" t="s">
        <v>1158</v>
      </c>
      <c r="F157" s="41" t="s">
        <v>53</v>
      </c>
      <c r="G157" s="41" t="s">
        <v>972</v>
      </c>
      <c r="I157" s="41" t="s">
        <v>960</v>
      </c>
      <c r="J157" s="41" t="s">
        <v>295</v>
      </c>
      <c r="K157" s="42"/>
      <c r="P157" s="41" t="s">
        <v>60</v>
      </c>
      <c r="Q157" s="41" t="s">
        <v>608</v>
      </c>
      <c r="R157" s="41" t="s">
        <v>132</v>
      </c>
      <c r="S157" s="41" t="s">
        <v>40</v>
      </c>
      <c r="T157" s="41" t="s">
        <v>40</v>
      </c>
      <c r="U157" s="41" t="s">
        <v>40</v>
      </c>
    </row>
    <row r="158" spans="1:21">
      <c r="A158" s="41">
        <v>2792</v>
      </c>
      <c r="B158" s="41" t="s">
        <v>1469</v>
      </c>
      <c r="E158" s="41" t="s">
        <v>1158</v>
      </c>
      <c r="F158" s="41" t="s">
        <v>53</v>
      </c>
      <c r="G158" s="41" t="s">
        <v>972</v>
      </c>
      <c r="I158" s="41" t="s">
        <v>960</v>
      </c>
      <c r="J158" s="41" t="s">
        <v>295</v>
      </c>
      <c r="K158" s="42"/>
      <c r="P158" s="41" t="s">
        <v>60</v>
      </c>
      <c r="Q158" s="41" t="s">
        <v>608</v>
      </c>
      <c r="R158" s="41" t="s">
        <v>132</v>
      </c>
      <c r="S158" s="41" t="s">
        <v>40</v>
      </c>
      <c r="T158" s="41" t="s">
        <v>40</v>
      </c>
      <c r="U158" s="41" t="s">
        <v>40</v>
      </c>
    </row>
    <row r="159" spans="1:21">
      <c r="A159" s="41">
        <v>2791</v>
      </c>
      <c r="B159" s="41" t="s">
        <v>1460</v>
      </c>
      <c r="E159" s="41" t="s">
        <v>1158</v>
      </c>
      <c r="F159" s="41" t="s">
        <v>53</v>
      </c>
      <c r="G159" s="41" t="s">
        <v>972</v>
      </c>
      <c r="I159" s="41" t="s">
        <v>960</v>
      </c>
      <c r="J159" s="41" t="s">
        <v>295</v>
      </c>
      <c r="K159" s="42"/>
      <c r="L159" s="41" t="s">
        <v>1461</v>
      </c>
      <c r="M159" s="41">
        <v>110</v>
      </c>
      <c r="N159" s="41" t="s">
        <v>59</v>
      </c>
      <c r="O159" s="41" t="s">
        <v>341</v>
      </c>
      <c r="P159" s="41" t="s">
        <v>68</v>
      </c>
      <c r="Q159" s="41" t="s">
        <v>938</v>
      </c>
      <c r="R159" s="41" t="s">
        <v>132</v>
      </c>
      <c r="S159" s="41" t="s">
        <v>40</v>
      </c>
      <c r="T159" s="41" t="s">
        <v>40</v>
      </c>
      <c r="U159" s="41" t="s">
        <v>40</v>
      </c>
    </row>
    <row r="160" spans="1:21">
      <c r="A160" s="41">
        <v>2790</v>
      </c>
      <c r="B160" s="41" t="s">
        <v>1469</v>
      </c>
      <c r="E160" s="41" t="s">
        <v>1158</v>
      </c>
      <c r="F160" s="41" t="s">
        <v>53</v>
      </c>
      <c r="G160" s="41" t="s">
        <v>972</v>
      </c>
      <c r="I160" s="41" t="s">
        <v>960</v>
      </c>
      <c r="J160" s="41" t="s">
        <v>295</v>
      </c>
      <c r="K160" s="42"/>
      <c r="P160" s="41" t="s">
        <v>60</v>
      </c>
      <c r="Q160" s="41" t="s">
        <v>608</v>
      </c>
      <c r="R160" s="41" t="s">
        <v>132</v>
      </c>
      <c r="S160" s="41" t="s">
        <v>40</v>
      </c>
      <c r="T160" s="41" t="s">
        <v>40</v>
      </c>
      <c r="U160" s="41" t="s">
        <v>40</v>
      </c>
    </row>
    <row r="161" spans="1:21">
      <c r="A161" s="41">
        <v>2787</v>
      </c>
      <c r="B161" s="41" t="s">
        <v>1464</v>
      </c>
      <c r="E161" s="41" t="s">
        <v>1465</v>
      </c>
      <c r="F161" s="41" t="s">
        <v>53</v>
      </c>
      <c r="G161" s="41" t="s">
        <v>43</v>
      </c>
      <c r="I161" s="41" t="s">
        <v>56</v>
      </c>
      <c r="J161" s="41" t="s">
        <v>32</v>
      </c>
      <c r="K161" s="42"/>
      <c r="L161" s="41" t="s">
        <v>1485</v>
      </c>
      <c r="M161" s="41">
        <v>66</v>
      </c>
      <c r="N161" s="41" t="s">
        <v>1482</v>
      </c>
      <c r="O161" s="41" t="s">
        <v>482</v>
      </c>
      <c r="P161" s="41" t="s">
        <v>60</v>
      </c>
      <c r="Q161" s="41" t="s">
        <v>1468</v>
      </c>
      <c r="R161" s="41" t="s">
        <v>132</v>
      </c>
      <c r="S161" s="41" t="s">
        <v>40</v>
      </c>
      <c r="T161" s="41" t="s">
        <v>40</v>
      </c>
      <c r="U161" s="41" t="s">
        <v>40</v>
      </c>
    </row>
    <row r="162" spans="1:21">
      <c r="A162" s="41">
        <v>2788</v>
      </c>
      <c r="B162" s="41" t="s">
        <v>1479</v>
      </c>
      <c r="E162" s="41" t="s">
        <v>1465</v>
      </c>
      <c r="F162" s="41" t="s">
        <v>53</v>
      </c>
      <c r="G162" s="41" t="s">
        <v>43</v>
      </c>
      <c r="I162" s="41" t="s">
        <v>1480</v>
      </c>
      <c r="J162" s="41" t="s">
        <v>32</v>
      </c>
      <c r="K162" s="42"/>
      <c r="L162" s="41" t="s">
        <v>1481</v>
      </c>
      <c r="M162" s="41">
        <v>110</v>
      </c>
      <c r="N162" s="41" t="s">
        <v>1467</v>
      </c>
      <c r="O162" s="41" t="s">
        <v>1473</v>
      </c>
      <c r="P162" s="41" t="s">
        <v>68</v>
      </c>
      <c r="Q162" s="41" t="s">
        <v>938</v>
      </c>
      <c r="R162" s="41" t="s">
        <v>132</v>
      </c>
      <c r="S162" s="41" t="s">
        <v>40</v>
      </c>
      <c r="T162" s="41" t="s">
        <v>40</v>
      </c>
      <c r="U162" s="41" t="s">
        <v>40</v>
      </c>
    </row>
    <row r="163" spans="1:21">
      <c r="A163" s="41">
        <v>2789</v>
      </c>
      <c r="B163" s="41" t="s">
        <v>1486</v>
      </c>
      <c r="D163" s="41">
        <v>6207</v>
      </c>
      <c r="E163" s="41" t="s">
        <v>1017</v>
      </c>
      <c r="F163" s="41" t="s">
        <v>53</v>
      </c>
      <c r="G163" s="41" t="s">
        <v>64</v>
      </c>
      <c r="I163" s="41" t="s">
        <v>411</v>
      </c>
      <c r="J163" s="41" t="s">
        <v>32</v>
      </c>
      <c r="K163" s="42"/>
      <c r="L163" s="41" t="s">
        <v>1487</v>
      </c>
      <c r="M163" s="41">
        <v>66</v>
      </c>
      <c r="N163" s="41" t="s">
        <v>1488</v>
      </c>
      <c r="O163" s="41" t="s">
        <v>1489</v>
      </c>
      <c r="P163" s="41" t="s">
        <v>60</v>
      </c>
      <c r="Q163" s="41" t="s">
        <v>608</v>
      </c>
      <c r="R163" s="41" t="s">
        <v>132</v>
      </c>
      <c r="S163" s="41" t="s">
        <v>40</v>
      </c>
      <c r="T163" s="41" t="s">
        <v>40</v>
      </c>
      <c r="U163" s="41" t="s">
        <v>40</v>
      </c>
    </row>
    <row r="164" spans="1:21">
      <c r="A164" s="41">
        <v>2786</v>
      </c>
      <c r="B164" s="41" t="s">
        <v>1460</v>
      </c>
      <c r="D164" s="41">
        <v>6210</v>
      </c>
      <c r="E164" s="41" t="s">
        <v>1158</v>
      </c>
      <c r="F164" s="41" t="s">
        <v>53</v>
      </c>
      <c r="G164" s="41" t="s">
        <v>64</v>
      </c>
      <c r="I164" s="41" t="s">
        <v>960</v>
      </c>
      <c r="J164" s="41" t="s">
        <v>295</v>
      </c>
      <c r="K164" s="42"/>
      <c r="L164" s="41" t="s">
        <v>1461</v>
      </c>
      <c r="M164" s="41">
        <v>110</v>
      </c>
      <c r="N164" s="41" t="s">
        <v>59</v>
      </c>
      <c r="O164" s="41" t="s">
        <v>341</v>
      </c>
      <c r="P164" s="41" t="s">
        <v>68</v>
      </c>
      <c r="Q164" s="41" t="s">
        <v>938</v>
      </c>
      <c r="R164" s="41" t="s">
        <v>132</v>
      </c>
      <c r="S164" s="41" t="s">
        <v>40</v>
      </c>
      <c r="T164" s="41" t="s">
        <v>40</v>
      </c>
      <c r="U164" s="41" t="s">
        <v>40</v>
      </c>
    </row>
    <row r="165" spans="1:21">
      <c r="A165" s="41">
        <v>2785</v>
      </c>
      <c r="B165" s="41" t="s">
        <v>1490</v>
      </c>
      <c r="D165" s="41">
        <v>6203</v>
      </c>
      <c r="E165" s="41" t="s">
        <v>1270</v>
      </c>
      <c r="F165" s="41" t="s">
        <v>53</v>
      </c>
      <c r="G165" s="41" t="s">
        <v>54</v>
      </c>
      <c r="I165" s="41" t="s">
        <v>149</v>
      </c>
      <c r="J165" s="41" t="s">
        <v>32</v>
      </c>
      <c r="K165" s="42"/>
      <c r="L165" s="41" t="s">
        <v>1491</v>
      </c>
      <c r="M165" s="41">
        <v>66</v>
      </c>
      <c r="N165" s="41" t="s">
        <v>67</v>
      </c>
      <c r="O165" s="41" t="s">
        <v>1492</v>
      </c>
      <c r="P165" s="41" t="s">
        <v>60</v>
      </c>
      <c r="Q165" s="41" t="s">
        <v>608</v>
      </c>
      <c r="R165" s="41" t="s">
        <v>132</v>
      </c>
      <c r="S165" s="41" t="s">
        <v>40</v>
      </c>
      <c r="T165" s="41" t="s">
        <v>40</v>
      </c>
      <c r="U165" s="41" t="s">
        <v>40</v>
      </c>
    </row>
    <row r="166" spans="1:21">
      <c r="A166" s="41">
        <v>2783</v>
      </c>
      <c r="B166" s="41" t="s">
        <v>1469</v>
      </c>
      <c r="E166" s="41" t="s">
        <v>1158</v>
      </c>
      <c r="F166" s="41" t="s">
        <v>53</v>
      </c>
      <c r="G166" s="41" t="s">
        <v>972</v>
      </c>
      <c r="I166" s="41" t="s">
        <v>960</v>
      </c>
      <c r="J166" s="41" t="s">
        <v>295</v>
      </c>
      <c r="K166" s="42"/>
      <c r="P166" s="41" t="s">
        <v>60</v>
      </c>
      <c r="Q166" s="41" t="s">
        <v>608</v>
      </c>
      <c r="R166" s="41" t="s">
        <v>132</v>
      </c>
      <c r="S166" s="41" t="s">
        <v>40</v>
      </c>
      <c r="T166" s="41" t="s">
        <v>40</v>
      </c>
      <c r="U166" s="41" t="s">
        <v>40</v>
      </c>
    </row>
    <row r="167" spans="1:21">
      <c r="A167" s="41">
        <v>2784</v>
      </c>
      <c r="B167" s="41" t="s">
        <v>1493</v>
      </c>
      <c r="D167" s="41">
        <v>6202</v>
      </c>
      <c r="E167" s="41" t="s">
        <v>1494</v>
      </c>
      <c r="F167" s="41" t="s">
        <v>53</v>
      </c>
      <c r="G167" s="41" t="s">
        <v>54</v>
      </c>
      <c r="I167" s="41" t="s">
        <v>411</v>
      </c>
      <c r="J167" s="41" t="s">
        <v>295</v>
      </c>
      <c r="K167" s="42"/>
      <c r="L167" s="41" t="s">
        <v>1456</v>
      </c>
      <c r="M167" s="41">
        <v>66</v>
      </c>
      <c r="N167" s="41" t="s">
        <v>1495</v>
      </c>
      <c r="O167" s="41" t="s">
        <v>482</v>
      </c>
      <c r="P167" s="41" t="s">
        <v>60</v>
      </c>
      <c r="Q167" s="41" t="s">
        <v>1468</v>
      </c>
      <c r="R167" s="41" t="s">
        <v>132</v>
      </c>
      <c r="S167" s="41" t="s">
        <v>40</v>
      </c>
      <c r="T167" s="41" t="s">
        <v>40</v>
      </c>
      <c r="U167" s="41" t="s">
        <v>40</v>
      </c>
    </row>
    <row r="168" spans="1:21">
      <c r="A168" s="41">
        <v>2782</v>
      </c>
      <c r="B168" s="41" t="s">
        <v>1496</v>
      </c>
      <c r="D168" s="41">
        <v>6217</v>
      </c>
      <c r="E168" s="41" t="s">
        <v>801</v>
      </c>
      <c r="F168" s="41" t="s">
        <v>42</v>
      </c>
      <c r="G168" s="41" t="s">
        <v>141</v>
      </c>
      <c r="I168" s="41" t="s">
        <v>1425</v>
      </c>
      <c r="J168" s="41" t="s">
        <v>32</v>
      </c>
      <c r="K168" s="42"/>
      <c r="L168" s="41" t="s">
        <v>1497</v>
      </c>
      <c r="M168" s="41">
        <v>33</v>
      </c>
      <c r="N168" s="41" t="s">
        <v>1498</v>
      </c>
      <c r="O168" s="41" t="s">
        <v>36</v>
      </c>
      <c r="P168" s="41" t="s">
        <v>50</v>
      </c>
      <c r="Q168" s="41" t="s">
        <v>1499</v>
      </c>
      <c r="R168" s="41" t="s">
        <v>39</v>
      </c>
      <c r="S168" s="41" t="s">
        <v>40</v>
      </c>
      <c r="T168" s="41" t="s">
        <v>1500</v>
      </c>
      <c r="U168" s="41" t="s">
        <v>40</v>
      </c>
    </row>
    <row r="169" spans="1:21">
      <c r="A169" s="41">
        <v>2781</v>
      </c>
      <c r="B169" s="41" t="s">
        <v>1501</v>
      </c>
      <c r="D169" s="41">
        <v>6193</v>
      </c>
      <c r="E169" s="41" t="s">
        <v>1106</v>
      </c>
      <c r="F169" s="41" t="s">
        <v>53</v>
      </c>
      <c r="G169" s="41" t="s">
        <v>64</v>
      </c>
      <c r="I169" s="41" t="s">
        <v>966</v>
      </c>
      <c r="J169" s="41" t="s">
        <v>32</v>
      </c>
      <c r="K169" s="42"/>
      <c r="L169" s="41" t="s">
        <v>1502</v>
      </c>
      <c r="M169" s="41">
        <v>110</v>
      </c>
      <c r="N169" s="41" t="s">
        <v>1052</v>
      </c>
      <c r="O169" s="41" t="s">
        <v>1284</v>
      </c>
      <c r="P169" s="41" t="s">
        <v>83</v>
      </c>
      <c r="Q169" s="41" t="s">
        <v>1206</v>
      </c>
      <c r="R169" s="41" t="s">
        <v>132</v>
      </c>
      <c r="S169" s="41" t="s">
        <v>40</v>
      </c>
      <c r="T169" s="41" t="s">
        <v>40</v>
      </c>
      <c r="U169" s="41" t="s">
        <v>40</v>
      </c>
    </row>
    <row r="170" spans="1:21">
      <c r="A170" s="41">
        <v>2780</v>
      </c>
      <c r="B170" s="41" t="s">
        <v>1503</v>
      </c>
      <c r="D170" s="41">
        <v>6195</v>
      </c>
      <c r="E170" s="41" t="s">
        <v>1091</v>
      </c>
      <c r="F170" s="41" t="s">
        <v>53</v>
      </c>
      <c r="G170" s="41" t="s">
        <v>175</v>
      </c>
      <c r="I170" s="41" t="s">
        <v>977</v>
      </c>
      <c r="J170" s="41" t="s">
        <v>672</v>
      </c>
      <c r="K170" s="42"/>
      <c r="L170" s="41" t="s">
        <v>1504</v>
      </c>
      <c r="M170" s="41">
        <v>23</v>
      </c>
      <c r="N170" s="41" t="s">
        <v>1505</v>
      </c>
      <c r="O170" s="41" t="s">
        <v>1506</v>
      </c>
      <c r="P170" s="41" t="s">
        <v>68</v>
      </c>
      <c r="Q170" s="41" t="s">
        <v>1254</v>
      </c>
      <c r="R170" s="41" t="s">
        <v>132</v>
      </c>
      <c r="S170" s="41" t="s">
        <v>40</v>
      </c>
      <c r="T170" s="41" t="s">
        <v>40</v>
      </c>
      <c r="U170" s="41" t="s">
        <v>40</v>
      </c>
    </row>
    <row r="171" spans="1:21">
      <c r="A171" s="41">
        <v>2779</v>
      </c>
      <c r="B171" s="41" t="s">
        <v>1507</v>
      </c>
      <c r="D171" s="41">
        <v>6194</v>
      </c>
      <c r="E171" s="41" t="s">
        <v>1091</v>
      </c>
      <c r="F171" s="41" t="s">
        <v>53</v>
      </c>
      <c r="G171" s="41" t="s">
        <v>175</v>
      </c>
      <c r="I171" s="41" t="s">
        <v>977</v>
      </c>
      <c r="J171" s="41" t="s">
        <v>672</v>
      </c>
      <c r="K171" s="42"/>
      <c r="L171" s="41" t="s">
        <v>1508</v>
      </c>
      <c r="M171" s="41">
        <v>23</v>
      </c>
      <c r="N171" s="41" t="s">
        <v>1509</v>
      </c>
      <c r="O171" s="41" t="s">
        <v>1510</v>
      </c>
      <c r="P171" s="41" t="s">
        <v>68</v>
      </c>
      <c r="Q171" s="41" t="s">
        <v>1254</v>
      </c>
      <c r="R171" s="41" t="s">
        <v>132</v>
      </c>
      <c r="S171" s="41" t="s">
        <v>40</v>
      </c>
      <c r="T171" s="41" t="s">
        <v>40</v>
      </c>
      <c r="U171" s="41" t="s">
        <v>40</v>
      </c>
    </row>
    <row r="172" spans="1:21">
      <c r="A172" s="41">
        <v>2778</v>
      </c>
      <c r="B172" s="41" t="s">
        <v>1511</v>
      </c>
      <c r="D172" s="41">
        <v>6192</v>
      </c>
      <c r="E172" s="41" t="s">
        <v>1512</v>
      </c>
      <c r="F172" s="41" t="s">
        <v>28</v>
      </c>
      <c r="G172" s="41" t="s">
        <v>1162</v>
      </c>
      <c r="I172" s="41" t="s">
        <v>1513</v>
      </c>
      <c r="J172" s="41" t="s">
        <v>32</v>
      </c>
      <c r="K172" s="42"/>
      <c r="L172" s="41" t="s">
        <v>1514</v>
      </c>
      <c r="M172" s="41">
        <v>66</v>
      </c>
      <c r="N172" s="41" t="s">
        <v>962</v>
      </c>
      <c r="O172" s="41" t="s">
        <v>77</v>
      </c>
      <c r="P172" s="41" t="s">
        <v>68</v>
      </c>
      <c r="Q172" s="41" t="s">
        <v>938</v>
      </c>
      <c r="R172" s="41" t="s">
        <v>39</v>
      </c>
      <c r="S172" s="41" t="s">
        <v>40</v>
      </c>
      <c r="T172" s="41" t="s">
        <v>40</v>
      </c>
      <c r="U172" s="41" t="s">
        <v>40</v>
      </c>
    </row>
    <row r="173" spans="1:21">
      <c r="A173" s="41">
        <v>2777</v>
      </c>
      <c r="B173" s="41" t="s">
        <v>1515</v>
      </c>
      <c r="D173" s="41">
        <v>6191</v>
      </c>
      <c r="E173" s="41" t="s">
        <v>1516</v>
      </c>
      <c r="F173" s="41" t="s">
        <v>42</v>
      </c>
      <c r="G173" s="41" t="s">
        <v>141</v>
      </c>
      <c r="I173" s="41" t="s">
        <v>1517</v>
      </c>
      <c r="J173" s="41" t="s">
        <v>32</v>
      </c>
      <c r="K173" s="42"/>
      <c r="L173" s="41" t="s">
        <v>116</v>
      </c>
      <c r="M173" s="41">
        <v>22</v>
      </c>
      <c r="N173" s="41" t="s">
        <v>67</v>
      </c>
      <c r="O173" s="41" t="s">
        <v>1518</v>
      </c>
      <c r="P173" s="41" t="s">
        <v>98</v>
      </c>
      <c r="Q173" s="41" t="s">
        <v>116</v>
      </c>
      <c r="R173" s="41" t="s">
        <v>39</v>
      </c>
      <c r="S173" s="41" t="s">
        <v>40</v>
      </c>
      <c r="T173" s="41" t="s">
        <v>266</v>
      </c>
      <c r="U173" s="41" t="s">
        <v>40</v>
      </c>
    </row>
    <row r="174" spans="1:21">
      <c r="A174" s="41">
        <v>2776</v>
      </c>
      <c r="B174" s="41" t="s">
        <v>1519</v>
      </c>
      <c r="D174" s="41">
        <v>6189</v>
      </c>
      <c r="E174" s="41" t="s">
        <v>1227</v>
      </c>
      <c r="F174" s="41" t="s">
        <v>28</v>
      </c>
      <c r="G174" s="41" t="s">
        <v>1300</v>
      </c>
      <c r="I174" s="41" t="s">
        <v>1520</v>
      </c>
      <c r="J174" s="41" t="s">
        <v>32</v>
      </c>
      <c r="K174" s="42"/>
      <c r="L174" s="41" t="s">
        <v>1521</v>
      </c>
      <c r="M174" s="41">
        <v>33</v>
      </c>
      <c r="N174" s="41" t="s">
        <v>67</v>
      </c>
      <c r="O174" s="41" t="s">
        <v>1522</v>
      </c>
      <c r="P174" s="41" t="s">
        <v>98</v>
      </c>
      <c r="Q174" s="41" t="s">
        <v>116</v>
      </c>
      <c r="R174" s="41" t="s">
        <v>39</v>
      </c>
      <c r="S174" s="41" t="s">
        <v>40</v>
      </c>
      <c r="T174" s="41" t="s">
        <v>40</v>
      </c>
      <c r="U174" s="41" t="s">
        <v>40</v>
      </c>
    </row>
    <row r="175" spans="1:21">
      <c r="A175" s="41">
        <v>2775</v>
      </c>
      <c r="B175" s="41" t="s">
        <v>1315</v>
      </c>
      <c r="D175" s="41">
        <v>6188</v>
      </c>
      <c r="E175" s="41" t="s">
        <v>1227</v>
      </c>
      <c r="F175" s="41" t="s">
        <v>28</v>
      </c>
      <c r="G175" s="41" t="s">
        <v>64</v>
      </c>
      <c r="I175" s="41" t="s">
        <v>464</v>
      </c>
      <c r="J175" s="41" t="s">
        <v>32</v>
      </c>
      <c r="K175" s="42"/>
      <c r="L175" s="41" t="s">
        <v>1521</v>
      </c>
      <c r="M175" s="41">
        <v>33</v>
      </c>
      <c r="N175" s="41" t="s">
        <v>67</v>
      </c>
      <c r="O175" s="41" t="s">
        <v>1522</v>
      </c>
      <c r="P175" s="41" t="s">
        <v>98</v>
      </c>
      <c r="Q175" s="41" t="s">
        <v>116</v>
      </c>
      <c r="R175" s="41" t="s">
        <v>39</v>
      </c>
      <c r="S175" s="41" t="s">
        <v>40</v>
      </c>
      <c r="T175" s="41" t="s">
        <v>40</v>
      </c>
      <c r="U175" s="41" t="s">
        <v>40</v>
      </c>
    </row>
    <row r="176" spans="1:21">
      <c r="A176" s="41">
        <v>2774</v>
      </c>
      <c r="B176" s="41" t="s">
        <v>1523</v>
      </c>
      <c r="D176" s="41">
        <v>6186</v>
      </c>
      <c r="E176" s="41" t="s">
        <v>971</v>
      </c>
      <c r="F176" s="41" t="s">
        <v>53</v>
      </c>
      <c r="G176" s="41" t="s">
        <v>188</v>
      </c>
      <c r="I176" s="41" t="s">
        <v>406</v>
      </c>
      <c r="J176" s="41" t="s">
        <v>672</v>
      </c>
      <c r="K176" s="42"/>
      <c r="L176" s="41" t="s">
        <v>1524</v>
      </c>
      <c r="M176" s="41">
        <v>220</v>
      </c>
      <c r="N176" s="41" t="s">
        <v>67</v>
      </c>
      <c r="O176" s="41" t="s">
        <v>1525</v>
      </c>
      <c r="P176" s="41" t="s">
        <v>68</v>
      </c>
      <c r="Q176" s="41" t="s">
        <v>184</v>
      </c>
      <c r="R176" s="41" t="s">
        <v>132</v>
      </c>
      <c r="S176" s="41" t="s">
        <v>40</v>
      </c>
      <c r="T176" s="41" t="s">
        <v>40</v>
      </c>
      <c r="U176" s="41" t="s">
        <v>40</v>
      </c>
    </row>
    <row r="177" spans="1:21">
      <c r="A177" s="41">
        <v>2773</v>
      </c>
      <c r="B177" s="41" t="s">
        <v>1526</v>
      </c>
      <c r="D177" s="41">
        <v>6180</v>
      </c>
      <c r="E177" s="41" t="s">
        <v>1527</v>
      </c>
      <c r="F177" s="41" t="s">
        <v>28</v>
      </c>
      <c r="G177" s="41" t="s">
        <v>1300</v>
      </c>
      <c r="I177" s="41" t="s">
        <v>162</v>
      </c>
      <c r="J177" s="41" t="s">
        <v>32</v>
      </c>
      <c r="K177" s="42"/>
      <c r="L177" s="41" t="s">
        <v>1528</v>
      </c>
      <c r="M177" s="41">
        <v>220</v>
      </c>
      <c r="N177" s="41" t="s">
        <v>1529</v>
      </c>
      <c r="O177" s="41" t="s">
        <v>1530</v>
      </c>
      <c r="P177" s="41" t="s">
        <v>98</v>
      </c>
      <c r="Q177" s="41" t="s">
        <v>569</v>
      </c>
      <c r="R177" s="41" t="s">
        <v>39</v>
      </c>
      <c r="S177" s="41" t="s">
        <v>40</v>
      </c>
      <c r="T177" s="41" t="s">
        <v>40</v>
      </c>
      <c r="U177" s="41" t="s">
        <v>40</v>
      </c>
    </row>
    <row r="178" spans="1:21">
      <c r="A178" s="41">
        <v>2772</v>
      </c>
      <c r="B178" s="41" t="s">
        <v>1531</v>
      </c>
      <c r="D178" s="41">
        <v>6187</v>
      </c>
      <c r="E178" s="41" t="s">
        <v>1532</v>
      </c>
      <c r="F178" s="41" t="s">
        <v>28</v>
      </c>
      <c r="G178" s="41" t="s">
        <v>1300</v>
      </c>
      <c r="I178" s="41" t="s">
        <v>1168</v>
      </c>
      <c r="J178" s="41" t="s">
        <v>380</v>
      </c>
      <c r="K178" s="42"/>
      <c r="L178" s="41" t="s">
        <v>1533</v>
      </c>
      <c r="M178" s="41">
        <v>220</v>
      </c>
      <c r="N178" s="41" t="s">
        <v>962</v>
      </c>
      <c r="O178" s="41" t="s">
        <v>1534</v>
      </c>
      <c r="P178" s="41" t="s">
        <v>37</v>
      </c>
      <c r="Q178" s="41" t="s">
        <v>1535</v>
      </c>
      <c r="R178" s="41" t="s">
        <v>39</v>
      </c>
      <c r="S178" s="41" t="s">
        <v>40</v>
      </c>
      <c r="T178" s="41" t="s">
        <v>40</v>
      </c>
      <c r="U178" s="41" t="s">
        <v>40</v>
      </c>
    </row>
    <row r="179" spans="1:21">
      <c r="A179" s="41">
        <v>2771</v>
      </c>
      <c r="B179" s="41" t="s">
        <v>1536</v>
      </c>
      <c r="D179" s="41">
        <v>6179</v>
      </c>
      <c r="E179" s="41" t="s">
        <v>1227</v>
      </c>
      <c r="F179" s="41" t="s">
        <v>28</v>
      </c>
      <c r="G179" s="41" t="s">
        <v>1162</v>
      </c>
      <c r="I179" s="41" t="s">
        <v>1537</v>
      </c>
      <c r="J179" s="41" t="s">
        <v>32</v>
      </c>
      <c r="K179" s="42"/>
      <c r="L179" s="41" t="s">
        <v>1538</v>
      </c>
      <c r="M179" s="41">
        <v>33</v>
      </c>
      <c r="N179" s="41" t="s">
        <v>1522</v>
      </c>
      <c r="O179" s="41" t="s">
        <v>1539</v>
      </c>
      <c r="P179" s="41" t="s">
        <v>98</v>
      </c>
      <c r="Q179" s="41" t="s">
        <v>98</v>
      </c>
      <c r="R179" s="41" t="s">
        <v>39</v>
      </c>
      <c r="S179" s="41" t="s">
        <v>40</v>
      </c>
      <c r="T179" s="41" t="s">
        <v>40</v>
      </c>
      <c r="U179" s="41" t="s">
        <v>40</v>
      </c>
    </row>
    <row r="180" spans="1:21">
      <c r="A180" s="41">
        <v>2770</v>
      </c>
      <c r="B180" s="41" t="s">
        <v>1540</v>
      </c>
      <c r="D180" s="41">
        <v>6177</v>
      </c>
      <c r="E180" s="41" t="s">
        <v>1354</v>
      </c>
      <c r="F180" s="41" t="s">
        <v>28</v>
      </c>
      <c r="G180" s="41" t="s">
        <v>1300</v>
      </c>
      <c r="I180" s="41" t="s">
        <v>458</v>
      </c>
      <c r="J180" s="41" t="s">
        <v>32</v>
      </c>
      <c r="K180" s="42"/>
      <c r="L180" s="41" t="s">
        <v>1541</v>
      </c>
      <c r="M180" s="41">
        <v>110</v>
      </c>
      <c r="N180" s="41" t="s">
        <v>67</v>
      </c>
      <c r="O180" s="41" t="s">
        <v>1542</v>
      </c>
      <c r="P180" s="41" t="s">
        <v>179</v>
      </c>
      <c r="Q180" s="41" t="s">
        <v>592</v>
      </c>
      <c r="R180" s="41" t="s">
        <v>39</v>
      </c>
      <c r="S180" s="41" t="s">
        <v>40</v>
      </c>
      <c r="T180" s="41" t="s">
        <v>40</v>
      </c>
      <c r="U180" s="41" t="s">
        <v>40</v>
      </c>
    </row>
    <row r="181" spans="1:21">
      <c r="A181" s="41">
        <v>2769</v>
      </c>
      <c r="B181" s="41" t="s">
        <v>1543</v>
      </c>
      <c r="D181" s="41">
        <v>6176</v>
      </c>
      <c r="E181" s="41" t="s">
        <v>1544</v>
      </c>
      <c r="F181" s="41" t="s">
        <v>42</v>
      </c>
      <c r="G181" s="41" t="s">
        <v>1197</v>
      </c>
      <c r="I181" s="41" t="s">
        <v>1545</v>
      </c>
      <c r="J181" s="41" t="s">
        <v>295</v>
      </c>
      <c r="K181" s="42"/>
      <c r="L181" s="41" t="s">
        <v>1546</v>
      </c>
      <c r="M181" s="41">
        <v>33</v>
      </c>
      <c r="N181" s="41" t="s">
        <v>1547</v>
      </c>
      <c r="O181" s="41" t="s">
        <v>1547</v>
      </c>
      <c r="P181" s="41" t="s">
        <v>179</v>
      </c>
      <c r="Q181" s="41" t="s">
        <v>524</v>
      </c>
      <c r="R181" s="41" t="s">
        <v>39</v>
      </c>
      <c r="S181" s="41" t="s">
        <v>40</v>
      </c>
      <c r="T181" s="41" t="s">
        <v>40</v>
      </c>
      <c r="U181" s="41" t="s">
        <v>40</v>
      </c>
    </row>
    <row r="182" spans="1:21">
      <c r="A182" s="41">
        <v>2768</v>
      </c>
      <c r="B182" s="41" t="s">
        <v>1548</v>
      </c>
      <c r="D182" s="41">
        <v>6175</v>
      </c>
      <c r="E182" s="41" t="s">
        <v>1549</v>
      </c>
      <c r="F182" s="41" t="s">
        <v>42</v>
      </c>
      <c r="G182" s="41" t="s">
        <v>1197</v>
      </c>
      <c r="I182" s="41" t="s">
        <v>1550</v>
      </c>
      <c r="J182" s="41" t="s">
        <v>295</v>
      </c>
      <c r="K182" s="42"/>
      <c r="L182" s="41" t="s">
        <v>1551</v>
      </c>
      <c r="M182" s="41">
        <v>220</v>
      </c>
      <c r="N182" s="41" t="s">
        <v>1552</v>
      </c>
      <c r="O182" s="41" t="s">
        <v>1553</v>
      </c>
      <c r="P182" s="41" t="s">
        <v>179</v>
      </c>
      <c r="Q182" s="41" t="s">
        <v>524</v>
      </c>
      <c r="R182" s="41" t="s">
        <v>39</v>
      </c>
      <c r="S182" s="41" t="s">
        <v>40</v>
      </c>
      <c r="T182" s="41" t="s">
        <v>40</v>
      </c>
      <c r="U182" s="41" t="s">
        <v>40</v>
      </c>
    </row>
    <row r="183" spans="1:21">
      <c r="A183" s="41">
        <v>2767</v>
      </c>
      <c r="B183" s="41" t="s">
        <v>1554</v>
      </c>
      <c r="D183" s="41">
        <v>6190</v>
      </c>
      <c r="E183" s="41" t="s">
        <v>1555</v>
      </c>
      <c r="F183" s="41" t="s">
        <v>28</v>
      </c>
      <c r="G183" s="41" t="s">
        <v>286</v>
      </c>
      <c r="I183" s="41" t="s">
        <v>231</v>
      </c>
      <c r="J183" s="41" t="s">
        <v>672</v>
      </c>
      <c r="K183" s="42"/>
      <c r="L183" s="41" t="s">
        <v>1556</v>
      </c>
      <c r="M183" s="41">
        <v>220</v>
      </c>
      <c r="N183" s="41" t="s">
        <v>1557</v>
      </c>
      <c r="O183" s="41" t="s">
        <v>1558</v>
      </c>
      <c r="P183" s="41" t="s">
        <v>179</v>
      </c>
      <c r="Q183" s="41" t="s">
        <v>538</v>
      </c>
      <c r="R183" s="41" t="s">
        <v>39</v>
      </c>
      <c r="S183" s="41" t="s">
        <v>40</v>
      </c>
      <c r="T183" s="41" t="s">
        <v>40</v>
      </c>
      <c r="U183" s="41" t="s">
        <v>40</v>
      </c>
    </row>
    <row r="184" spans="1:21">
      <c r="A184" s="41">
        <v>2766</v>
      </c>
      <c r="B184" s="41" t="s">
        <v>1559</v>
      </c>
      <c r="D184" s="41">
        <v>6166</v>
      </c>
      <c r="E184" s="41" t="s">
        <v>1560</v>
      </c>
      <c r="F184" s="41" t="s">
        <v>53</v>
      </c>
      <c r="G184" s="41" t="s">
        <v>64</v>
      </c>
      <c r="I184" s="41">
        <v>0</v>
      </c>
      <c r="J184" s="41" t="s">
        <v>32</v>
      </c>
      <c r="K184" s="42"/>
      <c r="L184" s="41" t="s">
        <v>1561</v>
      </c>
      <c r="M184" s="41">
        <v>66</v>
      </c>
      <c r="N184" s="41" t="s">
        <v>67</v>
      </c>
      <c r="O184" s="41" t="s">
        <v>388</v>
      </c>
      <c r="P184" s="41" t="s">
        <v>1046</v>
      </c>
      <c r="Q184" s="41" t="s">
        <v>1562</v>
      </c>
      <c r="R184" s="41" t="s">
        <v>132</v>
      </c>
      <c r="S184" s="41" t="s">
        <v>40</v>
      </c>
      <c r="T184" s="41" t="s">
        <v>40</v>
      </c>
      <c r="U184" s="41" t="s">
        <v>40</v>
      </c>
    </row>
    <row r="185" spans="1:21">
      <c r="A185" s="41">
        <v>2765</v>
      </c>
      <c r="B185" s="41" t="s">
        <v>1563</v>
      </c>
      <c r="D185" s="41">
        <v>6165</v>
      </c>
      <c r="E185" s="41" t="s">
        <v>1106</v>
      </c>
      <c r="F185" s="41" t="s">
        <v>42</v>
      </c>
      <c r="G185" s="41" t="s">
        <v>1564</v>
      </c>
      <c r="I185" s="41">
        <v>0</v>
      </c>
      <c r="J185" s="41" t="s">
        <v>32</v>
      </c>
      <c r="K185" s="42"/>
      <c r="L185" s="41" t="s">
        <v>1565</v>
      </c>
      <c r="M185" s="41">
        <v>220</v>
      </c>
      <c r="N185" s="41" t="s">
        <v>1566</v>
      </c>
      <c r="O185" s="41" t="s">
        <v>77</v>
      </c>
      <c r="P185" s="41" t="s">
        <v>153</v>
      </c>
      <c r="Q185" s="41" t="s">
        <v>1567</v>
      </c>
      <c r="R185" s="41" t="s">
        <v>39</v>
      </c>
      <c r="S185" s="41" t="s">
        <v>40</v>
      </c>
      <c r="T185" s="41" t="s">
        <v>40</v>
      </c>
      <c r="U185" s="41" t="s">
        <v>40</v>
      </c>
    </row>
    <row r="186" spans="1:21">
      <c r="A186" s="41">
        <v>2764</v>
      </c>
      <c r="B186" s="41" t="s">
        <v>1568</v>
      </c>
      <c r="D186" s="41">
        <v>6167</v>
      </c>
      <c r="E186" s="41" t="s">
        <v>1569</v>
      </c>
      <c r="F186" s="41" t="s">
        <v>42</v>
      </c>
      <c r="G186" s="41" t="s">
        <v>1036</v>
      </c>
      <c r="I186" s="41" t="s">
        <v>1570</v>
      </c>
      <c r="J186" s="41" t="s">
        <v>32</v>
      </c>
      <c r="K186" s="42"/>
      <c r="L186" s="41" t="s">
        <v>1571</v>
      </c>
      <c r="M186" s="41">
        <v>220</v>
      </c>
      <c r="N186" s="41" t="s">
        <v>59</v>
      </c>
      <c r="O186" s="41" t="s">
        <v>1572</v>
      </c>
      <c r="P186" s="41" t="s">
        <v>50</v>
      </c>
      <c r="Q186" s="41" t="s">
        <v>51</v>
      </c>
      <c r="R186" s="41" t="s">
        <v>39</v>
      </c>
      <c r="S186" s="41" t="s">
        <v>40</v>
      </c>
      <c r="T186" s="41" t="s">
        <v>40</v>
      </c>
      <c r="U186" s="41" t="s">
        <v>40</v>
      </c>
    </row>
    <row r="187" spans="1:21">
      <c r="A187" s="41">
        <v>2763</v>
      </c>
      <c r="B187" s="41" t="s">
        <v>1573</v>
      </c>
      <c r="D187" s="41">
        <v>6174</v>
      </c>
      <c r="E187" s="41" t="s">
        <v>965</v>
      </c>
      <c r="F187" s="41" t="s">
        <v>28</v>
      </c>
      <c r="G187" s="41" t="s">
        <v>64</v>
      </c>
      <c r="I187" s="41">
        <v>0</v>
      </c>
      <c r="J187" s="41" t="s">
        <v>32</v>
      </c>
      <c r="K187" s="42"/>
      <c r="L187" s="41" t="s">
        <v>967</v>
      </c>
      <c r="M187" s="41">
        <v>220</v>
      </c>
      <c r="N187" s="41" t="s">
        <v>1574</v>
      </c>
      <c r="O187" s="41" t="s">
        <v>968</v>
      </c>
      <c r="P187" s="41" t="s">
        <v>37</v>
      </c>
      <c r="Q187" s="41" t="s">
        <v>969</v>
      </c>
      <c r="R187" s="41" t="s">
        <v>39</v>
      </c>
      <c r="S187" s="41" t="s">
        <v>40</v>
      </c>
      <c r="T187" s="41" t="s">
        <v>40</v>
      </c>
      <c r="U187" s="41" t="s">
        <v>40</v>
      </c>
    </row>
    <row r="188" spans="1:21">
      <c r="A188" s="41">
        <v>2762</v>
      </c>
      <c r="B188" s="41" t="s">
        <v>1575</v>
      </c>
      <c r="D188" s="41">
        <v>6164</v>
      </c>
      <c r="E188" s="41" t="s">
        <v>1576</v>
      </c>
      <c r="F188" s="41" t="s">
        <v>28</v>
      </c>
      <c r="G188" s="41" t="s">
        <v>1162</v>
      </c>
      <c r="I188" s="41">
        <v>0</v>
      </c>
      <c r="J188" s="41" t="s">
        <v>672</v>
      </c>
      <c r="K188" s="42"/>
      <c r="L188" s="41" t="s">
        <v>1577</v>
      </c>
      <c r="M188" s="41">
        <v>110</v>
      </c>
      <c r="N188" s="41" t="s">
        <v>1578</v>
      </c>
      <c r="O188" s="41" t="s">
        <v>1579</v>
      </c>
      <c r="P188" s="41" t="s">
        <v>98</v>
      </c>
      <c r="Q188" s="41" t="s">
        <v>99</v>
      </c>
      <c r="R188" s="41" t="s">
        <v>39</v>
      </c>
      <c r="S188" s="41" t="s">
        <v>40</v>
      </c>
      <c r="T188" s="41" t="s">
        <v>40</v>
      </c>
      <c r="U188" s="41" t="s">
        <v>40</v>
      </c>
    </row>
    <row r="189" spans="1:21">
      <c r="A189" s="41">
        <v>2761</v>
      </c>
      <c r="B189" s="41" t="s">
        <v>1580</v>
      </c>
      <c r="D189" s="41">
        <v>6178</v>
      </c>
      <c r="E189" s="41" t="s">
        <v>1581</v>
      </c>
      <c r="F189" s="41" t="s">
        <v>28</v>
      </c>
      <c r="G189" s="41" t="s">
        <v>1300</v>
      </c>
      <c r="I189" s="41" t="s">
        <v>45</v>
      </c>
      <c r="J189" s="41" t="s">
        <v>32</v>
      </c>
      <c r="K189" s="42"/>
      <c r="L189" s="41" t="s">
        <v>1582</v>
      </c>
      <c r="M189" s="41">
        <v>220</v>
      </c>
      <c r="N189" s="41" t="s">
        <v>1583</v>
      </c>
      <c r="O189" s="41" t="s">
        <v>1584</v>
      </c>
      <c r="P189" s="41" t="s">
        <v>68</v>
      </c>
      <c r="Q189" s="41" t="s">
        <v>69</v>
      </c>
      <c r="R189" s="41" t="s">
        <v>39</v>
      </c>
      <c r="S189" s="41" t="s">
        <v>40</v>
      </c>
      <c r="T189" s="41" t="s">
        <v>40</v>
      </c>
      <c r="U189" s="41" t="s">
        <v>40</v>
      </c>
    </row>
    <row r="190" spans="1:21">
      <c r="A190" s="41">
        <v>2760</v>
      </c>
      <c r="B190" s="41" t="s">
        <v>1585</v>
      </c>
      <c r="D190" s="41">
        <v>6160</v>
      </c>
      <c r="E190" s="41" t="s">
        <v>1106</v>
      </c>
      <c r="F190" s="41" t="s">
        <v>53</v>
      </c>
      <c r="G190" s="41" t="s">
        <v>64</v>
      </c>
      <c r="I190" s="41">
        <v>0</v>
      </c>
      <c r="J190" s="41" t="s">
        <v>32</v>
      </c>
      <c r="K190" s="42"/>
      <c r="L190" s="41" t="s">
        <v>1586</v>
      </c>
      <c r="M190" s="41">
        <v>220</v>
      </c>
      <c r="N190" s="41" t="s">
        <v>19</v>
      </c>
      <c r="O190" s="41" t="s">
        <v>271</v>
      </c>
      <c r="P190" s="41" t="s">
        <v>83</v>
      </c>
      <c r="Q190" s="41" t="s">
        <v>1587</v>
      </c>
      <c r="R190" s="41" t="s">
        <v>62</v>
      </c>
      <c r="S190" s="41" t="s">
        <v>40</v>
      </c>
      <c r="T190" s="41" t="s">
        <v>40</v>
      </c>
      <c r="U190" s="41" t="s">
        <v>40</v>
      </c>
    </row>
    <row r="191" spans="1:21">
      <c r="A191" s="41">
        <v>2759</v>
      </c>
      <c r="B191" s="41" t="s">
        <v>1588</v>
      </c>
      <c r="D191" s="41">
        <v>6161</v>
      </c>
      <c r="E191" s="41" t="s">
        <v>1106</v>
      </c>
      <c r="F191" s="41" t="s">
        <v>53</v>
      </c>
      <c r="G191" s="41" t="s">
        <v>175</v>
      </c>
      <c r="I191" s="41">
        <v>0</v>
      </c>
      <c r="J191" s="41" t="s">
        <v>32</v>
      </c>
      <c r="K191" s="42"/>
      <c r="L191" s="41" t="s">
        <v>1589</v>
      </c>
      <c r="M191" s="41">
        <v>23</v>
      </c>
      <c r="N191" s="41" t="s">
        <v>1590</v>
      </c>
      <c r="O191" s="41" t="s">
        <v>291</v>
      </c>
      <c r="P191" s="41" t="s">
        <v>334</v>
      </c>
      <c r="Q191" s="41" t="s">
        <v>1591</v>
      </c>
      <c r="R191" s="41" t="s">
        <v>132</v>
      </c>
      <c r="S191" s="41" t="s">
        <v>40</v>
      </c>
      <c r="T191" s="41" t="s">
        <v>40</v>
      </c>
      <c r="U191" s="41" t="s">
        <v>40</v>
      </c>
    </row>
    <row r="192" spans="1:21">
      <c r="A192" s="41">
        <v>2758</v>
      </c>
      <c r="B192" s="41" t="s">
        <v>986</v>
      </c>
      <c r="D192" s="41">
        <v>6159</v>
      </c>
      <c r="E192" s="41" t="s">
        <v>992</v>
      </c>
      <c r="F192" s="41" t="s">
        <v>28</v>
      </c>
      <c r="G192" s="41" t="s">
        <v>64</v>
      </c>
      <c r="I192" s="41">
        <v>0</v>
      </c>
      <c r="J192" s="41" t="s">
        <v>32</v>
      </c>
      <c r="K192" s="42"/>
      <c r="L192" s="41" t="s">
        <v>1592</v>
      </c>
      <c r="M192" s="41">
        <v>23</v>
      </c>
      <c r="N192" s="41" t="s">
        <v>340</v>
      </c>
      <c r="O192" s="41" t="s">
        <v>1593</v>
      </c>
      <c r="P192" s="41" t="s">
        <v>60</v>
      </c>
      <c r="Q192" s="41" t="s">
        <v>990</v>
      </c>
      <c r="R192" s="41" t="s">
        <v>39</v>
      </c>
      <c r="S192" s="41" t="s">
        <v>40</v>
      </c>
      <c r="T192" s="41" t="s">
        <v>40</v>
      </c>
      <c r="U192" s="41" t="s">
        <v>40</v>
      </c>
    </row>
    <row r="193" spans="1:21">
      <c r="A193" s="41">
        <v>2757</v>
      </c>
      <c r="B193" s="41" t="s">
        <v>986</v>
      </c>
      <c r="E193" s="41" t="s">
        <v>992</v>
      </c>
      <c r="F193" s="41" t="s">
        <v>28</v>
      </c>
      <c r="G193" s="41" t="s">
        <v>43</v>
      </c>
      <c r="I193" s="41" t="s">
        <v>149</v>
      </c>
      <c r="J193" s="41" t="s">
        <v>32</v>
      </c>
      <c r="K193" s="42"/>
      <c r="L193" s="41" t="s">
        <v>1594</v>
      </c>
      <c r="M193" s="41">
        <v>23</v>
      </c>
      <c r="N193" s="41" t="s">
        <v>340</v>
      </c>
      <c r="O193" s="41" t="s">
        <v>1593</v>
      </c>
      <c r="P193" s="41" t="s">
        <v>60</v>
      </c>
      <c r="Q193" s="41" t="s">
        <v>990</v>
      </c>
      <c r="R193" s="41" t="s">
        <v>39</v>
      </c>
      <c r="S193" s="41" t="s">
        <v>40</v>
      </c>
      <c r="T193" s="41" t="s">
        <v>40</v>
      </c>
      <c r="U193" s="41" t="s">
        <v>40</v>
      </c>
    </row>
    <row r="194" spans="1:21">
      <c r="A194" s="41">
        <v>2756</v>
      </c>
      <c r="B194" s="41" t="s">
        <v>1595</v>
      </c>
      <c r="D194" s="41">
        <v>6147</v>
      </c>
      <c r="E194" s="41" t="s">
        <v>27</v>
      </c>
      <c r="F194" s="41" t="s">
        <v>28</v>
      </c>
      <c r="G194" s="41" t="s">
        <v>64</v>
      </c>
      <c r="I194" s="41">
        <v>0</v>
      </c>
      <c r="J194" s="41" t="s">
        <v>32</v>
      </c>
      <c r="K194" s="42"/>
      <c r="L194" s="41" t="s">
        <v>289</v>
      </c>
      <c r="M194" s="41">
        <v>23</v>
      </c>
      <c r="N194" s="41" t="s">
        <v>1596</v>
      </c>
      <c r="O194" s="41" t="s">
        <v>49</v>
      </c>
      <c r="P194" s="41" t="s">
        <v>98</v>
      </c>
      <c r="Q194" s="41" t="s">
        <v>98</v>
      </c>
      <c r="R194" s="41" t="s">
        <v>39</v>
      </c>
      <c r="S194" s="41" t="s">
        <v>40</v>
      </c>
      <c r="T194" s="41" t="s">
        <v>40</v>
      </c>
      <c r="U194" s="41" t="s">
        <v>40</v>
      </c>
    </row>
    <row r="195" spans="1:21">
      <c r="A195" s="41">
        <v>2755</v>
      </c>
      <c r="B195" s="41" t="s">
        <v>1597</v>
      </c>
      <c r="D195" s="41">
        <v>6146</v>
      </c>
      <c r="E195" s="41" t="s">
        <v>1435</v>
      </c>
      <c r="F195" s="41" t="s">
        <v>28</v>
      </c>
      <c r="G195" s="41" t="s">
        <v>64</v>
      </c>
      <c r="I195" s="41">
        <v>0</v>
      </c>
      <c r="J195" s="41" t="s">
        <v>32</v>
      </c>
      <c r="K195" s="42"/>
      <c r="L195" s="41" t="s">
        <v>1598</v>
      </c>
      <c r="M195" s="41">
        <v>220</v>
      </c>
      <c r="N195" s="41" t="s">
        <v>1411</v>
      </c>
      <c r="O195" s="41" t="s">
        <v>1599</v>
      </c>
      <c r="P195" s="41" t="s">
        <v>179</v>
      </c>
      <c r="Q195" s="41" t="s">
        <v>284</v>
      </c>
      <c r="R195" s="41" t="s">
        <v>39</v>
      </c>
      <c r="S195" s="41" t="s">
        <v>40</v>
      </c>
      <c r="T195" s="41" t="s">
        <v>40</v>
      </c>
      <c r="U195" s="41" t="s">
        <v>40</v>
      </c>
    </row>
    <row r="196" spans="1:21">
      <c r="A196" s="41">
        <v>2754</v>
      </c>
      <c r="B196" s="41" t="s">
        <v>1600</v>
      </c>
      <c r="D196" s="41">
        <v>6144</v>
      </c>
      <c r="E196" s="41" t="s">
        <v>1601</v>
      </c>
      <c r="F196" s="41" t="s">
        <v>53</v>
      </c>
      <c r="G196" s="41" t="s">
        <v>127</v>
      </c>
      <c r="I196" s="41">
        <v>0</v>
      </c>
      <c r="J196" s="41" t="s">
        <v>672</v>
      </c>
      <c r="K196" s="42"/>
      <c r="L196" s="41" t="s">
        <v>1602</v>
      </c>
      <c r="M196" s="41">
        <v>110</v>
      </c>
      <c r="N196" s="41" t="s">
        <v>1603</v>
      </c>
      <c r="O196" s="41" t="s">
        <v>333</v>
      </c>
      <c r="P196" s="41" t="s">
        <v>68</v>
      </c>
      <c r="Q196" s="41" t="s">
        <v>184</v>
      </c>
      <c r="R196" s="41" t="s">
        <v>132</v>
      </c>
      <c r="S196" s="41" t="s">
        <v>40</v>
      </c>
      <c r="T196" s="41" t="s">
        <v>40</v>
      </c>
      <c r="U196" s="41" t="s">
        <v>40</v>
      </c>
    </row>
    <row r="197" spans="1:21">
      <c r="A197" s="41">
        <v>2753</v>
      </c>
      <c r="B197" s="41" t="s">
        <v>1604</v>
      </c>
      <c r="D197" s="41">
        <v>6142</v>
      </c>
      <c r="E197" s="41" t="s">
        <v>1196</v>
      </c>
      <c r="F197" s="41" t="s">
        <v>42</v>
      </c>
      <c r="G197" s="41" t="s">
        <v>1369</v>
      </c>
      <c r="I197" s="41">
        <v>0</v>
      </c>
      <c r="J197" s="41" t="s">
        <v>32</v>
      </c>
      <c r="K197" s="42"/>
      <c r="L197" s="41" t="s">
        <v>1198</v>
      </c>
      <c r="M197" s="41">
        <v>33</v>
      </c>
      <c r="N197" s="41" t="s">
        <v>1199</v>
      </c>
      <c r="O197" s="41" t="s">
        <v>1200</v>
      </c>
      <c r="P197" s="41" t="s">
        <v>98</v>
      </c>
      <c r="Q197" s="41" t="s">
        <v>491</v>
      </c>
      <c r="R197" s="41" t="s">
        <v>39</v>
      </c>
      <c r="S197" s="41" t="s">
        <v>40</v>
      </c>
      <c r="T197" s="41" t="s">
        <v>40</v>
      </c>
      <c r="U197" s="41" t="s">
        <v>40</v>
      </c>
    </row>
    <row r="198" spans="1:21">
      <c r="A198" s="41">
        <v>2752</v>
      </c>
      <c r="B198" s="41" t="s">
        <v>1605</v>
      </c>
      <c r="D198" s="41">
        <v>6141</v>
      </c>
      <c r="E198" s="41" t="s">
        <v>1435</v>
      </c>
      <c r="F198" s="41" t="s">
        <v>28</v>
      </c>
      <c r="G198" s="41" t="s">
        <v>1300</v>
      </c>
      <c r="I198" s="41">
        <v>0</v>
      </c>
      <c r="J198" s="41" t="s">
        <v>295</v>
      </c>
      <c r="K198" s="42"/>
      <c r="L198" s="41" t="s">
        <v>1606</v>
      </c>
      <c r="M198" s="41">
        <v>220</v>
      </c>
      <c r="N198" s="41" t="s">
        <v>1566</v>
      </c>
      <c r="O198" s="41" t="s">
        <v>1607</v>
      </c>
      <c r="P198" s="41" t="s">
        <v>50</v>
      </c>
      <c r="Q198" s="41" t="s">
        <v>1499</v>
      </c>
      <c r="R198" s="41" t="s">
        <v>39</v>
      </c>
      <c r="S198" s="41" t="s">
        <v>40</v>
      </c>
      <c r="T198" s="41" t="s">
        <v>40</v>
      </c>
      <c r="U198" s="41" t="s">
        <v>40</v>
      </c>
    </row>
    <row r="199" spans="1:21">
      <c r="A199" s="41">
        <v>2751</v>
      </c>
      <c r="B199" s="41" t="s">
        <v>1608</v>
      </c>
      <c r="D199" s="41">
        <v>6140</v>
      </c>
      <c r="E199" s="41" t="s">
        <v>1609</v>
      </c>
      <c r="F199" s="41" t="s">
        <v>28</v>
      </c>
      <c r="G199" s="41" t="s">
        <v>1308</v>
      </c>
      <c r="I199" s="41" t="s">
        <v>338</v>
      </c>
      <c r="J199" s="41" t="s">
        <v>32</v>
      </c>
      <c r="K199" s="42"/>
      <c r="L199" s="41" t="s">
        <v>1610</v>
      </c>
      <c r="M199" s="41">
        <v>33</v>
      </c>
      <c r="N199" s="41" t="s">
        <v>59</v>
      </c>
      <c r="O199" s="41" t="s">
        <v>1611</v>
      </c>
      <c r="P199" s="41" t="s">
        <v>98</v>
      </c>
      <c r="Q199" s="41" t="s">
        <v>98</v>
      </c>
      <c r="R199" s="41" t="s">
        <v>39</v>
      </c>
      <c r="S199" s="41" t="s">
        <v>40</v>
      </c>
      <c r="T199" s="41" t="s">
        <v>40</v>
      </c>
      <c r="U199" s="41" t="s">
        <v>40</v>
      </c>
    </row>
    <row r="200" spans="1:21">
      <c r="A200" s="41">
        <v>2750</v>
      </c>
      <c r="B200" s="41" t="s">
        <v>1612</v>
      </c>
      <c r="D200" s="41">
        <v>6139</v>
      </c>
      <c r="E200" s="41" t="s">
        <v>1613</v>
      </c>
      <c r="F200" s="41" t="s">
        <v>53</v>
      </c>
      <c r="G200" s="41" t="s">
        <v>64</v>
      </c>
      <c r="I200" s="41" t="s">
        <v>135</v>
      </c>
      <c r="J200" s="41" t="s">
        <v>295</v>
      </c>
      <c r="K200" s="42"/>
      <c r="L200" s="41" t="s">
        <v>1614</v>
      </c>
      <c r="M200" s="41">
        <v>220</v>
      </c>
      <c r="N200" s="41" t="s">
        <v>59</v>
      </c>
      <c r="O200" s="41" t="s">
        <v>1615</v>
      </c>
      <c r="P200" s="41" t="s">
        <v>172</v>
      </c>
      <c r="Q200" s="41" t="s">
        <v>197</v>
      </c>
      <c r="R200" s="41" t="s">
        <v>132</v>
      </c>
      <c r="S200" s="41" t="s">
        <v>40</v>
      </c>
      <c r="T200" s="41" t="s">
        <v>40</v>
      </c>
      <c r="U200" s="41" t="s">
        <v>40</v>
      </c>
    </row>
    <row r="201" spans="1:21">
      <c r="A201" s="41">
        <v>2749</v>
      </c>
      <c r="B201" s="41" t="s">
        <v>1616</v>
      </c>
      <c r="D201" s="41">
        <v>6135</v>
      </c>
      <c r="E201" s="41" t="s">
        <v>1617</v>
      </c>
      <c r="F201" s="41" t="s">
        <v>28</v>
      </c>
      <c r="G201" s="41" t="s">
        <v>301</v>
      </c>
      <c r="I201" s="41">
        <v>0</v>
      </c>
      <c r="J201" s="41" t="s">
        <v>32</v>
      </c>
      <c r="K201" s="42"/>
      <c r="L201" s="41" t="s">
        <v>1618</v>
      </c>
      <c r="M201" s="41">
        <v>220</v>
      </c>
      <c r="N201" s="41" t="s">
        <v>1619</v>
      </c>
      <c r="O201" s="41" t="s">
        <v>138</v>
      </c>
      <c r="P201" s="41" t="s">
        <v>153</v>
      </c>
      <c r="Q201" s="41" t="s">
        <v>153</v>
      </c>
      <c r="R201" s="41" t="s">
        <v>39</v>
      </c>
      <c r="S201" s="41" t="s">
        <v>1620</v>
      </c>
      <c r="T201" s="41" t="s">
        <v>1621</v>
      </c>
      <c r="U201" s="41" t="s">
        <v>40</v>
      </c>
    </row>
    <row r="202" spans="1:21">
      <c r="A202" s="41">
        <v>2748</v>
      </c>
      <c r="B202" s="41" t="s">
        <v>1373</v>
      </c>
      <c r="D202" s="41">
        <v>6133</v>
      </c>
      <c r="E202" s="41" t="s">
        <v>971</v>
      </c>
      <c r="F202" s="41" t="s">
        <v>53</v>
      </c>
      <c r="G202" s="41" t="s">
        <v>64</v>
      </c>
      <c r="I202" s="41">
        <v>0</v>
      </c>
      <c r="J202" s="41" t="s">
        <v>32</v>
      </c>
      <c r="K202" s="42"/>
      <c r="L202" s="41" t="s">
        <v>1622</v>
      </c>
      <c r="M202" s="41">
        <v>220</v>
      </c>
      <c r="N202" s="41" t="s">
        <v>1623</v>
      </c>
      <c r="O202" s="41" t="s">
        <v>1376</v>
      </c>
      <c r="P202" s="41" t="s">
        <v>98</v>
      </c>
      <c r="Q202" s="41" t="s">
        <v>98</v>
      </c>
      <c r="R202" s="41" t="s">
        <v>62</v>
      </c>
      <c r="S202" s="41" t="s">
        <v>40</v>
      </c>
      <c r="T202" s="41" t="s">
        <v>40</v>
      </c>
      <c r="U202" s="41" t="s">
        <v>40</v>
      </c>
    </row>
    <row r="203" spans="1:21">
      <c r="A203" s="41">
        <v>2747</v>
      </c>
      <c r="B203" s="41" t="s">
        <v>1624</v>
      </c>
      <c r="D203" s="41">
        <v>6132</v>
      </c>
      <c r="E203" s="41" t="s">
        <v>971</v>
      </c>
      <c r="F203" s="41" t="s">
        <v>53</v>
      </c>
      <c r="G203" s="41" t="s">
        <v>64</v>
      </c>
      <c r="I203" s="41">
        <v>0</v>
      </c>
      <c r="J203" s="41" t="s">
        <v>32</v>
      </c>
      <c r="K203" s="42"/>
      <c r="L203" s="41" t="s">
        <v>1625</v>
      </c>
      <c r="M203" s="41">
        <v>220</v>
      </c>
      <c r="N203" s="41" t="s">
        <v>1014</v>
      </c>
      <c r="O203" s="41" t="s">
        <v>1379</v>
      </c>
      <c r="P203" s="41" t="s">
        <v>68</v>
      </c>
      <c r="Q203" s="41" t="s">
        <v>403</v>
      </c>
      <c r="R203" s="41" t="s">
        <v>62</v>
      </c>
      <c r="S203" s="41" t="s">
        <v>40</v>
      </c>
      <c r="T203" s="41" t="s">
        <v>40</v>
      </c>
      <c r="U203" s="41" t="s">
        <v>40</v>
      </c>
    </row>
    <row r="204" spans="1:21">
      <c r="A204" s="41">
        <v>2746</v>
      </c>
      <c r="B204" s="41" t="s">
        <v>1626</v>
      </c>
      <c r="D204" s="41">
        <v>6131</v>
      </c>
      <c r="E204" s="41" t="s">
        <v>1627</v>
      </c>
      <c r="F204" s="41" t="s">
        <v>53</v>
      </c>
      <c r="G204" s="41" t="s">
        <v>64</v>
      </c>
      <c r="I204" s="41">
        <v>0</v>
      </c>
      <c r="J204" s="41" t="s">
        <v>32</v>
      </c>
      <c r="K204" s="42"/>
      <c r="L204" s="41" t="s">
        <v>1628</v>
      </c>
      <c r="M204" s="41">
        <v>500</v>
      </c>
      <c r="N204" s="41" t="s">
        <v>1629</v>
      </c>
      <c r="O204" s="41" t="s">
        <v>1630</v>
      </c>
      <c r="P204" s="41" t="s">
        <v>98</v>
      </c>
      <c r="Q204" s="41" t="s">
        <v>99</v>
      </c>
      <c r="R204" s="41" t="s">
        <v>62</v>
      </c>
      <c r="S204" s="41" t="s">
        <v>40</v>
      </c>
      <c r="T204" s="41" t="s">
        <v>40</v>
      </c>
      <c r="U204" s="41" t="s">
        <v>40</v>
      </c>
    </row>
    <row r="205" spans="1:21">
      <c r="A205" s="41">
        <v>2745</v>
      </c>
      <c r="B205" s="41" t="s">
        <v>1631</v>
      </c>
      <c r="D205" s="41">
        <v>6129</v>
      </c>
      <c r="E205" s="41" t="s">
        <v>1248</v>
      </c>
      <c r="F205" s="41" t="s">
        <v>53</v>
      </c>
      <c r="G205" s="41" t="s">
        <v>1071</v>
      </c>
      <c r="I205" s="41">
        <v>0</v>
      </c>
      <c r="J205" s="41" t="s">
        <v>672</v>
      </c>
      <c r="K205" s="42"/>
      <c r="L205" s="41" t="s">
        <v>1632</v>
      </c>
      <c r="M205" s="41">
        <v>23</v>
      </c>
      <c r="N205" s="41" t="s">
        <v>1241</v>
      </c>
      <c r="O205" s="41" t="s">
        <v>989</v>
      </c>
      <c r="P205" s="41" t="s">
        <v>83</v>
      </c>
      <c r="Q205" s="41" t="s">
        <v>467</v>
      </c>
      <c r="R205" s="41" t="s">
        <v>132</v>
      </c>
      <c r="S205" s="41" t="s">
        <v>40</v>
      </c>
      <c r="T205" s="41" t="s">
        <v>40</v>
      </c>
      <c r="U205" s="41" t="s">
        <v>40</v>
      </c>
    </row>
    <row r="206" spans="1:21">
      <c r="A206" s="41">
        <v>2744</v>
      </c>
      <c r="B206" s="41" t="s">
        <v>1633</v>
      </c>
      <c r="D206" s="41">
        <v>6130</v>
      </c>
      <c r="E206" s="41" t="s">
        <v>1248</v>
      </c>
      <c r="F206" s="41" t="s">
        <v>53</v>
      </c>
      <c r="G206" s="41" t="s">
        <v>1071</v>
      </c>
      <c r="I206" s="41">
        <v>0</v>
      </c>
      <c r="J206" s="41" t="s">
        <v>672</v>
      </c>
      <c r="K206" s="42"/>
      <c r="L206" s="41" t="s">
        <v>1632</v>
      </c>
      <c r="M206" s="41">
        <v>23</v>
      </c>
      <c r="N206" s="41" t="s">
        <v>1241</v>
      </c>
      <c r="O206" s="41" t="s">
        <v>565</v>
      </c>
      <c r="P206" s="41" t="s">
        <v>83</v>
      </c>
      <c r="Q206" s="41" t="s">
        <v>467</v>
      </c>
      <c r="R206" s="41" t="s">
        <v>132</v>
      </c>
      <c r="S206" s="41" t="s">
        <v>40</v>
      </c>
      <c r="T206" s="41" t="s">
        <v>40</v>
      </c>
      <c r="U206" s="41" t="s">
        <v>40</v>
      </c>
    </row>
    <row r="207" spans="1:21">
      <c r="A207" s="41">
        <v>2743</v>
      </c>
      <c r="B207" s="41" t="s">
        <v>1634</v>
      </c>
      <c r="D207" s="41">
        <v>6128</v>
      </c>
      <c r="E207" s="41" t="s">
        <v>27</v>
      </c>
      <c r="F207" s="41" t="s">
        <v>53</v>
      </c>
      <c r="G207" s="41" t="s">
        <v>175</v>
      </c>
      <c r="I207" s="41">
        <v>0</v>
      </c>
      <c r="J207" s="41" t="s">
        <v>32</v>
      </c>
      <c r="K207" s="42"/>
      <c r="L207" s="41" t="s">
        <v>1635</v>
      </c>
      <c r="M207" s="41">
        <v>500</v>
      </c>
      <c r="N207" s="41" t="s">
        <v>67</v>
      </c>
      <c r="O207" s="41" t="s">
        <v>1636</v>
      </c>
      <c r="P207" s="41" t="s">
        <v>68</v>
      </c>
      <c r="Q207" s="41" t="s">
        <v>69</v>
      </c>
      <c r="R207" s="41" t="s">
        <v>62</v>
      </c>
      <c r="S207" s="41" t="s">
        <v>40</v>
      </c>
      <c r="T207" s="41" t="s">
        <v>40</v>
      </c>
      <c r="U207" s="41" t="s">
        <v>40</v>
      </c>
    </row>
    <row r="208" spans="1:21">
      <c r="A208" s="41">
        <v>2742</v>
      </c>
      <c r="B208" s="41" t="s">
        <v>1637</v>
      </c>
      <c r="D208" s="41">
        <v>6127</v>
      </c>
      <c r="E208" s="41" t="s">
        <v>1638</v>
      </c>
      <c r="F208" s="41" t="s">
        <v>42</v>
      </c>
      <c r="G208" s="41" t="s">
        <v>141</v>
      </c>
      <c r="I208" s="41">
        <v>0</v>
      </c>
      <c r="J208" s="41" t="s">
        <v>32</v>
      </c>
      <c r="K208" s="42"/>
      <c r="L208" s="41" t="s">
        <v>1639</v>
      </c>
      <c r="M208" s="41">
        <v>33</v>
      </c>
      <c r="N208" s="41" t="s">
        <v>1640</v>
      </c>
      <c r="O208" s="41" t="s">
        <v>1640</v>
      </c>
      <c r="P208" s="41" t="s">
        <v>179</v>
      </c>
      <c r="Q208" s="41" t="s">
        <v>1116</v>
      </c>
      <c r="R208" s="41" t="s">
        <v>39</v>
      </c>
      <c r="S208" s="41" t="s">
        <v>40</v>
      </c>
      <c r="T208" s="41" t="s">
        <v>146</v>
      </c>
      <c r="U208" s="41" t="s">
        <v>40</v>
      </c>
    </row>
    <row r="209" spans="1:21">
      <c r="A209" s="41">
        <v>2741</v>
      </c>
      <c r="B209" s="41" t="s">
        <v>1641</v>
      </c>
      <c r="D209" s="41">
        <v>6120</v>
      </c>
      <c r="E209" s="41" t="s">
        <v>1642</v>
      </c>
      <c r="F209" s="41" t="s">
        <v>53</v>
      </c>
      <c r="G209" s="41" t="s">
        <v>64</v>
      </c>
      <c r="I209" s="41">
        <v>0</v>
      </c>
      <c r="J209" s="41" t="s">
        <v>672</v>
      </c>
      <c r="K209" s="42"/>
      <c r="L209" s="41" t="s">
        <v>1643</v>
      </c>
      <c r="M209" s="41">
        <v>23</v>
      </c>
      <c r="N209" s="41" t="s">
        <v>1644</v>
      </c>
      <c r="O209" s="41" t="s">
        <v>1645</v>
      </c>
      <c r="P209" s="41" t="s">
        <v>98</v>
      </c>
      <c r="Q209" s="41" t="s">
        <v>116</v>
      </c>
      <c r="R209" s="41" t="s">
        <v>132</v>
      </c>
      <c r="S209" s="41" t="s">
        <v>40</v>
      </c>
      <c r="T209" s="41" t="s">
        <v>40</v>
      </c>
      <c r="U209" s="41" t="s">
        <v>40</v>
      </c>
    </row>
    <row r="210" spans="1:21">
      <c r="A210" s="41">
        <v>2740</v>
      </c>
      <c r="B210" s="41" t="s">
        <v>1646</v>
      </c>
      <c r="C210" s="41">
        <v>1</v>
      </c>
      <c r="D210" s="41">
        <v>6119</v>
      </c>
      <c r="E210" s="41" t="s">
        <v>722</v>
      </c>
      <c r="F210" s="41" t="s">
        <v>53</v>
      </c>
      <c r="G210" s="41" t="s">
        <v>175</v>
      </c>
      <c r="H210" s="42">
        <v>45926</v>
      </c>
      <c r="I210" s="41">
        <v>0</v>
      </c>
      <c r="J210" s="41" t="s">
        <v>672</v>
      </c>
      <c r="K210" s="42">
        <v>47572</v>
      </c>
      <c r="L210" s="41" t="s">
        <v>1647</v>
      </c>
      <c r="M210" s="41">
        <v>12</v>
      </c>
      <c r="N210" s="41" t="s">
        <v>1648</v>
      </c>
      <c r="O210" s="41" t="s">
        <v>1649</v>
      </c>
      <c r="P210" s="41" t="s">
        <v>68</v>
      </c>
      <c r="Q210" s="41" t="s">
        <v>728</v>
      </c>
      <c r="R210" s="41" t="s">
        <v>62</v>
      </c>
      <c r="S210" s="41" t="s">
        <v>40</v>
      </c>
      <c r="T210" s="41" t="s">
        <v>40</v>
      </c>
      <c r="U210" s="41" t="s">
        <v>40</v>
      </c>
    </row>
    <row r="211" spans="1:21">
      <c r="A211" s="41">
        <v>2739</v>
      </c>
      <c r="B211" s="41" t="s">
        <v>1650</v>
      </c>
      <c r="D211" s="41">
        <v>6117</v>
      </c>
      <c r="E211" s="41" t="s">
        <v>1196</v>
      </c>
      <c r="F211" s="41" t="s">
        <v>28</v>
      </c>
      <c r="G211" s="41" t="s">
        <v>64</v>
      </c>
      <c r="I211" s="41">
        <v>0</v>
      </c>
      <c r="J211" s="41" t="s">
        <v>32</v>
      </c>
      <c r="K211" s="42"/>
      <c r="L211" s="41" t="s">
        <v>1346</v>
      </c>
      <c r="M211" s="41">
        <v>33</v>
      </c>
      <c r="N211" s="41" t="s">
        <v>1347</v>
      </c>
      <c r="O211" s="41" t="s">
        <v>1200</v>
      </c>
      <c r="P211" s="41" t="s">
        <v>60</v>
      </c>
      <c r="Q211" s="41" t="s">
        <v>1348</v>
      </c>
      <c r="R211" s="41" t="s">
        <v>39</v>
      </c>
      <c r="S211" s="41" t="s">
        <v>40</v>
      </c>
      <c r="T211" s="41" t="s">
        <v>40</v>
      </c>
      <c r="U211" s="41" t="s">
        <v>40</v>
      </c>
    </row>
    <row r="212" spans="1:21">
      <c r="A212" s="41">
        <v>2738</v>
      </c>
      <c r="B212" s="41" t="s">
        <v>1650</v>
      </c>
      <c r="D212" s="41">
        <v>6116</v>
      </c>
      <c r="E212" s="41" t="s">
        <v>1196</v>
      </c>
      <c r="F212" s="41" t="s">
        <v>42</v>
      </c>
      <c r="G212" s="41" t="s">
        <v>1175</v>
      </c>
      <c r="I212" s="41">
        <v>0</v>
      </c>
      <c r="J212" s="41" t="s">
        <v>32</v>
      </c>
      <c r="K212" s="42"/>
      <c r="L212" s="41" t="s">
        <v>1346</v>
      </c>
      <c r="M212" s="41">
        <v>33</v>
      </c>
      <c r="N212" s="41" t="s">
        <v>1347</v>
      </c>
      <c r="O212" s="41" t="s">
        <v>1200</v>
      </c>
      <c r="P212" s="41" t="s">
        <v>60</v>
      </c>
      <c r="Q212" s="41" t="s">
        <v>1348</v>
      </c>
      <c r="R212" s="41" t="s">
        <v>39</v>
      </c>
      <c r="S212" s="41" t="s">
        <v>40</v>
      </c>
      <c r="T212" s="41" t="s">
        <v>40</v>
      </c>
      <c r="U212" s="41" t="s">
        <v>40</v>
      </c>
    </row>
    <row r="213" spans="1:21">
      <c r="A213" s="41">
        <v>2737</v>
      </c>
      <c r="B213" s="41" t="s">
        <v>1651</v>
      </c>
      <c r="D213" s="41">
        <v>6107</v>
      </c>
      <c r="E213" s="41" t="s">
        <v>1227</v>
      </c>
      <c r="F213" s="41" t="s">
        <v>53</v>
      </c>
      <c r="G213" s="41" t="s">
        <v>127</v>
      </c>
      <c r="I213" s="41">
        <v>0</v>
      </c>
      <c r="J213" s="41" t="s">
        <v>1652</v>
      </c>
      <c r="K213" s="42"/>
      <c r="L213" s="41" t="s">
        <v>1229</v>
      </c>
      <c r="M213" s="41">
        <v>220</v>
      </c>
      <c r="N213" s="41" t="s">
        <v>1653</v>
      </c>
      <c r="O213" s="41" t="s">
        <v>1654</v>
      </c>
      <c r="P213" s="41" t="s">
        <v>98</v>
      </c>
      <c r="Q213" s="41" t="s">
        <v>491</v>
      </c>
      <c r="R213" s="41" t="s">
        <v>62</v>
      </c>
      <c r="S213" s="41" t="s">
        <v>40</v>
      </c>
      <c r="T213" s="41" t="s">
        <v>40</v>
      </c>
      <c r="U213" s="41" t="s">
        <v>40</v>
      </c>
    </row>
    <row r="214" spans="1:21">
      <c r="A214" s="41">
        <v>2736</v>
      </c>
      <c r="B214" s="41" t="s">
        <v>1655</v>
      </c>
      <c r="D214" s="41">
        <v>6106</v>
      </c>
      <c r="E214" s="41" t="s">
        <v>1656</v>
      </c>
      <c r="F214" s="41" t="s">
        <v>28</v>
      </c>
      <c r="G214" s="41" t="s">
        <v>1300</v>
      </c>
      <c r="I214" s="41">
        <v>0</v>
      </c>
      <c r="J214" s="41" t="s">
        <v>32</v>
      </c>
      <c r="K214" s="42"/>
      <c r="L214" s="41" t="s">
        <v>1657</v>
      </c>
      <c r="M214" s="41">
        <v>33</v>
      </c>
      <c r="N214" s="41" t="s">
        <v>1401</v>
      </c>
      <c r="O214" s="41" t="s">
        <v>989</v>
      </c>
      <c r="P214" s="41" t="s">
        <v>37</v>
      </c>
      <c r="Q214" s="41" t="s">
        <v>969</v>
      </c>
      <c r="R214" s="41" t="s">
        <v>39</v>
      </c>
      <c r="S214" s="41" t="s">
        <v>40</v>
      </c>
      <c r="T214" s="41" t="s">
        <v>40</v>
      </c>
      <c r="U214" s="41" t="s">
        <v>40</v>
      </c>
    </row>
    <row r="215" spans="1:21">
      <c r="A215" s="41">
        <v>2735</v>
      </c>
      <c r="B215" s="41" t="s">
        <v>1658</v>
      </c>
      <c r="D215" s="41">
        <v>6118</v>
      </c>
      <c r="E215" s="41" t="s">
        <v>1659</v>
      </c>
      <c r="F215" s="41" t="s">
        <v>53</v>
      </c>
      <c r="G215" s="41" t="s">
        <v>127</v>
      </c>
      <c r="I215" s="41">
        <v>0</v>
      </c>
      <c r="J215" s="41" t="s">
        <v>380</v>
      </c>
      <c r="K215" s="42"/>
      <c r="L215" s="41" t="s">
        <v>1660</v>
      </c>
      <c r="M215" s="41">
        <v>220</v>
      </c>
      <c r="N215" s="41" t="s">
        <v>756</v>
      </c>
      <c r="O215" s="41" t="s">
        <v>1045</v>
      </c>
      <c r="P215" s="41" t="s">
        <v>37</v>
      </c>
      <c r="Q215" s="41" t="s">
        <v>1661</v>
      </c>
      <c r="R215" s="41" t="s">
        <v>62</v>
      </c>
      <c r="S215" s="41" t="s">
        <v>40</v>
      </c>
      <c r="T215" s="41" t="s">
        <v>40</v>
      </c>
      <c r="U215" s="41" t="s">
        <v>40</v>
      </c>
    </row>
    <row r="216" spans="1:21">
      <c r="A216" s="41">
        <v>2734</v>
      </c>
      <c r="B216" s="41" t="s">
        <v>1662</v>
      </c>
      <c r="D216" s="41">
        <v>6098</v>
      </c>
      <c r="E216" s="41" t="s">
        <v>1208</v>
      </c>
      <c r="F216" s="41" t="s">
        <v>42</v>
      </c>
      <c r="G216" s="41" t="s">
        <v>1175</v>
      </c>
      <c r="I216" s="41">
        <v>0</v>
      </c>
      <c r="J216" s="41" t="s">
        <v>32</v>
      </c>
      <c r="K216" s="42"/>
      <c r="L216" s="41" t="s">
        <v>1663</v>
      </c>
      <c r="M216" s="41">
        <v>13</v>
      </c>
      <c r="N216" s="41" t="s">
        <v>1664</v>
      </c>
      <c r="O216" s="41" t="s">
        <v>1211</v>
      </c>
      <c r="P216" s="41" t="s">
        <v>98</v>
      </c>
      <c r="Q216" s="41" t="s">
        <v>491</v>
      </c>
      <c r="R216" s="41" t="s">
        <v>39</v>
      </c>
      <c r="S216" s="41" t="s">
        <v>40</v>
      </c>
      <c r="T216" s="41" t="s">
        <v>40</v>
      </c>
      <c r="U216" s="41" t="s">
        <v>40</v>
      </c>
    </row>
    <row r="217" spans="1:21">
      <c r="A217" s="41">
        <v>2733</v>
      </c>
      <c r="B217" s="41" t="s">
        <v>1662</v>
      </c>
      <c r="E217" s="41" t="s">
        <v>1208</v>
      </c>
      <c r="F217" s="41" t="s">
        <v>42</v>
      </c>
      <c r="G217" s="41" t="s">
        <v>993</v>
      </c>
      <c r="I217" s="41" t="s">
        <v>1068</v>
      </c>
      <c r="J217" s="41" t="s">
        <v>32</v>
      </c>
      <c r="K217" s="42"/>
      <c r="P217" s="41" t="s">
        <v>98</v>
      </c>
      <c r="Q217" s="41" t="s">
        <v>491</v>
      </c>
      <c r="R217" s="41" t="s">
        <v>39</v>
      </c>
      <c r="S217" s="41" t="s">
        <v>40</v>
      </c>
      <c r="T217" s="41" t="s">
        <v>40</v>
      </c>
      <c r="U217" s="41" t="s">
        <v>40</v>
      </c>
    </row>
    <row r="218" spans="1:21">
      <c r="A218" s="41">
        <v>2732</v>
      </c>
      <c r="B218" s="41" t="s">
        <v>1662</v>
      </c>
      <c r="E218" s="41" t="s">
        <v>1208</v>
      </c>
      <c r="F218" s="41" t="s">
        <v>42</v>
      </c>
      <c r="G218" s="41" t="s">
        <v>993</v>
      </c>
      <c r="I218" s="41" t="s">
        <v>1068</v>
      </c>
      <c r="J218" s="41" t="s">
        <v>32</v>
      </c>
      <c r="K218" s="42"/>
      <c r="P218" s="41" t="s">
        <v>98</v>
      </c>
      <c r="Q218" s="41" t="s">
        <v>491</v>
      </c>
      <c r="R218" s="41" t="s">
        <v>39</v>
      </c>
      <c r="S218" s="41" t="s">
        <v>40</v>
      </c>
      <c r="T218" s="41" t="s">
        <v>40</v>
      </c>
      <c r="U218" s="41" t="s">
        <v>40</v>
      </c>
    </row>
    <row r="219" spans="1:21">
      <c r="A219" s="41">
        <v>2731</v>
      </c>
      <c r="B219" s="41" t="s">
        <v>1665</v>
      </c>
      <c r="D219" s="41">
        <v>6105</v>
      </c>
      <c r="E219" s="41" t="s">
        <v>1091</v>
      </c>
      <c r="F219" s="41" t="s">
        <v>53</v>
      </c>
      <c r="G219" s="41" t="s">
        <v>175</v>
      </c>
      <c r="I219" s="41">
        <v>0</v>
      </c>
      <c r="J219" s="41" t="s">
        <v>672</v>
      </c>
      <c r="K219" s="42"/>
      <c r="L219" s="41" t="s">
        <v>1666</v>
      </c>
      <c r="M219" s="41">
        <v>12</v>
      </c>
      <c r="N219" s="41" t="s">
        <v>1360</v>
      </c>
      <c r="O219" s="41" t="s">
        <v>1667</v>
      </c>
      <c r="P219" s="41" t="s">
        <v>68</v>
      </c>
      <c r="Q219" s="41" t="s">
        <v>1668</v>
      </c>
      <c r="R219" s="41" t="s">
        <v>132</v>
      </c>
      <c r="S219" s="41" t="s">
        <v>40</v>
      </c>
      <c r="T219" s="41" t="s">
        <v>40</v>
      </c>
      <c r="U219" s="41" t="s">
        <v>40</v>
      </c>
    </row>
    <row r="220" spans="1:21">
      <c r="A220" s="41">
        <v>2730</v>
      </c>
      <c r="B220" s="41" t="s">
        <v>1669</v>
      </c>
      <c r="D220" s="41">
        <v>6097</v>
      </c>
      <c r="E220" s="41" t="s">
        <v>1091</v>
      </c>
      <c r="F220" s="41" t="s">
        <v>53</v>
      </c>
      <c r="G220" s="41" t="s">
        <v>175</v>
      </c>
      <c r="I220" s="41">
        <v>0</v>
      </c>
      <c r="J220" s="41" t="s">
        <v>672</v>
      </c>
      <c r="K220" s="42"/>
      <c r="L220" s="41" t="s">
        <v>1666</v>
      </c>
      <c r="M220" s="41">
        <v>12</v>
      </c>
      <c r="N220" s="41" t="s">
        <v>1670</v>
      </c>
      <c r="O220" s="41" t="s">
        <v>1671</v>
      </c>
      <c r="P220" s="41" t="s">
        <v>68</v>
      </c>
      <c r="Q220" s="41" t="s">
        <v>1668</v>
      </c>
      <c r="R220" s="41" t="s">
        <v>132</v>
      </c>
      <c r="S220" s="41" t="s">
        <v>40</v>
      </c>
      <c r="T220" s="41" t="s">
        <v>40</v>
      </c>
      <c r="U220" s="41" t="s">
        <v>40</v>
      </c>
    </row>
    <row r="221" spans="1:21">
      <c r="A221" s="41">
        <v>2729</v>
      </c>
      <c r="B221" s="41" t="s">
        <v>1672</v>
      </c>
      <c r="D221" s="41">
        <v>6096</v>
      </c>
      <c r="E221" s="41" t="s">
        <v>27</v>
      </c>
      <c r="F221" s="41" t="s">
        <v>53</v>
      </c>
      <c r="G221" s="41" t="s">
        <v>175</v>
      </c>
      <c r="I221" s="41">
        <v>0</v>
      </c>
      <c r="J221" s="41" t="s">
        <v>32</v>
      </c>
      <c r="K221" s="42"/>
      <c r="L221" s="41" t="s">
        <v>1673</v>
      </c>
      <c r="M221" s="41">
        <v>220</v>
      </c>
      <c r="N221" s="41" t="s">
        <v>67</v>
      </c>
      <c r="O221" s="41" t="s">
        <v>452</v>
      </c>
      <c r="P221" s="41" t="s">
        <v>50</v>
      </c>
      <c r="Q221" s="41" t="s">
        <v>51</v>
      </c>
      <c r="R221" s="41" t="s">
        <v>62</v>
      </c>
      <c r="S221" s="41" t="s">
        <v>40</v>
      </c>
      <c r="T221" s="41" t="s">
        <v>40</v>
      </c>
      <c r="U221" s="41" t="s">
        <v>40</v>
      </c>
    </row>
    <row r="222" spans="1:21">
      <c r="A222" s="41">
        <v>2728</v>
      </c>
      <c r="B222" s="41" t="s">
        <v>1073</v>
      </c>
      <c r="D222" s="41">
        <v>6095</v>
      </c>
      <c r="E222" s="41" t="s">
        <v>1074</v>
      </c>
      <c r="F222" s="41" t="s">
        <v>53</v>
      </c>
      <c r="G222" s="41" t="s">
        <v>64</v>
      </c>
      <c r="I222" s="41">
        <v>0</v>
      </c>
      <c r="J222" s="41" t="s">
        <v>32</v>
      </c>
      <c r="K222" s="42"/>
      <c r="L222" s="41" t="s">
        <v>1674</v>
      </c>
      <c r="M222" s="41">
        <v>23</v>
      </c>
      <c r="N222" s="41" t="s">
        <v>1675</v>
      </c>
      <c r="O222" s="41" t="s">
        <v>1676</v>
      </c>
      <c r="P222" s="41" t="s">
        <v>68</v>
      </c>
      <c r="Q222" s="41" t="s">
        <v>699</v>
      </c>
      <c r="R222" s="41" t="s">
        <v>132</v>
      </c>
      <c r="S222" s="41" t="s">
        <v>40</v>
      </c>
      <c r="T222" s="41" t="s">
        <v>40</v>
      </c>
      <c r="U222" s="41" t="s">
        <v>40</v>
      </c>
    </row>
    <row r="223" spans="1:21">
      <c r="A223" s="41">
        <v>2727</v>
      </c>
      <c r="B223" s="41" t="s">
        <v>1677</v>
      </c>
      <c r="D223" s="41">
        <v>6101</v>
      </c>
      <c r="E223" s="41" t="s">
        <v>1678</v>
      </c>
      <c r="F223" s="41" t="s">
        <v>28</v>
      </c>
      <c r="G223" s="41" t="s">
        <v>301</v>
      </c>
      <c r="I223" s="41" t="s">
        <v>1679</v>
      </c>
      <c r="J223" s="41" t="s">
        <v>32</v>
      </c>
      <c r="K223" s="42"/>
      <c r="L223" s="41" t="s">
        <v>1680</v>
      </c>
      <c r="M223" s="41">
        <v>33</v>
      </c>
      <c r="N223" s="41" t="s">
        <v>1522</v>
      </c>
      <c r="O223" s="41" t="s">
        <v>1681</v>
      </c>
      <c r="P223" s="41" t="s">
        <v>1046</v>
      </c>
      <c r="Q223" s="41" t="s">
        <v>1682</v>
      </c>
      <c r="R223" s="41" t="s">
        <v>39</v>
      </c>
      <c r="S223" s="41" t="s">
        <v>1683</v>
      </c>
      <c r="T223" s="41" t="s">
        <v>1172</v>
      </c>
      <c r="U223" s="41" t="s">
        <v>40</v>
      </c>
    </row>
    <row r="224" spans="1:21">
      <c r="A224" s="41">
        <v>2726</v>
      </c>
      <c r="B224" s="41" t="s">
        <v>1684</v>
      </c>
      <c r="D224" s="41">
        <v>6099</v>
      </c>
      <c r="E224" s="41" t="s">
        <v>1678</v>
      </c>
      <c r="F224" s="41" t="s">
        <v>28</v>
      </c>
      <c r="G224" s="41" t="s">
        <v>1685</v>
      </c>
      <c r="I224" s="41" t="s">
        <v>1686</v>
      </c>
      <c r="J224" s="41" t="s">
        <v>32</v>
      </c>
      <c r="K224" s="42"/>
      <c r="L224" s="41" t="s">
        <v>1687</v>
      </c>
      <c r="M224" s="41">
        <v>33</v>
      </c>
      <c r="N224" s="41" t="s">
        <v>1401</v>
      </c>
      <c r="O224" s="41" t="s">
        <v>1688</v>
      </c>
      <c r="P224" s="41" t="s">
        <v>1046</v>
      </c>
      <c r="Q224" s="41" t="s">
        <v>1682</v>
      </c>
      <c r="R224" s="41" t="s">
        <v>39</v>
      </c>
      <c r="S224" s="41" t="s">
        <v>1689</v>
      </c>
      <c r="T224" s="41" t="s">
        <v>40</v>
      </c>
      <c r="U224" s="41" t="s">
        <v>40</v>
      </c>
    </row>
    <row r="225" spans="1:21">
      <c r="A225" s="41">
        <v>2725</v>
      </c>
      <c r="B225" s="41" t="s">
        <v>1690</v>
      </c>
      <c r="D225" s="41">
        <v>6094</v>
      </c>
      <c r="E225" s="41" t="s">
        <v>1691</v>
      </c>
      <c r="F225" s="41" t="s">
        <v>53</v>
      </c>
      <c r="G225" s="41" t="s">
        <v>54</v>
      </c>
      <c r="I225" s="41">
        <v>0</v>
      </c>
      <c r="J225" s="41" t="s">
        <v>295</v>
      </c>
      <c r="K225" s="42"/>
      <c r="L225" s="41" t="s">
        <v>1692</v>
      </c>
      <c r="M225" s="41">
        <v>110</v>
      </c>
      <c r="N225" s="41" t="s">
        <v>1693</v>
      </c>
      <c r="O225" s="41" t="s">
        <v>1694</v>
      </c>
      <c r="P225" s="41" t="s">
        <v>68</v>
      </c>
      <c r="Q225" s="41" t="s">
        <v>191</v>
      </c>
      <c r="R225" s="41" t="s">
        <v>132</v>
      </c>
      <c r="S225" s="41" t="s">
        <v>40</v>
      </c>
      <c r="T225" s="41" t="s">
        <v>40</v>
      </c>
      <c r="U225" s="41" t="s">
        <v>40</v>
      </c>
    </row>
    <row r="226" spans="1:21">
      <c r="A226" s="41">
        <v>2724</v>
      </c>
      <c r="B226" s="41" t="s">
        <v>1695</v>
      </c>
      <c r="D226" s="41">
        <v>6092</v>
      </c>
      <c r="E226" s="41" t="s">
        <v>1696</v>
      </c>
      <c r="F226" s="41" t="s">
        <v>28</v>
      </c>
      <c r="G226" s="41" t="s">
        <v>307</v>
      </c>
      <c r="I226" s="41">
        <v>0</v>
      </c>
      <c r="J226" s="41" t="s">
        <v>32</v>
      </c>
      <c r="K226" s="42"/>
      <c r="L226" s="41" t="s">
        <v>1697</v>
      </c>
      <c r="M226" s="41">
        <v>33</v>
      </c>
      <c r="N226" s="41" t="s">
        <v>59</v>
      </c>
      <c r="O226" s="41" t="s">
        <v>36</v>
      </c>
      <c r="P226" s="41" t="s">
        <v>60</v>
      </c>
      <c r="Q226" s="41" t="s">
        <v>413</v>
      </c>
      <c r="R226" s="41" t="s">
        <v>39</v>
      </c>
      <c r="S226" s="41" t="s">
        <v>1698</v>
      </c>
      <c r="T226" s="41" t="s">
        <v>1699</v>
      </c>
      <c r="U226" s="41" t="s">
        <v>40</v>
      </c>
    </row>
    <row r="227" spans="1:21">
      <c r="A227" s="41">
        <v>2723</v>
      </c>
      <c r="B227" s="41" t="s">
        <v>1700</v>
      </c>
      <c r="D227" s="41">
        <v>6093</v>
      </c>
      <c r="E227" s="41" t="s">
        <v>1227</v>
      </c>
      <c r="F227" s="41" t="s">
        <v>42</v>
      </c>
      <c r="G227" s="41" t="s">
        <v>141</v>
      </c>
      <c r="I227" s="41">
        <v>0</v>
      </c>
      <c r="J227" s="41" t="s">
        <v>32</v>
      </c>
      <c r="K227" s="42"/>
      <c r="L227" s="41" t="s">
        <v>1701</v>
      </c>
      <c r="M227" s="41">
        <v>33</v>
      </c>
      <c r="N227" s="41" t="s">
        <v>59</v>
      </c>
      <c r="O227" s="41" t="s">
        <v>36</v>
      </c>
      <c r="P227" s="41" t="s">
        <v>98</v>
      </c>
      <c r="Q227" s="41" t="s">
        <v>99</v>
      </c>
      <c r="R227" s="41" t="s">
        <v>39</v>
      </c>
      <c r="S227" s="41" t="s">
        <v>40</v>
      </c>
      <c r="T227" s="41" t="s">
        <v>1500</v>
      </c>
      <c r="U227" s="41" t="s">
        <v>40</v>
      </c>
    </row>
    <row r="228" spans="1:21">
      <c r="A228" s="41">
        <v>2722</v>
      </c>
      <c r="B228" s="41" t="s">
        <v>1702</v>
      </c>
      <c r="D228" s="41">
        <v>6091</v>
      </c>
      <c r="E228" s="41" t="s">
        <v>1703</v>
      </c>
      <c r="F228" s="41" t="s">
        <v>53</v>
      </c>
      <c r="G228" s="41" t="s">
        <v>1704</v>
      </c>
      <c r="I228" s="41">
        <v>0</v>
      </c>
      <c r="J228" s="41" t="s">
        <v>32</v>
      </c>
      <c r="K228" s="42"/>
      <c r="L228" s="41" t="s">
        <v>1705</v>
      </c>
      <c r="M228" s="41">
        <v>220</v>
      </c>
      <c r="N228" s="41" t="s">
        <v>1706</v>
      </c>
      <c r="O228" s="41" t="s">
        <v>1379</v>
      </c>
      <c r="P228" s="41" t="s">
        <v>78</v>
      </c>
      <c r="Q228" s="41" t="s">
        <v>144</v>
      </c>
      <c r="R228" s="41" t="s">
        <v>62</v>
      </c>
      <c r="S228" s="41" t="s">
        <v>40</v>
      </c>
      <c r="T228" s="41" t="s">
        <v>40</v>
      </c>
      <c r="U228" s="41" t="s">
        <v>40</v>
      </c>
    </row>
    <row r="229" spans="1:21">
      <c r="A229" s="41">
        <v>2721</v>
      </c>
      <c r="B229" s="41" t="s">
        <v>1707</v>
      </c>
      <c r="D229" s="41">
        <v>6104</v>
      </c>
      <c r="E229" s="41" t="s">
        <v>1708</v>
      </c>
      <c r="F229" s="41" t="s">
        <v>53</v>
      </c>
      <c r="G229" s="41" t="s">
        <v>43</v>
      </c>
      <c r="I229" s="41">
        <v>0</v>
      </c>
      <c r="J229" s="41" t="s">
        <v>32</v>
      </c>
      <c r="K229" s="42"/>
      <c r="L229" s="41" t="s">
        <v>1660</v>
      </c>
      <c r="M229" s="41">
        <v>220</v>
      </c>
      <c r="N229" s="41" t="s">
        <v>1709</v>
      </c>
      <c r="O229" s="41" t="s">
        <v>1615</v>
      </c>
      <c r="P229" s="41" t="s">
        <v>37</v>
      </c>
      <c r="Q229" s="41" t="s">
        <v>969</v>
      </c>
      <c r="R229" s="41" t="s">
        <v>62</v>
      </c>
      <c r="S229" s="41" t="s">
        <v>40</v>
      </c>
      <c r="T229" s="41" t="s">
        <v>40</v>
      </c>
      <c r="U229" s="41" t="s">
        <v>40</v>
      </c>
    </row>
    <row r="230" spans="1:21">
      <c r="A230" s="41">
        <v>2720</v>
      </c>
      <c r="B230" s="41" t="s">
        <v>1710</v>
      </c>
      <c r="D230" s="41">
        <v>6090</v>
      </c>
      <c r="E230" s="41" t="s">
        <v>1435</v>
      </c>
      <c r="F230" s="41" t="s">
        <v>28</v>
      </c>
      <c r="G230" s="41" t="s">
        <v>64</v>
      </c>
      <c r="I230" s="41">
        <v>0</v>
      </c>
      <c r="J230" s="41" t="s">
        <v>32</v>
      </c>
      <c r="K230" s="42"/>
      <c r="L230" s="41" t="s">
        <v>1711</v>
      </c>
      <c r="M230" s="41">
        <v>220</v>
      </c>
      <c r="N230" s="41" t="s">
        <v>1436</v>
      </c>
      <c r="O230" s="41" t="s">
        <v>757</v>
      </c>
      <c r="P230" s="41" t="s">
        <v>68</v>
      </c>
      <c r="Q230" s="41" t="s">
        <v>677</v>
      </c>
      <c r="R230" s="41" t="s">
        <v>39</v>
      </c>
      <c r="S230" s="41" t="s">
        <v>40</v>
      </c>
      <c r="T230" s="41" t="s">
        <v>40</v>
      </c>
      <c r="U230" s="41" t="s">
        <v>40</v>
      </c>
    </row>
    <row r="231" spans="1:21">
      <c r="A231" s="41">
        <v>2719</v>
      </c>
      <c r="B231" s="41" t="s">
        <v>1712</v>
      </c>
      <c r="C231" s="43">
        <v>1</v>
      </c>
      <c r="E231" s="41" t="s">
        <v>1713</v>
      </c>
      <c r="F231" s="41" t="s">
        <v>53</v>
      </c>
      <c r="G231" s="41" t="s">
        <v>972</v>
      </c>
      <c r="H231" s="42">
        <v>45905</v>
      </c>
      <c r="I231" s="41">
        <v>150</v>
      </c>
      <c r="J231" s="41" t="s">
        <v>672</v>
      </c>
      <c r="K231" s="42">
        <v>47091</v>
      </c>
      <c r="L231" s="41" t="s">
        <v>1714</v>
      </c>
      <c r="M231" s="41">
        <v>110</v>
      </c>
      <c r="N231" s="41" t="s">
        <v>67</v>
      </c>
      <c r="O231" s="41" t="s">
        <v>1715</v>
      </c>
      <c r="P231" s="41" t="s">
        <v>68</v>
      </c>
      <c r="Q231" s="41" t="s">
        <v>191</v>
      </c>
      <c r="R231" s="41" t="s">
        <v>132</v>
      </c>
      <c r="S231" s="41" t="s">
        <v>40</v>
      </c>
      <c r="T231" s="41" t="s">
        <v>40</v>
      </c>
      <c r="U231" s="41" t="s">
        <v>40</v>
      </c>
    </row>
    <row r="232" spans="1:21">
      <c r="A232" s="41">
        <v>2718</v>
      </c>
      <c r="B232" s="41" t="s">
        <v>1712</v>
      </c>
      <c r="C232" s="41">
        <v>1</v>
      </c>
      <c r="D232" s="41">
        <v>6079</v>
      </c>
      <c r="E232" s="41" t="s">
        <v>1713</v>
      </c>
      <c r="F232" s="41" t="s">
        <v>53</v>
      </c>
      <c r="G232" s="41" t="s">
        <v>54</v>
      </c>
      <c r="H232" s="42">
        <v>45905</v>
      </c>
      <c r="I232" s="41">
        <v>0</v>
      </c>
      <c r="J232" s="41" t="s">
        <v>672</v>
      </c>
      <c r="K232" s="42">
        <v>47091</v>
      </c>
      <c r="L232" s="41" t="s">
        <v>1716</v>
      </c>
      <c r="M232" s="41">
        <v>110</v>
      </c>
      <c r="N232" s="41" t="s">
        <v>1026</v>
      </c>
      <c r="O232" s="41" t="s">
        <v>1715</v>
      </c>
      <c r="P232" s="41" t="s">
        <v>68</v>
      </c>
      <c r="Q232" s="41" t="s">
        <v>191</v>
      </c>
      <c r="R232" s="41" t="s">
        <v>132</v>
      </c>
      <c r="S232" s="41" t="s">
        <v>40</v>
      </c>
      <c r="T232" s="41" t="s">
        <v>40</v>
      </c>
      <c r="U232" s="41" t="s">
        <v>40</v>
      </c>
    </row>
    <row r="233" spans="1:21">
      <c r="A233" s="41">
        <v>2717</v>
      </c>
      <c r="B233" s="41" t="s">
        <v>1717</v>
      </c>
      <c r="C233" s="43">
        <v>1</v>
      </c>
      <c r="E233" s="41" t="s">
        <v>1718</v>
      </c>
      <c r="F233" s="41" t="s">
        <v>53</v>
      </c>
      <c r="G233" s="41" t="s">
        <v>43</v>
      </c>
      <c r="I233" s="41" t="s">
        <v>162</v>
      </c>
      <c r="J233" s="41" t="s">
        <v>672</v>
      </c>
      <c r="K233" s="42"/>
      <c r="L233" s="41" t="s">
        <v>1716</v>
      </c>
      <c r="M233" s="41">
        <v>110</v>
      </c>
      <c r="N233" s="41" t="s">
        <v>1026</v>
      </c>
      <c r="O233" s="41" t="s">
        <v>1719</v>
      </c>
      <c r="P233" s="41" t="s">
        <v>68</v>
      </c>
      <c r="Q233" s="41" t="s">
        <v>191</v>
      </c>
      <c r="R233" s="41" t="s">
        <v>132</v>
      </c>
      <c r="S233" s="41" t="s">
        <v>40</v>
      </c>
      <c r="T233" s="41" t="s">
        <v>40</v>
      </c>
      <c r="U233" s="41" t="s">
        <v>40</v>
      </c>
    </row>
    <row r="234" spans="1:21">
      <c r="A234" s="41">
        <v>2716</v>
      </c>
      <c r="B234" s="41" t="s">
        <v>1720</v>
      </c>
      <c r="D234" s="41">
        <v>6078</v>
      </c>
      <c r="E234" s="41" t="s">
        <v>1721</v>
      </c>
      <c r="F234" s="41" t="s">
        <v>42</v>
      </c>
      <c r="G234" s="41" t="s">
        <v>141</v>
      </c>
      <c r="I234" s="41">
        <v>0</v>
      </c>
      <c r="J234" s="41" t="s">
        <v>32</v>
      </c>
      <c r="K234" s="42"/>
      <c r="L234" s="41" t="s">
        <v>1722</v>
      </c>
      <c r="M234" s="41">
        <v>13</v>
      </c>
      <c r="N234" s="41" t="s">
        <v>59</v>
      </c>
      <c r="O234" s="41" t="s">
        <v>36</v>
      </c>
      <c r="P234" s="41" t="s">
        <v>60</v>
      </c>
      <c r="Q234" s="41" t="s">
        <v>419</v>
      </c>
      <c r="R234" s="41" t="s">
        <v>39</v>
      </c>
      <c r="S234" s="41" t="s">
        <v>40</v>
      </c>
      <c r="T234" s="41" t="s">
        <v>1621</v>
      </c>
      <c r="U234" s="41" t="s">
        <v>40</v>
      </c>
    </row>
    <row r="235" spans="1:21">
      <c r="A235" s="41">
        <v>2715</v>
      </c>
      <c r="B235" s="41" t="s">
        <v>1723</v>
      </c>
      <c r="E235" s="41" t="s">
        <v>1724</v>
      </c>
      <c r="F235" s="41" t="s">
        <v>42</v>
      </c>
      <c r="G235" s="41" t="s">
        <v>43</v>
      </c>
      <c r="I235" s="41" t="s">
        <v>194</v>
      </c>
      <c r="J235" s="41" t="s">
        <v>32</v>
      </c>
      <c r="K235" s="42"/>
      <c r="L235" s="41" t="s">
        <v>1722</v>
      </c>
      <c r="M235" s="41">
        <v>13</v>
      </c>
      <c r="N235" s="41" t="s">
        <v>59</v>
      </c>
      <c r="O235" s="41" t="s">
        <v>36</v>
      </c>
      <c r="P235" s="41" t="s">
        <v>60</v>
      </c>
      <c r="Q235" s="41" t="s">
        <v>419</v>
      </c>
      <c r="R235" s="41" t="s">
        <v>39</v>
      </c>
      <c r="S235" s="41" t="s">
        <v>40</v>
      </c>
      <c r="T235" s="41" t="s">
        <v>40</v>
      </c>
      <c r="U235" s="41" t="s">
        <v>40</v>
      </c>
    </row>
    <row r="236" spans="1:21">
      <c r="A236" s="41">
        <v>2714</v>
      </c>
      <c r="B236" s="41" t="s">
        <v>1725</v>
      </c>
      <c r="D236" s="41">
        <v>6088</v>
      </c>
      <c r="E236" s="41" t="s">
        <v>1726</v>
      </c>
      <c r="F236" s="41" t="s">
        <v>42</v>
      </c>
      <c r="G236" s="41" t="s">
        <v>141</v>
      </c>
      <c r="I236" s="41">
        <v>0</v>
      </c>
      <c r="J236" s="41" t="s">
        <v>32</v>
      </c>
      <c r="K236" s="42"/>
      <c r="L236" s="41" t="s">
        <v>1727</v>
      </c>
      <c r="M236" s="41">
        <v>33</v>
      </c>
      <c r="N236" s="41" t="s">
        <v>67</v>
      </c>
      <c r="O236" s="41" t="s">
        <v>1728</v>
      </c>
      <c r="P236" s="41" t="s">
        <v>78</v>
      </c>
      <c r="Q236" s="41" t="s">
        <v>1729</v>
      </c>
      <c r="R236" s="41" t="s">
        <v>39</v>
      </c>
      <c r="S236" s="41" t="s">
        <v>40</v>
      </c>
      <c r="T236" s="41" t="s">
        <v>1449</v>
      </c>
      <c r="U236" s="41" t="s">
        <v>40</v>
      </c>
    </row>
    <row r="237" spans="1:21">
      <c r="A237" s="41">
        <v>2713</v>
      </c>
      <c r="B237" s="41" t="s">
        <v>1730</v>
      </c>
      <c r="E237" s="41" t="s">
        <v>1731</v>
      </c>
      <c r="F237" s="41" t="s">
        <v>53</v>
      </c>
      <c r="G237" s="41" t="s">
        <v>972</v>
      </c>
      <c r="I237" s="41" t="s">
        <v>999</v>
      </c>
      <c r="J237" s="41" t="s">
        <v>32</v>
      </c>
      <c r="K237" s="42"/>
      <c r="L237" s="41" t="s">
        <v>1732</v>
      </c>
      <c r="M237" s="41">
        <v>23</v>
      </c>
      <c r="N237" s="41" t="s">
        <v>1733</v>
      </c>
      <c r="O237" s="41" t="s">
        <v>1734</v>
      </c>
      <c r="P237" s="41" t="s">
        <v>68</v>
      </c>
      <c r="Q237" s="41" t="s">
        <v>91</v>
      </c>
      <c r="R237" s="41" t="s">
        <v>132</v>
      </c>
      <c r="S237" s="41" t="s">
        <v>40</v>
      </c>
      <c r="T237" s="41" t="s">
        <v>40</v>
      </c>
      <c r="U237" s="41" t="s">
        <v>40</v>
      </c>
    </row>
    <row r="238" spans="1:21">
      <c r="A238" s="41">
        <v>2712</v>
      </c>
      <c r="B238" s="41" t="s">
        <v>1730</v>
      </c>
      <c r="D238" s="41">
        <v>6089</v>
      </c>
      <c r="E238" s="41" t="s">
        <v>1731</v>
      </c>
      <c r="F238" s="41" t="s">
        <v>53</v>
      </c>
      <c r="G238" s="41" t="s">
        <v>127</v>
      </c>
      <c r="I238" s="41">
        <v>0</v>
      </c>
      <c r="J238" s="41" t="s">
        <v>32</v>
      </c>
      <c r="K238" s="42"/>
      <c r="L238" s="41" t="s">
        <v>1732</v>
      </c>
      <c r="M238" s="41">
        <v>23</v>
      </c>
      <c r="N238" s="41" t="s">
        <v>1733</v>
      </c>
      <c r="O238" s="41" t="s">
        <v>1734</v>
      </c>
      <c r="P238" s="41" t="s">
        <v>68</v>
      </c>
      <c r="Q238" s="41" t="s">
        <v>91</v>
      </c>
      <c r="R238" s="41" t="s">
        <v>132</v>
      </c>
      <c r="S238" s="41" t="s">
        <v>40</v>
      </c>
      <c r="T238" s="41" t="s">
        <v>40</v>
      </c>
      <c r="U238" s="41" t="s">
        <v>40</v>
      </c>
    </row>
    <row r="239" spans="1:21">
      <c r="A239" s="41">
        <v>2711</v>
      </c>
      <c r="B239" s="41" t="s">
        <v>1735</v>
      </c>
      <c r="C239" s="41">
        <v>1</v>
      </c>
      <c r="D239" s="41">
        <v>6070</v>
      </c>
      <c r="E239" s="41" t="s">
        <v>715</v>
      </c>
      <c r="F239" s="41" t="s">
        <v>42</v>
      </c>
      <c r="G239" s="41" t="s">
        <v>141</v>
      </c>
      <c r="H239" s="42">
        <v>45901</v>
      </c>
      <c r="I239" s="41">
        <v>0</v>
      </c>
      <c r="J239" s="41" t="s">
        <v>672</v>
      </c>
      <c r="K239" s="42">
        <v>47391</v>
      </c>
      <c r="L239" s="41" t="s">
        <v>1736</v>
      </c>
      <c r="M239" s="41">
        <v>220</v>
      </c>
      <c r="N239" s="41" t="s">
        <v>59</v>
      </c>
      <c r="O239" s="41" t="s">
        <v>1737</v>
      </c>
      <c r="P239" s="41" t="s">
        <v>68</v>
      </c>
      <c r="Q239" s="41" t="s">
        <v>677</v>
      </c>
      <c r="R239" s="41" t="s">
        <v>39</v>
      </c>
      <c r="S239" s="41" t="s">
        <v>40</v>
      </c>
      <c r="T239" s="41" t="s">
        <v>1433</v>
      </c>
      <c r="U239" s="41" t="s">
        <v>40</v>
      </c>
    </row>
    <row r="240" spans="1:21">
      <c r="A240" s="41">
        <v>2710</v>
      </c>
      <c r="B240" s="41" t="s">
        <v>1738</v>
      </c>
      <c r="D240" s="41">
        <v>6069</v>
      </c>
      <c r="E240" s="41" t="s">
        <v>1739</v>
      </c>
      <c r="F240" s="41" t="s">
        <v>53</v>
      </c>
      <c r="G240" s="41" t="s">
        <v>127</v>
      </c>
      <c r="I240" s="41">
        <v>0</v>
      </c>
      <c r="J240" s="41" t="s">
        <v>672</v>
      </c>
      <c r="K240" s="42"/>
      <c r="L240" s="41" t="s">
        <v>1740</v>
      </c>
      <c r="M240" s="41">
        <v>13</v>
      </c>
      <c r="N240" s="41" t="s">
        <v>1741</v>
      </c>
      <c r="O240" s="41" t="s">
        <v>650</v>
      </c>
      <c r="P240" s="41" t="s">
        <v>172</v>
      </c>
      <c r="Q240" s="41" t="s">
        <v>197</v>
      </c>
      <c r="R240" s="41" t="s">
        <v>132</v>
      </c>
      <c r="S240" s="41" t="s">
        <v>40</v>
      </c>
      <c r="T240" s="41" t="s">
        <v>40</v>
      </c>
      <c r="U240" s="41" t="s">
        <v>40</v>
      </c>
    </row>
    <row r="241" spans="1:21">
      <c r="A241" s="41">
        <v>2709</v>
      </c>
      <c r="B241" s="41" t="s">
        <v>1742</v>
      </c>
      <c r="D241" s="41">
        <v>6068</v>
      </c>
      <c r="E241" s="41" t="s">
        <v>1739</v>
      </c>
      <c r="F241" s="41" t="s">
        <v>53</v>
      </c>
      <c r="G241" s="41" t="s">
        <v>127</v>
      </c>
      <c r="I241" s="41">
        <v>0</v>
      </c>
      <c r="J241" s="41" t="s">
        <v>672</v>
      </c>
      <c r="K241" s="42"/>
      <c r="L241" s="41" t="s">
        <v>1740</v>
      </c>
      <c r="M241" s="41">
        <v>13</v>
      </c>
      <c r="N241" s="41" t="s">
        <v>1741</v>
      </c>
      <c r="O241" s="41" t="s">
        <v>362</v>
      </c>
      <c r="P241" s="41" t="s">
        <v>172</v>
      </c>
      <c r="Q241" s="41" t="s">
        <v>197</v>
      </c>
      <c r="R241" s="41" t="s">
        <v>132</v>
      </c>
      <c r="S241" s="41" t="s">
        <v>40</v>
      </c>
      <c r="T241" s="41" t="s">
        <v>40</v>
      </c>
      <c r="U241" s="41" t="s">
        <v>40</v>
      </c>
    </row>
    <row r="242" spans="1:21">
      <c r="A242" s="41">
        <v>2708</v>
      </c>
      <c r="B242" s="41" t="s">
        <v>1297</v>
      </c>
      <c r="D242" s="41">
        <v>6067</v>
      </c>
      <c r="E242" s="41" t="s">
        <v>1297</v>
      </c>
      <c r="F242" s="41" t="s">
        <v>42</v>
      </c>
      <c r="G242" s="41" t="s">
        <v>1175</v>
      </c>
      <c r="I242" s="41">
        <v>0</v>
      </c>
      <c r="J242" s="41" t="s">
        <v>32</v>
      </c>
      <c r="K242" s="42"/>
      <c r="L242" s="41" t="s">
        <v>1743</v>
      </c>
      <c r="M242" s="41">
        <v>220</v>
      </c>
      <c r="N242" s="41" t="s">
        <v>1744</v>
      </c>
      <c r="O242" s="41" t="s">
        <v>1745</v>
      </c>
      <c r="P242" s="41" t="s">
        <v>179</v>
      </c>
      <c r="Q242" s="41" t="s">
        <v>284</v>
      </c>
      <c r="R242" s="41" t="s">
        <v>39</v>
      </c>
      <c r="S242" s="41" t="s">
        <v>40</v>
      </c>
      <c r="T242" s="41" t="s">
        <v>40</v>
      </c>
      <c r="U242" s="41" t="s">
        <v>40</v>
      </c>
    </row>
    <row r="243" spans="1:21">
      <c r="A243" s="41">
        <v>2707</v>
      </c>
      <c r="B243" s="41" t="s">
        <v>1746</v>
      </c>
      <c r="D243" s="41">
        <v>6066</v>
      </c>
      <c r="E243" s="41" t="s">
        <v>1270</v>
      </c>
      <c r="F243" s="41" t="s">
        <v>53</v>
      </c>
      <c r="G243" s="41" t="s">
        <v>127</v>
      </c>
      <c r="I243" s="41">
        <v>0</v>
      </c>
      <c r="J243" s="41" t="s">
        <v>32</v>
      </c>
      <c r="K243" s="42"/>
      <c r="L243" s="41" t="s">
        <v>1747</v>
      </c>
      <c r="M243" s="41">
        <v>23</v>
      </c>
      <c r="N243" s="41" t="s">
        <v>1748</v>
      </c>
      <c r="O243" s="41" t="s">
        <v>1749</v>
      </c>
      <c r="P243" s="41" t="s">
        <v>68</v>
      </c>
      <c r="Q243" s="41" t="s">
        <v>1750</v>
      </c>
      <c r="R243" s="41" t="s">
        <v>132</v>
      </c>
      <c r="S243" s="41" t="s">
        <v>40</v>
      </c>
      <c r="T243" s="41" t="s">
        <v>40</v>
      </c>
      <c r="U243" s="41" t="s">
        <v>40</v>
      </c>
    </row>
    <row r="244" spans="1:21">
      <c r="A244" s="41">
        <v>2706</v>
      </c>
      <c r="B244" s="41" t="s">
        <v>1751</v>
      </c>
      <c r="D244" s="41">
        <v>6063</v>
      </c>
      <c r="E244" s="41" t="s">
        <v>27</v>
      </c>
      <c r="F244" s="41" t="s">
        <v>53</v>
      </c>
      <c r="G244" s="41" t="s">
        <v>54</v>
      </c>
      <c r="I244" s="41">
        <v>0</v>
      </c>
      <c r="J244" s="41" t="s">
        <v>32</v>
      </c>
      <c r="K244" s="42"/>
      <c r="L244" s="41" t="s">
        <v>1752</v>
      </c>
      <c r="M244" s="41">
        <v>500</v>
      </c>
      <c r="N244" s="41" t="s">
        <v>59</v>
      </c>
      <c r="O244" s="41" t="s">
        <v>36</v>
      </c>
      <c r="P244" s="41" t="s">
        <v>98</v>
      </c>
      <c r="Q244" s="41" t="s">
        <v>98</v>
      </c>
      <c r="R244" s="41" t="s">
        <v>62</v>
      </c>
      <c r="S244" s="41" t="s">
        <v>40</v>
      </c>
      <c r="T244" s="41" t="s">
        <v>40</v>
      </c>
      <c r="U244" s="41" t="s">
        <v>40</v>
      </c>
    </row>
    <row r="245" spans="1:21">
      <c r="A245" s="41">
        <v>2705</v>
      </c>
      <c r="B245" s="41" t="s">
        <v>1753</v>
      </c>
      <c r="D245" s="41">
        <v>6062</v>
      </c>
      <c r="E245" s="41" t="s">
        <v>998</v>
      </c>
      <c r="F245" s="41" t="s">
        <v>53</v>
      </c>
      <c r="G245" s="41" t="s">
        <v>1071</v>
      </c>
      <c r="I245" s="41">
        <v>0</v>
      </c>
      <c r="J245" s="41" t="s">
        <v>672</v>
      </c>
      <c r="K245" s="42"/>
      <c r="L245" s="41" t="s">
        <v>1754</v>
      </c>
      <c r="M245" s="41">
        <v>13</v>
      </c>
      <c r="N245" s="41" t="s">
        <v>1755</v>
      </c>
      <c r="O245" s="41" t="s">
        <v>1756</v>
      </c>
      <c r="P245" s="41" t="s">
        <v>153</v>
      </c>
      <c r="Q245" s="41" t="s">
        <v>1757</v>
      </c>
      <c r="R245" s="41" t="s">
        <v>132</v>
      </c>
      <c r="S245" s="41" t="s">
        <v>40</v>
      </c>
      <c r="T245" s="41" t="s">
        <v>40</v>
      </c>
      <c r="U245" s="41" t="s">
        <v>40</v>
      </c>
    </row>
    <row r="246" spans="1:21">
      <c r="A246" s="41">
        <v>2704</v>
      </c>
      <c r="B246" s="41" t="s">
        <v>1758</v>
      </c>
      <c r="D246" s="41">
        <v>6061</v>
      </c>
      <c r="E246" s="41" t="s">
        <v>1759</v>
      </c>
      <c r="F246" s="41" t="s">
        <v>53</v>
      </c>
      <c r="G246" s="41" t="s">
        <v>64</v>
      </c>
      <c r="I246" s="41">
        <v>0</v>
      </c>
      <c r="J246" s="41" t="s">
        <v>32</v>
      </c>
      <c r="K246" s="42"/>
      <c r="L246" s="41" t="s">
        <v>1760</v>
      </c>
      <c r="M246" s="41">
        <v>66</v>
      </c>
      <c r="N246" s="41" t="s">
        <v>1761</v>
      </c>
      <c r="O246" s="41" t="s">
        <v>1762</v>
      </c>
      <c r="P246" s="41" t="s">
        <v>78</v>
      </c>
      <c r="Q246" s="41" t="s">
        <v>1763</v>
      </c>
      <c r="R246" s="41" t="s">
        <v>132</v>
      </c>
      <c r="S246" s="41" t="s">
        <v>40</v>
      </c>
      <c r="T246" s="41" t="s">
        <v>40</v>
      </c>
      <c r="U246" s="41" t="s">
        <v>40</v>
      </c>
    </row>
    <row r="247" spans="1:21">
      <c r="A247" s="41">
        <v>2703</v>
      </c>
      <c r="B247" s="41" t="s">
        <v>1764</v>
      </c>
      <c r="D247" s="41">
        <v>6060</v>
      </c>
      <c r="E247" s="41" t="s">
        <v>1435</v>
      </c>
      <c r="F247" s="41" t="s">
        <v>28</v>
      </c>
      <c r="G247" s="41" t="s">
        <v>286</v>
      </c>
      <c r="I247" s="41">
        <v>0</v>
      </c>
      <c r="J247" s="41" t="s">
        <v>32</v>
      </c>
      <c r="K247" s="42"/>
      <c r="L247" s="41" t="s">
        <v>1765</v>
      </c>
      <c r="M247" s="41">
        <v>110</v>
      </c>
      <c r="N247" s="41" t="s">
        <v>962</v>
      </c>
      <c r="O247" s="41" t="s">
        <v>1766</v>
      </c>
      <c r="P247" s="41" t="s">
        <v>98</v>
      </c>
      <c r="Q247" s="41" t="s">
        <v>491</v>
      </c>
      <c r="R247" s="41" t="s">
        <v>39</v>
      </c>
      <c r="S247" s="41" t="s">
        <v>40</v>
      </c>
      <c r="T247" s="41" t="s">
        <v>40</v>
      </c>
      <c r="U247" s="41" t="s">
        <v>40</v>
      </c>
    </row>
    <row r="248" spans="1:21">
      <c r="A248" s="41">
        <v>2702</v>
      </c>
      <c r="B248" s="41" t="s">
        <v>1767</v>
      </c>
      <c r="D248" s="41">
        <v>6059</v>
      </c>
      <c r="E248" s="41" t="s">
        <v>1076</v>
      </c>
      <c r="F248" s="41" t="s">
        <v>28</v>
      </c>
      <c r="G248" s="41" t="s">
        <v>64</v>
      </c>
      <c r="I248" s="41">
        <v>0</v>
      </c>
      <c r="J248" s="41" t="s">
        <v>32</v>
      </c>
      <c r="K248" s="42"/>
      <c r="L248" s="41" t="s">
        <v>1768</v>
      </c>
      <c r="M248" s="41">
        <v>220</v>
      </c>
      <c r="N248" s="41" t="s">
        <v>67</v>
      </c>
      <c r="O248" s="41" t="s">
        <v>620</v>
      </c>
      <c r="P248" s="41" t="s">
        <v>60</v>
      </c>
      <c r="Q248" s="41" t="s">
        <v>1769</v>
      </c>
      <c r="R248" s="41" t="s">
        <v>39</v>
      </c>
      <c r="S248" s="41" t="s">
        <v>40</v>
      </c>
      <c r="T248" s="41" t="s">
        <v>40</v>
      </c>
      <c r="U248" s="41" t="s">
        <v>40</v>
      </c>
    </row>
    <row r="249" spans="1:21">
      <c r="A249" s="41">
        <v>2701</v>
      </c>
      <c r="B249" s="41" t="s">
        <v>1770</v>
      </c>
      <c r="D249" s="41">
        <v>6055</v>
      </c>
      <c r="E249" s="41" t="s">
        <v>1771</v>
      </c>
      <c r="F249" s="41" t="s">
        <v>42</v>
      </c>
      <c r="G249" s="41" t="s">
        <v>141</v>
      </c>
      <c r="I249" s="41">
        <v>0</v>
      </c>
      <c r="J249" s="41" t="s">
        <v>672</v>
      </c>
      <c r="K249" s="42"/>
      <c r="L249" s="41" t="s">
        <v>1375</v>
      </c>
      <c r="M249" s="41">
        <v>220</v>
      </c>
      <c r="N249" s="41" t="s">
        <v>805</v>
      </c>
      <c r="O249" s="41" t="s">
        <v>1772</v>
      </c>
      <c r="P249" s="41" t="s">
        <v>98</v>
      </c>
      <c r="Q249" s="41" t="s">
        <v>99</v>
      </c>
      <c r="R249" s="41" t="s">
        <v>39</v>
      </c>
      <c r="S249" s="41" t="s">
        <v>40</v>
      </c>
      <c r="T249" s="41" t="s">
        <v>1773</v>
      </c>
      <c r="U249" s="41" t="s">
        <v>40</v>
      </c>
    </row>
    <row r="250" spans="1:21">
      <c r="A250" s="41">
        <v>2700</v>
      </c>
      <c r="B250" s="41" t="s">
        <v>1774</v>
      </c>
      <c r="D250" s="41">
        <v>6054</v>
      </c>
      <c r="E250" s="41" t="s">
        <v>1609</v>
      </c>
      <c r="F250" s="41" t="s">
        <v>42</v>
      </c>
      <c r="G250" s="41" t="s">
        <v>1175</v>
      </c>
      <c r="I250" s="41">
        <v>0</v>
      </c>
      <c r="J250" s="41" t="s">
        <v>32</v>
      </c>
      <c r="K250" s="42"/>
      <c r="L250" s="41" t="s">
        <v>1775</v>
      </c>
      <c r="M250" s="41">
        <v>33</v>
      </c>
      <c r="N250" s="41" t="s">
        <v>48</v>
      </c>
      <c r="O250" s="41" t="s">
        <v>1194</v>
      </c>
      <c r="P250" s="41" t="s">
        <v>98</v>
      </c>
      <c r="Q250" s="41" t="s">
        <v>98</v>
      </c>
      <c r="R250" s="41" t="s">
        <v>39</v>
      </c>
      <c r="S250" s="41" t="s">
        <v>40</v>
      </c>
      <c r="T250" s="41" t="s">
        <v>40</v>
      </c>
      <c r="U250" s="41" t="s">
        <v>40</v>
      </c>
    </row>
    <row r="251" spans="1:21">
      <c r="A251" s="41">
        <v>2699</v>
      </c>
      <c r="B251" s="41" t="s">
        <v>1776</v>
      </c>
      <c r="D251" s="41">
        <v>6053</v>
      </c>
      <c r="E251" s="41" t="s">
        <v>1739</v>
      </c>
      <c r="F251" s="41" t="s">
        <v>53</v>
      </c>
      <c r="G251" s="41" t="s">
        <v>127</v>
      </c>
      <c r="I251" s="41">
        <v>0</v>
      </c>
      <c r="J251" s="41" t="s">
        <v>672</v>
      </c>
      <c r="K251" s="42"/>
      <c r="L251" s="41" t="s">
        <v>1777</v>
      </c>
      <c r="M251" s="41">
        <v>15</v>
      </c>
      <c r="N251" s="41" t="s">
        <v>1778</v>
      </c>
      <c r="O251" s="41" t="s">
        <v>1439</v>
      </c>
      <c r="P251" s="41" t="s">
        <v>60</v>
      </c>
      <c r="Q251" s="41" t="s">
        <v>1344</v>
      </c>
      <c r="R251" s="41" t="s">
        <v>132</v>
      </c>
      <c r="S251" s="41" t="s">
        <v>40</v>
      </c>
      <c r="T251" s="41" t="s">
        <v>40</v>
      </c>
      <c r="U251" s="41" t="s">
        <v>40</v>
      </c>
    </row>
    <row r="252" spans="1:21">
      <c r="A252" s="41">
        <v>2698</v>
      </c>
      <c r="B252" s="41" t="s">
        <v>1605</v>
      </c>
      <c r="D252" s="41">
        <v>6052</v>
      </c>
      <c r="E252" s="41" t="s">
        <v>1435</v>
      </c>
      <c r="F252" s="41" t="s">
        <v>28</v>
      </c>
      <c r="G252" s="41" t="s">
        <v>64</v>
      </c>
      <c r="I252" s="41">
        <v>0</v>
      </c>
      <c r="J252" s="41" t="s">
        <v>32</v>
      </c>
      <c r="K252" s="42"/>
      <c r="L252" s="41" t="s">
        <v>1779</v>
      </c>
      <c r="M252" s="41">
        <v>220</v>
      </c>
      <c r="N252" s="41" t="s">
        <v>579</v>
      </c>
      <c r="O252" s="41" t="s">
        <v>1436</v>
      </c>
      <c r="P252" s="41" t="s">
        <v>50</v>
      </c>
      <c r="Q252" s="41" t="s">
        <v>1499</v>
      </c>
      <c r="R252" s="41" t="s">
        <v>39</v>
      </c>
      <c r="S252" s="41" t="s">
        <v>40</v>
      </c>
      <c r="T252" s="41" t="s">
        <v>40</v>
      </c>
      <c r="U252" s="41" t="s">
        <v>40</v>
      </c>
    </row>
    <row r="253" spans="1:21">
      <c r="A253" s="41">
        <v>2697</v>
      </c>
      <c r="B253" s="41" t="s">
        <v>1780</v>
      </c>
      <c r="D253" s="41">
        <v>6051</v>
      </c>
      <c r="E253" s="41" t="s">
        <v>1227</v>
      </c>
      <c r="F253" s="41" t="s">
        <v>42</v>
      </c>
      <c r="G253" s="41" t="s">
        <v>1175</v>
      </c>
      <c r="I253" s="41">
        <v>0</v>
      </c>
      <c r="J253" s="41" t="s">
        <v>32</v>
      </c>
      <c r="K253" s="42"/>
      <c r="L253" s="41" t="s">
        <v>1781</v>
      </c>
      <c r="M253" s="41">
        <v>33</v>
      </c>
      <c r="N253" s="41" t="s">
        <v>1020</v>
      </c>
      <c r="O253" s="41" t="s">
        <v>1317</v>
      </c>
      <c r="P253" s="41" t="s">
        <v>98</v>
      </c>
      <c r="Q253" s="41" t="s">
        <v>116</v>
      </c>
      <c r="R253" s="41" t="s">
        <v>39</v>
      </c>
      <c r="S253" s="41" t="s">
        <v>40</v>
      </c>
      <c r="T253" s="41" t="s">
        <v>40</v>
      </c>
      <c r="U253" s="41" t="s">
        <v>40</v>
      </c>
    </row>
    <row r="254" spans="1:21">
      <c r="A254" s="41">
        <v>2696</v>
      </c>
      <c r="B254" s="41" t="s">
        <v>1782</v>
      </c>
      <c r="D254" s="41">
        <v>6050</v>
      </c>
      <c r="E254" s="41" t="s">
        <v>1270</v>
      </c>
      <c r="F254" s="41" t="s">
        <v>53</v>
      </c>
      <c r="G254" s="41" t="s">
        <v>127</v>
      </c>
      <c r="I254" s="41" t="s">
        <v>149</v>
      </c>
      <c r="J254" s="41" t="s">
        <v>32</v>
      </c>
      <c r="K254" s="42"/>
      <c r="L254" s="41" t="s">
        <v>1783</v>
      </c>
      <c r="M254" s="41">
        <v>12</v>
      </c>
      <c r="N254" s="41" t="s">
        <v>1784</v>
      </c>
      <c r="O254" s="41" t="s">
        <v>1785</v>
      </c>
      <c r="P254" s="41" t="s">
        <v>78</v>
      </c>
      <c r="Q254" s="41" t="s">
        <v>1786</v>
      </c>
      <c r="R254" s="41" t="s">
        <v>132</v>
      </c>
      <c r="S254" s="41" t="s">
        <v>40</v>
      </c>
      <c r="T254" s="41" t="s">
        <v>40</v>
      </c>
      <c r="U254" s="41" t="s">
        <v>40</v>
      </c>
    </row>
    <row r="255" spans="1:21">
      <c r="A255" s="41">
        <v>2695</v>
      </c>
      <c r="B255" s="41" t="s">
        <v>1787</v>
      </c>
      <c r="D255" s="41">
        <v>6058</v>
      </c>
      <c r="E255" s="41" t="s">
        <v>1091</v>
      </c>
      <c r="F255" s="41" t="s">
        <v>53</v>
      </c>
      <c r="G255" s="41" t="s">
        <v>127</v>
      </c>
      <c r="I255" s="41">
        <v>0</v>
      </c>
      <c r="J255" s="41" t="s">
        <v>672</v>
      </c>
      <c r="K255" s="42"/>
      <c r="L255" s="41" t="s">
        <v>1666</v>
      </c>
      <c r="M255" s="41">
        <v>12</v>
      </c>
      <c r="N255" s="41" t="s">
        <v>1670</v>
      </c>
      <c r="O255" s="41" t="s">
        <v>1788</v>
      </c>
      <c r="P255" s="41" t="s">
        <v>68</v>
      </c>
      <c r="Q255" s="41" t="s">
        <v>1668</v>
      </c>
      <c r="R255" s="41" t="s">
        <v>132</v>
      </c>
      <c r="S255" s="41" t="s">
        <v>40</v>
      </c>
      <c r="T255" s="41" t="s">
        <v>40</v>
      </c>
      <c r="U255" s="41" t="s">
        <v>40</v>
      </c>
    </row>
    <row r="256" spans="1:21">
      <c r="A256" s="41">
        <v>2694</v>
      </c>
      <c r="B256" s="41" t="s">
        <v>1789</v>
      </c>
      <c r="D256" s="41">
        <v>6021</v>
      </c>
      <c r="E256" s="41" t="s">
        <v>1091</v>
      </c>
      <c r="F256" s="41" t="s">
        <v>53</v>
      </c>
      <c r="G256" s="41" t="s">
        <v>127</v>
      </c>
      <c r="I256" s="41">
        <v>0</v>
      </c>
      <c r="J256" s="41" t="s">
        <v>672</v>
      </c>
      <c r="K256" s="42"/>
      <c r="L256" s="41" t="s">
        <v>1790</v>
      </c>
      <c r="M256" s="41">
        <v>12</v>
      </c>
      <c r="N256" s="41" t="s">
        <v>1670</v>
      </c>
      <c r="O256" s="41" t="s">
        <v>1392</v>
      </c>
      <c r="P256" s="41" t="s">
        <v>68</v>
      </c>
      <c r="Q256" s="41" t="s">
        <v>1668</v>
      </c>
      <c r="R256" s="41" t="s">
        <v>132</v>
      </c>
      <c r="S256" s="41" t="s">
        <v>40</v>
      </c>
      <c r="T256" s="41" t="s">
        <v>40</v>
      </c>
      <c r="U256" s="41" t="s">
        <v>40</v>
      </c>
    </row>
    <row r="257" spans="1:21">
      <c r="A257" s="41">
        <v>2693</v>
      </c>
      <c r="B257" s="41" t="s">
        <v>1791</v>
      </c>
      <c r="D257" s="41">
        <v>6020</v>
      </c>
      <c r="E257" s="41" t="s">
        <v>1091</v>
      </c>
      <c r="F257" s="41" t="s">
        <v>53</v>
      </c>
      <c r="G257" s="41" t="s">
        <v>141</v>
      </c>
      <c r="I257" s="41">
        <v>0</v>
      </c>
      <c r="J257" s="41" t="s">
        <v>672</v>
      </c>
      <c r="K257" s="42"/>
      <c r="L257" s="41" t="s">
        <v>1792</v>
      </c>
      <c r="M257" s="41">
        <v>12</v>
      </c>
      <c r="N257" s="41" t="s">
        <v>1670</v>
      </c>
      <c r="O257" s="41" t="s">
        <v>1793</v>
      </c>
      <c r="P257" s="41" t="s">
        <v>68</v>
      </c>
      <c r="Q257" s="41" t="s">
        <v>1794</v>
      </c>
      <c r="R257" s="41" t="s">
        <v>132</v>
      </c>
      <c r="S257" s="41" t="s">
        <v>1795</v>
      </c>
      <c r="T257" s="41" t="s">
        <v>1796</v>
      </c>
      <c r="U257" s="41" t="s">
        <v>40</v>
      </c>
    </row>
    <row r="258" spans="1:21">
      <c r="A258" s="41">
        <v>2692</v>
      </c>
      <c r="B258" s="41" t="s">
        <v>1797</v>
      </c>
      <c r="C258" s="41">
        <v>1</v>
      </c>
      <c r="D258" s="41">
        <v>6018</v>
      </c>
      <c r="E258" s="41" t="s">
        <v>1798</v>
      </c>
      <c r="F258" s="41" t="s">
        <v>53</v>
      </c>
      <c r="G258" s="41" t="s">
        <v>760</v>
      </c>
      <c r="H258" s="42">
        <v>45881</v>
      </c>
      <c r="I258" s="41">
        <v>80</v>
      </c>
      <c r="J258" s="41" t="s">
        <v>672</v>
      </c>
      <c r="K258" s="42">
        <v>47391</v>
      </c>
      <c r="L258" s="41" t="s">
        <v>1602</v>
      </c>
      <c r="M258" s="41">
        <v>110</v>
      </c>
      <c r="N258" s="41" t="s">
        <v>59</v>
      </c>
      <c r="O258" s="41" t="s">
        <v>1799</v>
      </c>
      <c r="P258" s="41" t="s">
        <v>68</v>
      </c>
      <c r="Q258" s="41" t="s">
        <v>184</v>
      </c>
      <c r="R258" s="41" t="s">
        <v>132</v>
      </c>
      <c r="S258" s="41" t="s">
        <v>40</v>
      </c>
      <c r="T258" s="41" t="s">
        <v>40</v>
      </c>
      <c r="U258" s="41" t="s">
        <v>40</v>
      </c>
    </row>
    <row r="259" spans="1:21">
      <c r="A259" s="41">
        <v>2691</v>
      </c>
      <c r="B259" s="41" t="s">
        <v>1800</v>
      </c>
      <c r="D259" s="41">
        <v>6017</v>
      </c>
      <c r="E259" s="41" t="s">
        <v>1801</v>
      </c>
      <c r="F259" s="41" t="s">
        <v>53</v>
      </c>
      <c r="G259" s="41" t="s">
        <v>188</v>
      </c>
      <c r="I259" s="41">
        <v>0</v>
      </c>
      <c r="J259" s="41" t="s">
        <v>32</v>
      </c>
      <c r="K259" s="42"/>
      <c r="L259" s="41" t="s">
        <v>1802</v>
      </c>
      <c r="M259" s="41">
        <v>110</v>
      </c>
      <c r="N259" s="41" t="s">
        <v>59</v>
      </c>
      <c r="O259" s="41" t="s">
        <v>333</v>
      </c>
      <c r="P259" s="41" t="s">
        <v>172</v>
      </c>
      <c r="Q259" s="41" t="s">
        <v>1803</v>
      </c>
      <c r="R259" s="41" t="s">
        <v>132</v>
      </c>
      <c r="S259" s="41" t="s">
        <v>40</v>
      </c>
      <c r="T259" s="41" t="s">
        <v>40</v>
      </c>
      <c r="U259" s="41" t="s">
        <v>40</v>
      </c>
    </row>
    <row r="260" spans="1:21">
      <c r="A260" s="41">
        <v>2690</v>
      </c>
      <c r="B260" s="41" t="s">
        <v>1800</v>
      </c>
      <c r="E260" s="41" t="s">
        <v>1801</v>
      </c>
      <c r="F260" s="41" t="s">
        <v>53</v>
      </c>
      <c r="G260" s="41" t="s">
        <v>972</v>
      </c>
      <c r="I260" s="41" t="s">
        <v>56</v>
      </c>
      <c r="J260" s="41" t="s">
        <v>32</v>
      </c>
      <c r="K260" s="42"/>
      <c r="P260" s="41" t="s">
        <v>172</v>
      </c>
      <c r="Q260" s="41" t="s">
        <v>1803</v>
      </c>
      <c r="R260" s="41" t="s">
        <v>132</v>
      </c>
      <c r="S260" s="41" t="s">
        <v>40</v>
      </c>
      <c r="T260" s="41" t="s">
        <v>40</v>
      </c>
      <c r="U260" s="41" t="s">
        <v>40</v>
      </c>
    </row>
    <row r="261" spans="1:21">
      <c r="A261" s="41">
        <v>2689</v>
      </c>
      <c r="B261" s="41" t="s">
        <v>1800</v>
      </c>
      <c r="E261" s="41" t="s">
        <v>1801</v>
      </c>
      <c r="F261" s="41" t="s">
        <v>53</v>
      </c>
      <c r="G261" s="41" t="s">
        <v>972</v>
      </c>
      <c r="I261" s="41" t="s">
        <v>56</v>
      </c>
      <c r="J261" s="41" t="s">
        <v>32</v>
      </c>
      <c r="K261" s="42"/>
      <c r="P261" s="41" t="s">
        <v>172</v>
      </c>
      <c r="Q261" s="41" t="s">
        <v>1803</v>
      </c>
      <c r="R261" s="41" t="s">
        <v>132</v>
      </c>
      <c r="S261" s="41" t="s">
        <v>40</v>
      </c>
      <c r="T261" s="41" t="s">
        <v>40</v>
      </c>
      <c r="U261" s="41" t="s">
        <v>40</v>
      </c>
    </row>
    <row r="262" spans="1:21">
      <c r="A262" s="41">
        <v>2688</v>
      </c>
      <c r="B262" s="41" t="s">
        <v>1804</v>
      </c>
      <c r="D262" s="41">
        <v>6016</v>
      </c>
      <c r="E262" s="41" t="s">
        <v>1805</v>
      </c>
      <c r="F262" s="41" t="s">
        <v>28</v>
      </c>
      <c r="G262" s="41" t="s">
        <v>301</v>
      </c>
      <c r="I262" s="41">
        <v>0</v>
      </c>
      <c r="J262" s="41" t="s">
        <v>672</v>
      </c>
      <c r="K262" s="42"/>
      <c r="L262" s="41" t="s">
        <v>1806</v>
      </c>
      <c r="M262" s="41">
        <v>220</v>
      </c>
      <c r="N262" s="41" t="s">
        <v>311</v>
      </c>
      <c r="O262" s="41" t="s">
        <v>311</v>
      </c>
      <c r="P262" s="41" t="s">
        <v>179</v>
      </c>
      <c r="Q262" s="41" t="s">
        <v>524</v>
      </c>
      <c r="R262" s="41" t="s">
        <v>39</v>
      </c>
      <c r="S262" s="41" t="s">
        <v>1807</v>
      </c>
      <c r="T262" s="41" t="s">
        <v>1500</v>
      </c>
      <c r="U262" s="41" t="s">
        <v>40</v>
      </c>
    </row>
    <row r="263" spans="1:21">
      <c r="A263" s="41">
        <v>2687</v>
      </c>
      <c r="B263" s="41" t="s">
        <v>1808</v>
      </c>
      <c r="D263" s="41">
        <v>6015</v>
      </c>
      <c r="E263" s="41" t="s">
        <v>1809</v>
      </c>
      <c r="F263" s="41" t="s">
        <v>28</v>
      </c>
      <c r="G263" s="41" t="s">
        <v>301</v>
      </c>
      <c r="I263" s="41">
        <v>0</v>
      </c>
      <c r="J263" s="41" t="s">
        <v>32</v>
      </c>
      <c r="K263" s="42"/>
      <c r="L263" s="41" t="s">
        <v>1810</v>
      </c>
      <c r="M263" s="41">
        <v>220</v>
      </c>
      <c r="N263" s="41" t="s">
        <v>1811</v>
      </c>
      <c r="O263" s="41" t="s">
        <v>620</v>
      </c>
      <c r="P263" s="41" t="s">
        <v>98</v>
      </c>
      <c r="Q263" s="41" t="s">
        <v>116</v>
      </c>
      <c r="R263" s="41" t="s">
        <v>39</v>
      </c>
      <c r="S263" s="41" t="s">
        <v>1812</v>
      </c>
      <c r="T263" s="41" t="s">
        <v>1621</v>
      </c>
      <c r="U263" s="41" t="s">
        <v>40</v>
      </c>
    </row>
    <row r="264" spans="1:21">
      <c r="A264" s="41">
        <v>2686</v>
      </c>
      <c r="B264" s="41" t="s">
        <v>1813</v>
      </c>
      <c r="D264" s="41">
        <v>6014</v>
      </c>
      <c r="E264" s="41" t="s">
        <v>27</v>
      </c>
      <c r="F264" s="41" t="s">
        <v>28</v>
      </c>
      <c r="G264" s="41" t="s">
        <v>301</v>
      </c>
      <c r="I264" s="41">
        <v>0</v>
      </c>
      <c r="J264" s="41" t="s">
        <v>32</v>
      </c>
      <c r="K264" s="42"/>
      <c r="L264" s="41" t="s">
        <v>1814</v>
      </c>
      <c r="M264" s="41">
        <v>33</v>
      </c>
      <c r="N264" s="41" t="s">
        <v>67</v>
      </c>
      <c r="O264" s="41" t="s">
        <v>36</v>
      </c>
      <c r="P264" s="41" t="s">
        <v>37</v>
      </c>
      <c r="Q264" s="41" t="s">
        <v>38</v>
      </c>
      <c r="R264" s="41" t="s">
        <v>39</v>
      </c>
      <c r="S264" s="41" t="s">
        <v>1815</v>
      </c>
      <c r="T264" s="41" t="s">
        <v>266</v>
      </c>
      <c r="U264" s="41" t="s">
        <v>40</v>
      </c>
    </row>
    <row r="265" spans="1:21">
      <c r="A265" s="41">
        <v>2685</v>
      </c>
      <c r="B265" s="41" t="s">
        <v>26</v>
      </c>
      <c r="E265" s="41" t="s">
        <v>27</v>
      </c>
      <c r="F265" s="41" t="s">
        <v>28</v>
      </c>
      <c r="G265" s="41" t="s">
        <v>43</v>
      </c>
      <c r="I265" s="41" t="s">
        <v>31</v>
      </c>
      <c r="J265" s="41" t="s">
        <v>32</v>
      </c>
      <c r="K265" s="42"/>
      <c r="P265" s="41" t="s">
        <v>37</v>
      </c>
      <c r="Q265" s="41" t="s">
        <v>38</v>
      </c>
      <c r="R265" s="41" t="s">
        <v>39</v>
      </c>
      <c r="S265" s="41" t="s">
        <v>40</v>
      </c>
      <c r="T265" s="41" t="s">
        <v>40</v>
      </c>
      <c r="U265" s="41" t="s">
        <v>40</v>
      </c>
    </row>
    <row r="266" spans="1:21">
      <c r="A266" s="41">
        <v>2684</v>
      </c>
      <c r="B266" s="41" t="s">
        <v>26</v>
      </c>
      <c r="E266" s="41" t="s">
        <v>27</v>
      </c>
      <c r="F266" s="41" t="s">
        <v>28</v>
      </c>
      <c r="G266" s="41" t="s">
        <v>43</v>
      </c>
      <c r="I266" s="41" t="s">
        <v>31</v>
      </c>
      <c r="J266" s="41" t="s">
        <v>32</v>
      </c>
      <c r="K266" s="42"/>
      <c r="P266" s="41" t="s">
        <v>37</v>
      </c>
      <c r="Q266" s="41" t="s">
        <v>38</v>
      </c>
      <c r="R266" s="41" t="s">
        <v>39</v>
      </c>
      <c r="S266" s="41" t="s">
        <v>40</v>
      </c>
      <c r="T266" s="41" t="s">
        <v>40</v>
      </c>
      <c r="U266" s="41" t="s">
        <v>40</v>
      </c>
    </row>
    <row r="267" spans="1:21">
      <c r="A267" s="41">
        <v>2683</v>
      </c>
      <c r="B267" s="41" t="s">
        <v>1816</v>
      </c>
      <c r="D267" s="41">
        <v>6019</v>
      </c>
      <c r="E267" s="41" t="s">
        <v>1817</v>
      </c>
      <c r="F267" s="41" t="s">
        <v>53</v>
      </c>
      <c r="G267" s="41" t="s">
        <v>64</v>
      </c>
      <c r="I267" s="41">
        <v>0</v>
      </c>
      <c r="J267" s="41" t="s">
        <v>32</v>
      </c>
      <c r="K267" s="42"/>
      <c r="L267" s="41" t="s">
        <v>1818</v>
      </c>
      <c r="M267" s="41">
        <v>220</v>
      </c>
      <c r="N267" s="41" t="s">
        <v>1819</v>
      </c>
      <c r="O267" s="41" t="s">
        <v>1615</v>
      </c>
      <c r="P267" s="41" t="s">
        <v>37</v>
      </c>
      <c r="Q267" s="41" t="s">
        <v>969</v>
      </c>
      <c r="R267" s="41" t="s">
        <v>62</v>
      </c>
      <c r="S267" s="41" t="s">
        <v>40</v>
      </c>
      <c r="T267" s="41" t="s">
        <v>40</v>
      </c>
      <c r="U267" s="41" t="s">
        <v>40</v>
      </c>
    </row>
    <row r="268" spans="1:21">
      <c r="A268" s="41">
        <v>2682</v>
      </c>
      <c r="B268" s="41" t="s">
        <v>26</v>
      </c>
      <c r="D268" s="41">
        <v>6013</v>
      </c>
      <c r="E268" s="41" t="s">
        <v>27</v>
      </c>
      <c r="F268" s="41" t="s">
        <v>42</v>
      </c>
      <c r="G268" s="41" t="s">
        <v>1175</v>
      </c>
      <c r="I268" s="41">
        <v>0</v>
      </c>
      <c r="J268" s="41" t="s">
        <v>32</v>
      </c>
      <c r="K268" s="42"/>
      <c r="L268" s="41" t="s">
        <v>1820</v>
      </c>
      <c r="M268" s="41">
        <v>33</v>
      </c>
      <c r="N268" s="41" t="s">
        <v>67</v>
      </c>
      <c r="O268" s="41" t="s">
        <v>36</v>
      </c>
      <c r="P268" s="41" t="s">
        <v>37</v>
      </c>
      <c r="Q268" s="41" t="s">
        <v>38</v>
      </c>
      <c r="R268" s="41" t="s">
        <v>39</v>
      </c>
      <c r="S268" s="41" t="s">
        <v>40</v>
      </c>
      <c r="T268" s="41" t="s">
        <v>40</v>
      </c>
      <c r="U268" s="41" t="s">
        <v>40</v>
      </c>
    </row>
    <row r="269" spans="1:21">
      <c r="A269" s="41">
        <v>2681</v>
      </c>
      <c r="B269" s="41" t="s">
        <v>1511</v>
      </c>
      <c r="D269" s="41">
        <v>6012</v>
      </c>
      <c r="E269" s="41" t="s">
        <v>1512</v>
      </c>
      <c r="F269" s="41" t="s">
        <v>28</v>
      </c>
      <c r="G269" s="41" t="s">
        <v>64</v>
      </c>
      <c r="I269" s="41">
        <v>0</v>
      </c>
      <c r="J269" s="41" t="s">
        <v>32</v>
      </c>
      <c r="K269" s="42"/>
      <c r="L269" s="41" t="s">
        <v>1514</v>
      </c>
      <c r="M269" s="41">
        <v>66</v>
      </c>
      <c r="N269" s="41" t="s">
        <v>1574</v>
      </c>
      <c r="O269" s="41" t="s">
        <v>77</v>
      </c>
      <c r="P269" s="41" t="s">
        <v>68</v>
      </c>
      <c r="Q269" s="41" t="s">
        <v>938</v>
      </c>
      <c r="R269" s="41" t="s">
        <v>39</v>
      </c>
      <c r="S269" s="41" t="s">
        <v>40</v>
      </c>
      <c r="T269" s="41" t="s">
        <v>40</v>
      </c>
      <c r="U269" s="41" t="s">
        <v>40</v>
      </c>
    </row>
    <row r="270" spans="1:21">
      <c r="A270" s="41">
        <v>2680</v>
      </c>
      <c r="B270" s="41" t="s">
        <v>1821</v>
      </c>
      <c r="D270" s="41">
        <v>6011</v>
      </c>
      <c r="E270" s="41" t="s">
        <v>1822</v>
      </c>
      <c r="F270" s="41" t="s">
        <v>28</v>
      </c>
      <c r="G270" s="41" t="s">
        <v>64</v>
      </c>
      <c r="I270" s="41">
        <v>0</v>
      </c>
      <c r="J270" s="41" t="s">
        <v>32</v>
      </c>
      <c r="K270" s="42"/>
      <c r="L270" s="41" t="s">
        <v>1823</v>
      </c>
      <c r="M270" s="41">
        <v>66</v>
      </c>
      <c r="N270" s="41" t="s">
        <v>1574</v>
      </c>
      <c r="O270" s="41" t="s">
        <v>77</v>
      </c>
      <c r="P270" s="41" t="s">
        <v>60</v>
      </c>
      <c r="Q270" s="41" t="s">
        <v>1824</v>
      </c>
      <c r="R270" s="41" t="s">
        <v>39</v>
      </c>
      <c r="S270" s="41" t="s">
        <v>40</v>
      </c>
      <c r="T270" s="41" t="s">
        <v>40</v>
      </c>
      <c r="U270" s="41" t="s">
        <v>40</v>
      </c>
    </row>
    <row r="271" spans="1:21">
      <c r="A271" s="41">
        <v>2679</v>
      </c>
      <c r="B271" s="41" t="s">
        <v>1290</v>
      </c>
      <c r="D271" s="41">
        <v>6003</v>
      </c>
      <c r="E271" s="41" t="s">
        <v>1291</v>
      </c>
      <c r="F271" s="41" t="s">
        <v>53</v>
      </c>
      <c r="G271" s="41" t="s">
        <v>43</v>
      </c>
      <c r="I271" s="41">
        <v>0</v>
      </c>
      <c r="J271" s="41" t="s">
        <v>32</v>
      </c>
      <c r="K271" s="42"/>
      <c r="L271" s="41" t="s">
        <v>1825</v>
      </c>
      <c r="M271" s="41">
        <v>220</v>
      </c>
      <c r="N271" s="41" t="s">
        <v>1826</v>
      </c>
      <c r="O271" s="41" t="s">
        <v>1827</v>
      </c>
      <c r="P271" s="41" t="s">
        <v>78</v>
      </c>
      <c r="Q271" s="41" t="s">
        <v>1295</v>
      </c>
      <c r="R271" s="41" t="s">
        <v>62</v>
      </c>
      <c r="S271" s="41" t="s">
        <v>40</v>
      </c>
      <c r="T271" s="41" t="s">
        <v>40</v>
      </c>
      <c r="U271" s="41" t="s">
        <v>40</v>
      </c>
    </row>
    <row r="272" spans="1:21">
      <c r="A272" s="41">
        <v>2678</v>
      </c>
      <c r="B272" s="41" t="s">
        <v>1828</v>
      </c>
      <c r="D272" s="41">
        <v>6002</v>
      </c>
      <c r="E272" s="41" t="s">
        <v>1091</v>
      </c>
      <c r="F272" s="41" t="s">
        <v>53</v>
      </c>
      <c r="G272" s="41" t="s">
        <v>141</v>
      </c>
      <c r="I272" s="41">
        <v>0</v>
      </c>
      <c r="J272" s="41" t="s">
        <v>672</v>
      </c>
      <c r="K272" s="42"/>
      <c r="L272" s="41" t="s">
        <v>1829</v>
      </c>
      <c r="M272" s="41">
        <v>12</v>
      </c>
      <c r="N272" s="41" t="s">
        <v>1670</v>
      </c>
      <c r="O272" s="41" t="s">
        <v>1830</v>
      </c>
      <c r="P272" s="41" t="s">
        <v>68</v>
      </c>
      <c r="Q272" s="41" t="s">
        <v>1393</v>
      </c>
      <c r="R272" s="41" t="s">
        <v>132</v>
      </c>
      <c r="S272" s="41" t="s">
        <v>1831</v>
      </c>
      <c r="T272" s="41" t="s">
        <v>1796</v>
      </c>
      <c r="U272" s="41" t="s">
        <v>40</v>
      </c>
    </row>
    <row r="273" spans="1:21">
      <c r="A273" s="41">
        <v>2677</v>
      </c>
      <c r="B273" s="41" t="s">
        <v>1832</v>
      </c>
      <c r="D273" s="41">
        <v>5999</v>
      </c>
      <c r="E273" s="41" t="s">
        <v>1191</v>
      </c>
      <c r="F273" s="41" t="s">
        <v>53</v>
      </c>
      <c r="G273" s="41" t="s">
        <v>127</v>
      </c>
      <c r="I273" s="41">
        <v>0</v>
      </c>
      <c r="J273" s="41" t="s">
        <v>380</v>
      </c>
      <c r="K273" s="42"/>
      <c r="L273" s="41" t="s">
        <v>1833</v>
      </c>
      <c r="M273" s="41">
        <v>220</v>
      </c>
      <c r="N273" s="41" t="s">
        <v>1335</v>
      </c>
      <c r="O273" s="41" t="s">
        <v>1834</v>
      </c>
      <c r="P273" s="41" t="s">
        <v>179</v>
      </c>
      <c r="Q273" s="41" t="s">
        <v>1116</v>
      </c>
      <c r="R273" s="41" t="s">
        <v>62</v>
      </c>
      <c r="S273" s="41" t="s">
        <v>40</v>
      </c>
      <c r="T273" s="41" t="s">
        <v>40</v>
      </c>
      <c r="U273" s="41" t="s">
        <v>40</v>
      </c>
    </row>
    <row r="274" spans="1:21">
      <c r="A274" s="41">
        <v>2676</v>
      </c>
      <c r="B274" s="41" t="s">
        <v>1835</v>
      </c>
      <c r="D274" s="41">
        <v>6000</v>
      </c>
      <c r="E274" s="41" t="s">
        <v>1836</v>
      </c>
      <c r="F274" s="41" t="s">
        <v>53</v>
      </c>
      <c r="G274" s="41" t="s">
        <v>64</v>
      </c>
      <c r="I274" s="41">
        <v>0</v>
      </c>
      <c r="J274" s="41" t="s">
        <v>295</v>
      </c>
      <c r="K274" s="42"/>
      <c r="L274" s="41" t="s">
        <v>1837</v>
      </c>
      <c r="M274" s="41">
        <v>154</v>
      </c>
      <c r="N274" s="41" t="s">
        <v>1220</v>
      </c>
      <c r="O274" s="41" t="s">
        <v>1838</v>
      </c>
      <c r="P274" s="41" t="s">
        <v>172</v>
      </c>
      <c r="Q274" s="41" t="s">
        <v>1104</v>
      </c>
      <c r="R274" s="41" t="s">
        <v>62</v>
      </c>
      <c r="S274" s="41" t="s">
        <v>1839</v>
      </c>
      <c r="T274" s="41" t="s">
        <v>40</v>
      </c>
      <c r="U274" s="41" t="s">
        <v>40</v>
      </c>
    </row>
    <row r="275" spans="1:21">
      <c r="A275" s="41">
        <v>2675</v>
      </c>
      <c r="B275" s="41" t="s">
        <v>1840</v>
      </c>
      <c r="D275" s="41">
        <v>6001</v>
      </c>
      <c r="E275" s="41" t="s">
        <v>1841</v>
      </c>
      <c r="F275" s="41" t="s">
        <v>53</v>
      </c>
      <c r="G275" s="41" t="s">
        <v>141</v>
      </c>
      <c r="I275" s="41">
        <v>0</v>
      </c>
      <c r="J275" s="41" t="s">
        <v>32</v>
      </c>
      <c r="K275" s="42"/>
      <c r="L275" s="41" t="s">
        <v>1842</v>
      </c>
      <c r="M275" s="41">
        <v>220</v>
      </c>
      <c r="N275" s="41" t="s">
        <v>1843</v>
      </c>
      <c r="O275" s="41" t="s">
        <v>1844</v>
      </c>
      <c r="P275" s="41" t="s">
        <v>179</v>
      </c>
      <c r="Q275" s="41" t="s">
        <v>592</v>
      </c>
      <c r="R275" s="41" t="s">
        <v>62</v>
      </c>
      <c r="S275" s="41" t="s">
        <v>1845</v>
      </c>
      <c r="T275" s="41" t="s">
        <v>1846</v>
      </c>
      <c r="U275" s="41" t="s">
        <v>40</v>
      </c>
    </row>
    <row r="276" spans="1:21">
      <c r="A276" s="41">
        <v>2674</v>
      </c>
      <c r="B276" s="41" t="s">
        <v>1847</v>
      </c>
      <c r="D276" s="41">
        <v>5998</v>
      </c>
      <c r="E276" s="41" t="s">
        <v>1848</v>
      </c>
      <c r="F276" s="41" t="s">
        <v>53</v>
      </c>
      <c r="G276" s="41" t="s">
        <v>54</v>
      </c>
      <c r="I276" s="41">
        <v>0</v>
      </c>
      <c r="J276" s="41" t="s">
        <v>32</v>
      </c>
      <c r="K276" s="42"/>
      <c r="L276" s="41" t="s">
        <v>261</v>
      </c>
      <c r="M276" s="41">
        <v>220</v>
      </c>
      <c r="N276" s="41" t="s">
        <v>67</v>
      </c>
      <c r="O276" s="41" t="s">
        <v>791</v>
      </c>
      <c r="P276" s="41" t="s">
        <v>37</v>
      </c>
      <c r="Q276" s="41" t="s">
        <v>264</v>
      </c>
      <c r="R276" s="41" t="s">
        <v>62</v>
      </c>
      <c r="S276" s="41" t="s">
        <v>40</v>
      </c>
      <c r="T276" s="41" t="s">
        <v>40</v>
      </c>
      <c r="U276" s="41" t="s">
        <v>40</v>
      </c>
    </row>
    <row r="277" spans="1:21">
      <c r="A277" s="41">
        <v>2673</v>
      </c>
      <c r="B277" s="41" t="s">
        <v>1849</v>
      </c>
      <c r="D277" s="41">
        <v>5995</v>
      </c>
      <c r="E277" s="41" t="s">
        <v>1227</v>
      </c>
      <c r="F277" s="41" t="s">
        <v>42</v>
      </c>
      <c r="G277" s="41" t="s">
        <v>1369</v>
      </c>
      <c r="I277" s="41">
        <v>0</v>
      </c>
      <c r="J277" s="41" t="s">
        <v>32</v>
      </c>
      <c r="K277" s="42"/>
      <c r="L277" s="41" t="s">
        <v>1850</v>
      </c>
      <c r="M277" s="41">
        <v>33</v>
      </c>
      <c r="N277" s="41" t="s">
        <v>67</v>
      </c>
      <c r="O277" s="41" t="s">
        <v>1851</v>
      </c>
      <c r="P277" s="41" t="s">
        <v>98</v>
      </c>
      <c r="Q277" s="41" t="s">
        <v>370</v>
      </c>
      <c r="R277" s="41" t="s">
        <v>39</v>
      </c>
      <c r="S277" s="41" t="s">
        <v>40</v>
      </c>
      <c r="T277" s="41" t="s">
        <v>40</v>
      </c>
      <c r="U277" s="41" t="s">
        <v>40</v>
      </c>
    </row>
    <row r="278" spans="1:21">
      <c r="A278" s="41">
        <v>2672</v>
      </c>
      <c r="B278" s="41" t="s">
        <v>1852</v>
      </c>
      <c r="D278" s="41">
        <v>5996</v>
      </c>
      <c r="E278" s="41" t="s">
        <v>1227</v>
      </c>
      <c r="F278" s="41" t="s">
        <v>42</v>
      </c>
      <c r="G278" s="41" t="s">
        <v>1175</v>
      </c>
      <c r="I278" s="41">
        <v>0</v>
      </c>
      <c r="J278" s="41" t="s">
        <v>32</v>
      </c>
      <c r="K278" s="42"/>
      <c r="L278" s="41" t="s">
        <v>1538</v>
      </c>
      <c r="M278" s="41">
        <v>33</v>
      </c>
      <c r="N278" s="41" t="s">
        <v>1522</v>
      </c>
      <c r="O278" s="41" t="s">
        <v>1539</v>
      </c>
      <c r="P278" s="41" t="s">
        <v>98</v>
      </c>
      <c r="Q278" s="41" t="s">
        <v>98</v>
      </c>
      <c r="R278" s="41" t="s">
        <v>39</v>
      </c>
      <c r="S278" s="41" t="s">
        <v>40</v>
      </c>
      <c r="T278" s="41" t="s">
        <v>40</v>
      </c>
      <c r="U278" s="41" t="s">
        <v>40</v>
      </c>
    </row>
    <row r="279" spans="1:21">
      <c r="A279" s="41">
        <v>2671</v>
      </c>
      <c r="B279" s="41" t="s">
        <v>1780</v>
      </c>
      <c r="D279" s="41">
        <v>5997</v>
      </c>
      <c r="E279" s="41" t="s">
        <v>1227</v>
      </c>
      <c r="F279" s="41" t="s">
        <v>28</v>
      </c>
      <c r="G279" s="41" t="s">
        <v>43</v>
      </c>
      <c r="I279" s="41">
        <v>0</v>
      </c>
      <c r="J279" s="41" t="s">
        <v>32</v>
      </c>
      <c r="K279" s="42"/>
      <c r="L279" s="41" t="s">
        <v>1521</v>
      </c>
      <c r="M279" s="41">
        <v>33</v>
      </c>
      <c r="N279" s="41" t="s">
        <v>67</v>
      </c>
      <c r="O279" s="41" t="s">
        <v>1853</v>
      </c>
      <c r="P279" s="41" t="s">
        <v>98</v>
      </c>
      <c r="Q279" s="41" t="s">
        <v>116</v>
      </c>
      <c r="R279" s="41" t="s">
        <v>39</v>
      </c>
      <c r="S279" s="41" t="s">
        <v>40</v>
      </c>
      <c r="T279" s="41" t="s">
        <v>40</v>
      </c>
      <c r="U279" s="41" t="s">
        <v>40</v>
      </c>
    </row>
    <row r="280" spans="1:21">
      <c r="A280" s="41">
        <v>2670</v>
      </c>
      <c r="B280" s="41" t="s">
        <v>1854</v>
      </c>
      <c r="D280" s="41">
        <v>5994</v>
      </c>
      <c r="E280" s="41" t="s">
        <v>1855</v>
      </c>
      <c r="F280" s="41" t="s">
        <v>53</v>
      </c>
      <c r="G280" s="41" t="s">
        <v>127</v>
      </c>
      <c r="I280" s="41">
        <v>0</v>
      </c>
      <c r="J280" s="41" t="s">
        <v>32</v>
      </c>
      <c r="K280" s="42"/>
      <c r="L280" s="41" t="s">
        <v>1856</v>
      </c>
      <c r="M280" s="41">
        <v>500</v>
      </c>
      <c r="N280" s="41" t="s">
        <v>59</v>
      </c>
      <c r="O280" s="41" t="s">
        <v>1857</v>
      </c>
      <c r="P280" s="41" t="s">
        <v>37</v>
      </c>
      <c r="Q280" s="41" t="s">
        <v>38</v>
      </c>
      <c r="R280" s="41" t="s">
        <v>62</v>
      </c>
      <c r="S280" s="41" t="s">
        <v>40</v>
      </c>
      <c r="T280" s="41" t="s">
        <v>40</v>
      </c>
      <c r="U280" s="41" t="s">
        <v>40</v>
      </c>
    </row>
    <row r="281" spans="1:21">
      <c r="A281" s="41">
        <v>2669</v>
      </c>
      <c r="B281" s="41" t="s">
        <v>1858</v>
      </c>
      <c r="D281" s="41">
        <v>5976</v>
      </c>
      <c r="E281" s="41" t="s">
        <v>1739</v>
      </c>
      <c r="F281" s="41" t="s">
        <v>53</v>
      </c>
      <c r="G281" s="41" t="s">
        <v>1162</v>
      </c>
      <c r="I281" s="41">
        <v>0</v>
      </c>
      <c r="J281" s="41" t="s">
        <v>672</v>
      </c>
      <c r="K281" s="42"/>
      <c r="L281" s="41" t="s">
        <v>1859</v>
      </c>
      <c r="M281" s="41">
        <v>23</v>
      </c>
      <c r="N281" s="41" t="s">
        <v>1741</v>
      </c>
      <c r="O281" s="41" t="s">
        <v>1860</v>
      </c>
      <c r="P281" s="41" t="s">
        <v>98</v>
      </c>
      <c r="Q281" s="41" t="s">
        <v>491</v>
      </c>
      <c r="R281" s="41" t="s">
        <v>132</v>
      </c>
      <c r="S281" s="41" t="s">
        <v>40</v>
      </c>
      <c r="T281" s="41" t="s">
        <v>40</v>
      </c>
      <c r="U281" s="41" t="s">
        <v>40</v>
      </c>
    </row>
    <row r="282" spans="1:21">
      <c r="A282" s="41">
        <v>2668</v>
      </c>
      <c r="B282" s="41" t="s">
        <v>1861</v>
      </c>
      <c r="D282" s="41">
        <v>5978</v>
      </c>
      <c r="E282" s="41" t="s">
        <v>1862</v>
      </c>
      <c r="F282" s="41" t="s">
        <v>42</v>
      </c>
      <c r="G282" s="41" t="s">
        <v>43</v>
      </c>
      <c r="I282" s="41">
        <v>0</v>
      </c>
      <c r="J282" s="41" t="s">
        <v>32</v>
      </c>
      <c r="K282" s="42"/>
      <c r="L282" s="41" t="s">
        <v>1863</v>
      </c>
      <c r="M282" s="41">
        <v>23</v>
      </c>
      <c r="N282" s="41" t="s">
        <v>1864</v>
      </c>
      <c r="O282" s="41" t="s">
        <v>1525</v>
      </c>
      <c r="P282" s="41" t="s">
        <v>153</v>
      </c>
      <c r="Q282" s="41" t="s">
        <v>1865</v>
      </c>
      <c r="R282" s="41" t="s">
        <v>39</v>
      </c>
      <c r="S282" s="41" t="s">
        <v>40</v>
      </c>
      <c r="T282" s="41" t="s">
        <v>40</v>
      </c>
      <c r="U282" s="41" t="s">
        <v>40</v>
      </c>
    </row>
    <row r="283" spans="1:21">
      <c r="A283" s="41">
        <v>2667</v>
      </c>
      <c r="B283" s="41" t="s">
        <v>1441</v>
      </c>
      <c r="D283" s="41">
        <v>5975</v>
      </c>
      <c r="E283" s="41" t="s">
        <v>1442</v>
      </c>
      <c r="F283" s="41" t="s">
        <v>28</v>
      </c>
      <c r="G283" s="41" t="s">
        <v>43</v>
      </c>
      <c r="I283" s="41">
        <v>0</v>
      </c>
      <c r="J283" s="41" t="s">
        <v>32</v>
      </c>
      <c r="K283" s="42"/>
      <c r="L283" s="41" t="s">
        <v>1866</v>
      </c>
      <c r="M283" s="41">
        <v>22</v>
      </c>
      <c r="N283" s="41" t="s">
        <v>67</v>
      </c>
      <c r="O283" s="41" t="s">
        <v>36</v>
      </c>
      <c r="P283" s="41" t="s">
        <v>179</v>
      </c>
      <c r="Q283" s="41" t="s">
        <v>532</v>
      </c>
      <c r="R283" s="41" t="s">
        <v>39</v>
      </c>
      <c r="S283" s="41" t="s">
        <v>40</v>
      </c>
      <c r="T283" s="41" t="s">
        <v>40</v>
      </c>
      <c r="U283" s="41" t="s">
        <v>40</v>
      </c>
    </row>
    <row r="284" spans="1:21">
      <c r="A284" s="41">
        <v>2666</v>
      </c>
      <c r="B284" s="41" t="s">
        <v>1867</v>
      </c>
      <c r="D284" s="41">
        <v>5974</v>
      </c>
      <c r="E284" s="41" t="s">
        <v>1435</v>
      </c>
      <c r="F284" s="41" t="s">
        <v>28</v>
      </c>
      <c r="G284" s="41" t="s">
        <v>64</v>
      </c>
      <c r="I284" s="41">
        <v>0</v>
      </c>
      <c r="J284" s="41" t="s">
        <v>32</v>
      </c>
      <c r="K284" s="42"/>
      <c r="L284" s="41" t="s">
        <v>1868</v>
      </c>
      <c r="M284" s="41">
        <v>110</v>
      </c>
      <c r="N284" s="41" t="s">
        <v>1869</v>
      </c>
      <c r="O284" s="41" t="s">
        <v>1870</v>
      </c>
      <c r="P284" s="41" t="s">
        <v>546</v>
      </c>
      <c r="Q284" s="41" t="s">
        <v>547</v>
      </c>
      <c r="R284" s="41" t="s">
        <v>39</v>
      </c>
      <c r="S284" s="41" t="s">
        <v>40</v>
      </c>
      <c r="T284" s="41" t="s">
        <v>40</v>
      </c>
      <c r="U284" s="41" t="s">
        <v>40</v>
      </c>
    </row>
    <row r="285" spans="1:21">
      <c r="A285" s="41">
        <v>2665</v>
      </c>
      <c r="B285" s="41" t="s">
        <v>1871</v>
      </c>
      <c r="D285" s="41">
        <v>5972</v>
      </c>
      <c r="E285" s="41" t="s">
        <v>998</v>
      </c>
      <c r="F285" s="41" t="s">
        <v>53</v>
      </c>
      <c r="G285" s="41" t="s">
        <v>1071</v>
      </c>
      <c r="I285" s="41">
        <v>0</v>
      </c>
      <c r="J285" s="41" t="s">
        <v>672</v>
      </c>
      <c r="K285" s="42"/>
      <c r="L285" s="41" t="s">
        <v>1872</v>
      </c>
      <c r="M285" s="41">
        <v>23</v>
      </c>
      <c r="N285" s="41" t="s">
        <v>1741</v>
      </c>
      <c r="O285" s="41" t="s">
        <v>1873</v>
      </c>
      <c r="P285" s="41" t="s">
        <v>1046</v>
      </c>
      <c r="Q285" s="41" t="s">
        <v>1874</v>
      </c>
      <c r="R285" s="41" t="s">
        <v>132</v>
      </c>
      <c r="S285" s="41" t="s">
        <v>40</v>
      </c>
      <c r="T285" s="41" t="s">
        <v>40</v>
      </c>
      <c r="U285" s="41" t="s">
        <v>40</v>
      </c>
    </row>
    <row r="286" spans="1:21">
      <c r="A286" s="41">
        <v>2664</v>
      </c>
      <c r="B286" s="41" t="s">
        <v>1875</v>
      </c>
      <c r="D286" s="41">
        <v>5979</v>
      </c>
      <c r="E286" s="41" t="s">
        <v>1836</v>
      </c>
      <c r="F286" s="41" t="s">
        <v>42</v>
      </c>
      <c r="G286" s="41" t="s">
        <v>43</v>
      </c>
      <c r="I286" s="41">
        <v>0</v>
      </c>
      <c r="J286" s="41" t="s">
        <v>32</v>
      </c>
      <c r="K286" s="42"/>
      <c r="L286" s="41" t="s">
        <v>1876</v>
      </c>
      <c r="M286" s="41">
        <v>220</v>
      </c>
      <c r="N286" s="41" t="s">
        <v>67</v>
      </c>
      <c r="O286" s="41" t="s">
        <v>1877</v>
      </c>
      <c r="P286" s="41" t="s">
        <v>78</v>
      </c>
      <c r="Q286" s="41" t="s">
        <v>1171</v>
      </c>
      <c r="R286" s="41" t="s">
        <v>39</v>
      </c>
      <c r="S286" s="41" t="s">
        <v>40</v>
      </c>
      <c r="T286" s="41" t="s">
        <v>40</v>
      </c>
      <c r="U286" s="41" t="s">
        <v>40</v>
      </c>
    </row>
    <row r="287" spans="1:21">
      <c r="A287" s="41">
        <v>2663</v>
      </c>
      <c r="B287" s="41" t="s">
        <v>1878</v>
      </c>
      <c r="E287" s="41" t="s">
        <v>1879</v>
      </c>
      <c r="F287" s="41" t="s">
        <v>42</v>
      </c>
      <c r="G287" s="41" t="s">
        <v>993</v>
      </c>
      <c r="I287" s="41" t="s">
        <v>960</v>
      </c>
      <c r="J287" s="41" t="s">
        <v>295</v>
      </c>
      <c r="K287" s="42"/>
      <c r="L287" s="41" t="s">
        <v>1880</v>
      </c>
      <c r="M287" s="41">
        <v>23</v>
      </c>
      <c r="N287" s="41" t="s">
        <v>67</v>
      </c>
      <c r="O287" s="41" t="s">
        <v>77</v>
      </c>
      <c r="P287" s="41" t="s">
        <v>98</v>
      </c>
      <c r="Q287" s="41" t="s">
        <v>569</v>
      </c>
      <c r="R287" s="41" t="s">
        <v>39</v>
      </c>
      <c r="S287" s="41" t="s">
        <v>40</v>
      </c>
      <c r="T287" s="41" t="s">
        <v>40</v>
      </c>
      <c r="U287" s="41" t="s">
        <v>40</v>
      </c>
    </row>
    <row r="288" spans="1:21">
      <c r="A288" s="41">
        <v>2662</v>
      </c>
      <c r="B288" s="41" t="s">
        <v>26</v>
      </c>
      <c r="D288" s="41">
        <v>5969</v>
      </c>
      <c r="E288" s="41" t="s">
        <v>27</v>
      </c>
      <c r="F288" s="41" t="s">
        <v>28</v>
      </c>
      <c r="G288" s="41" t="s">
        <v>64</v>
      </c>
      <c r="I288" s="41">
        <v>0</v>
      </c>
      <c r="J288" s="41" t="s">
        <v>32</v>
      </c>
      <c r="K288" s="42"/>
      <c r="L288" s="41" t="s">
        <v>34</v>
      </c>
      <c r="M288" s="41">
        <v>33</v>
      </c>
      <c r="N288" s="41" t="s">
        <v>35</v>
      </c>
      <c r="O288" s="41" t="s">
        <v>36</v>
      </c>
      <c r="P288" s="41" t="s">
        <v>37</v>
      </c>
      <c r="Q288" s="41" t="s">
        <v>38</v>
      </c>
      <c r="R288" s="41" t="s">
        <v>39</v>
      </c>
      <c r="S288" s="41" t="s">
        <v>40</v>
      </c>
      <c r="T288" s="41" t="s">
        <v>40</v>
      </c>
      <c r="U288" s="41" t="s">
        <v>40</v>
      </c>
    </row>
    <row r="289" spans="1:21">
      <c r="A289" s="41">
        <v>2661</v>
      </c>
      <c r="B289" s="41" t="s">
        <v>1881</v>
      </c>
      <c r="D289" s="41">
        <v>5968</v>
      </c>
      <c r="E289" s="41" t="s">
        <v>1882</v>
      </c>
      <c r="F289" s="41" t="s">
        <v>42</v>
      </c>
      <c r="G289" s="41" t="s">
        <v>141</v>
      </c>
      <c r="I289" s="41">
        <v>0</v>
      </c>
      <c r="J289" s="41" t="s">
        <v>295</v>
      </c>
      <c r="K289" s="42"/>
      <c r="L289" s="41" t="s">
        <v>1883</v>
      </c>
      <c r="M289" s="41">
        <v>33</v>
      </c>
      <c r="N289" s="41" t="s">
        <v>67</v>
      </c>
      <c r="O289" s="41" t="s">
        <v>77</v>
      </c>
      <c r="P289" s="41" t="s">
        <v>172</v>
      </c>
      <c r="Q289" s="41" t="s">
        <v>197</v>
      </c>
      <c r="R289" s="41" t="s">
        <v>39</v>
      </c>
      <c r="S289" s="41" t="s">
        <v>40</v>
      </c>
      <c r="T289" s="41" t="s">
        <v>1500</v>
      </c>
      <c r="U289" s="41" t="s">
        <v>40</v>
      </c>
    </row>
    <row r="290" spans="1:21">
      <c r="A290" s="41">
        <v>2660</v>
      </c>
      <c r="B290" s="41" t="s">
        <v>1884</v>
      </c>
      <c r="D290" s="41">
        <v>5963</v>
      </c>
      <c r="E290" s="41" t="s">
        <v>1882</v>
      </c>
      <c r="F290" s="41" t="s">
        <v>42</v>
      </c>
      <c r="G290" s="41" t="s">
        <v>1564</v>
      </c>
      <c r="I290" s="41">
        <v>0</v>
      </c>
      <c r="J290" s="41" t="s">
        <v>295</v>
      </c>
      <c r="K290" s="42"/>
      <c r="L290" s="41" t="s">
        <v>1885</v>
      </c>
      <c r="M290" s="41">
        <v>33</v>
      </c>
      <c r="N290" s="41" t="s">
        <v>67</v>
      </c>
      <c r="O290" s="41" t="s">
        <v>77</v>
      </c>
      <c r="P290" s="41" t="s">
        <v>172</v>
      </c>
      <c r="Q290" s="41" t="s">
        <v>1011</v>
      </c>
      <c r="R290" s="41" t="s">
        <v>39</v>
      </c>
      <c r="S290" s="41" t="s">
        <v>40</v>
      </c>
      <c r="T290" s="41" t="s">
        <v>40</v>
      </c>
      <c r="U290" s="41" t="s">
        <v>40</v>
      </c>
    </row>
    <row r="291" spans="1:21">
      <c r="A291" s="41">
        <v>2659</v>
      </c>
      <c r="B291" s="41" t="s">
        <v>1886</v>
      </c>
      <c r="D291" s="41">
        <v>5962</v>
      </c>
      <c r="E291" s="41" t="s">
        <v>1887</v>
      </c>
      <c r="F291" s="41" t="s">
        <v>28</v>
      </c>
      <c r="G291" s="41" t="s">
        <v>301</v>
      </c>
      <c r="I291" s="41">
        <v>0</v>
      </c>
      <c r="J291" s="41" t="s">
        <v>672</v>
      </c>
      <c r="K291" s="42"/>
      <c r="L291" s="41" t="s">
        <v>1888</v>
      </c>
      <c r="M291" s="41">
        <v>44</v>
      </c>
      <c r="N291" s="41" t="s">
        <v>1052</v>
      </c>
      <c r="O291" s="41" t="s">
        <v>1853</v>
      </c>
      <c r="P291" s="41" t="s">
        <v>68</v>
      </c>
      <c r="Q291" s="41" t="s">
        <v>69</v>
      </c>
      <c r="R291" s="41" t="s">
        <v>39</v>
      </c>
      <c r="S291" s="41" t="s">
        <v>1889</v>
      </c>
      <c r="T291" s="41" t="s">
        <v>1890</v>
      </c>
      <c r="U291" s="41" t="s">
        <v>40</v>
      </c>
    </row>
    <row r="292" spans="1:21">
      <c r="A292" s="41">
        <v>2658</v>
      </c>
      <c r="B292" s="41" t="s">
        <v>1891</v>
      </c>
      <c r="D292" s="41">
        <v>5961</v>
      </c>
      <c r="E292" s="41" t="s">
        <v>1892</v>
      </c>
      <c r="F292" s="41" t="s">
        <v>42</v>
      </c>
      <c r="G292" s="41" t="s">
        <v>141</v>
      </c>
      <c r="I292" s="41">
        <v>0</v>
      </c>
      <c r="J292" s="41" t="s">
        <v>32</v>
      </c>
      <c r="K292" s="42"/>
      <c r="L292" s="41" t="s">
        <v>1893</v>
      </c>
      <c r="M292" s="41">
        <v>33</v>
      </c>
      <c r="N292" s="41" t="s">
        <v>48</v>
      </c>
      <c r="O292" s="41" t="s">
        <v>49</v>
      </c>
      <c r="P292" s="41" t="s">
        <v>179</v>
      </c>
      <c r="Q292" s="41" t="s">
        <v>284</v>
      </c>
      <c r="R292" s="41" t="s">
        <v>39</v>
      </c>
      <c r="S292" s="41" t="s">
        <v>40</v>
      </c>
      <c r="T292" s="41" t="s">
        <v>1894</v>
      </c>
      <c r="U292" s="41" t="s">
        <v>40</v>
      </c>
    </row>
    <row r="293" spans="1:21">
      <c r="A293" s="41">
        <v>2657</v>
      </c>
      <c r="B293" s="41" t="s">
        <v>1891</v>
      </c>
      <c r="E293" s="41" t="s">
        <v>1895</v>
      </c>
      <c r="F293" s="41" t="s">
        <v>42</v>
      </c>
      <c r="G293" s="41" t="s">
        <v>43</v>
      </c>
      <c r="I293" s="41" t="s">
        <v>45</v>
      </c>
      <c r="J293" s="41" t="s">
        <v>32</v>
      </c>
      <c r="K293" s="42"/>
      <c r="L293" s="41" t="s">
        <v>1893</v>
      </c>
      <c r="M293" s="41">
        <v>33</v>
      </c>
      <c r="N293" s="41" t="s">
        <v>48</v>
      </c>
      <c r="O293" s="41" t="s">
        <v>49</v>
      </c>
      <c r="P293" s="41" t="s">
        <v>179</v>
      </c>
      <c r="Q293" s="41" t="s">
        <v>284</v>
      </c>
      <c r="R293" s="41" t="s">
        <v>39</v>
      </c>
      <c r="S293" s="41" t="s">
        <v>40</v>
      </c>
      <c r="T293" s="41" t="s">
        <v>40</v>
      </c>
      <c r="U293" s="41" t="s">
        <v>40</v>
      </c>
    </row>
    <row r="294" spans="1:21">
      <c r="A294" s="41">
        <v>2656</v>
      </c>
      <c r="B294" s="41" t="s">
        <v>1896</v>
      </c>
      <c r="D294" s="41">
        <v>5960</v>
      </c>
      <c r="E294" s="41" t="s">
        <v>1897</v>
      </c>
      <c r="F294" s="41" t="s">
        <v>42</v>
      </c>
      <c r="G294" s="41" t="s">
        <v>1564</v>
      </c>
      <c r="I294" s="41">
        <v>0</v>
      </c>
      <c r="J294" s="41" t="s">
        <v>32</v>
      </c>
      <c r="K294" s="42"/>
      <c r="L294" s="41" t="s">
        <v>1898</v>
      </c>
      <c r="M294" s="41">
        <v>33</v>
      </c>
      <c r="N294" s="41" t="s">
        <v>1899</v>
      </c>
      <c r="O294" s="41" t="s">
        <v>1900</v>
      </c>
      <c r="P294" s="41" t="s">
        <v>153</v>
      </c>
      <c r="Q294" s="41" t="s">
        <v>1865</v>
      </c>
      <c r="R294" s="41" t="s">
        <v>39</v>
      </c>
      <c r="S294" s="41" t="s">
        <v>40</v>
      </c>
      <c r="T294" s="41" t="s">
        <v>40</v>
      </c>
      <c r="U294" s="41" t="s">
        <v>40</v>
      </c>
    </row>
    <row r="295" spans="1:21">
      <c r="A295" s="41">
        <v>2655</v>
      </c>
      <c r="B295" s="41" t="s">
        <v>1901</v>
      </c>
      <c r="D295" s="41">
        <v>5959</v>
      </c>
      <c r="E295" s="41" t="s">
        <v>987</v>
      </c>
      <c r="F295" s="41" t="s">
        <v>53</v>
      </c>
      <c r="G295" s="41" t="s">
        <v>54</v>
      </c>
      <c r="I295" s="41">
        <v>0</v>
      </c>
      <c r="J295" s="41" t="s">
        <v>32</v>
      </c>
      <c r="K295" s="42"/>
      <c r="L295" s="41" t="s">
        <v>1902</v>
      </c>
      <c r="M295" s="41">
        <v>66</v>
      </c>
      <c r="N295" s="41" t="s">
        <v>67</v>
      </c>
      <c r="O295" s="41" t="s">
        <v>482</v>
      </c>
      <c r="P295" s="41" t="s">
        <v>1046</v>
      </c>
      <c r="Q295" s="41" t="s">
        <v>1903</v>
      </c>
      <c r="R295" s="41" t="s">
        <v>132</v>
      </c>
      <c r="S295" s="41" t="s">
        <v>40</v>
      </c>
      <c r="T295" s="41" t="s">
        <v>40</v>
      </c>
      <c r="U295" s="41" t="s">
        <v>40</v>
      </c>
    </row>
    <row r="296" spans="1:21">
      <c r="A296" s="41">
        <v>2654</v>
      </c>
      <c r="B296" s="41" t="s">
        <v>1904</v>
      </c>
      <c r="D296" s="41">
        <v>5952</v>
      </c>
      <c r="E296" s="41" t="s">
        <v>1191</v>
      </c>
      <c r="F296" s="41" t="s">
        <v>53</v>
      </c>
      <c r="G296" s="41" t="s">
        <v>760</v>
      </c>
      <c r="I296" s="41" t="s">
        <v>1905</v>
      </c>
      <c r="J296" s="41" t="s">
        <v>1906</v>
      </c>
      <c r="K296" s="42"/>
      <c r="L296" s="41" t="s">
        <v>1907</v>
      </c>
      <c r="M296" s="41">
        <v>500</v>
      </c>
      <c r="N296" s="41" t="s">
        <v>1908</v>
      </c>
      <c r="O296" s="41" t="s">
        <v>1909</v>
      </c>
      <c r="P296" s="41" t="s">
        <v>98</v>
      </c>
      <c r="Q296" s="41" t="s">
        <v>491</v>
      </c>
      <c r="R296" s="41" t="s">
        <v>62</v>
      </c>
      <c r="S296" s="41" t="s">
        <v>40</v>
      </c>
      <c r="T296" s="41" t="s">
        <v>40</v>
      </c>
      <c r="U296" s="41" t="s">
        <v>40</v>
      </c>
    </row>
    <row r="297" spans="1:21">
      <c r="A297" s="41">
        <v>2653</v>
      </c>
      <c r="B297" s="41" t="s">
        <v>1910</v>
      </c>
      <c r="E297" s="41" t="s">
        <v>1836</v>
      </c>
      <c r="F297" s="41" t="s">
        <v>42</v>
      </c>
      <c r="G297" s="41" t="s">
        <v>43</v>
      </c>
      <c r="I297" s="41" t="s">
        <v>325</v>
      </c>
      <c r="J297" s="41" t="s">
        <v>295</v>
      </c>
      <c r="K297" s="42"/>
      <c r="L297" s="41" t="s">
        <v>1911</v>
      </c>
      <c r="M297" s="41">
        <v>220</v>
      </c>
      <c r="N297" s="41" t="s">
        <v>59</v>
      </c>
      <c r="O297" s="41" t="s">
        <v>1877</v>
      </c>
      <c r="P297" s="41" t="s">
        <v>78</v>
      </c>
      <c r="Q297" s="41" t="s">
        <v>1171</v>
      </c>
      <c r="R297" s="41" t="s">
        <v>39</v>
      </c>
      <c r="S297" s="41" t="s">
        <v>40</v>
      </c>
      <c r="T297" s="41" t="s">
        <v>40</v>
      </c>
      <c r="U297" s="41" t="s">
        <v>40</v>
      </c>
    </row>
    <row r="298" spans="1:21">
      <c r="A298" s="41">
        <v>2652</v>
      </c>
      <c r="B298" s="41" t="s">
        <v>1912</v>
      </c>
      <c r="D298" s="41">
        <v>5965</v>
      </c>
      <c r="E298" s="41" t="s">
        <v>1913</v>
      </c>
      <c r="F298" s="41" t="s">
        <v>53</v>
      </c>
      <c r="G298" s="41" t="s">
        <v>1704</v>
      </c>
      <c r="I298" s="41">
        <v>0</v>
      </c>
      <c r="J298" s="41" t="s">
        <v>32</v>
      </c>
      <c r="K298" s="42"/>
      <c r="L298" s="41" t="s">
        <v>1914</v>
      </c>
      <c r="M298" s="41">
        <v>220</v>
      </c>
      <c r="N298" s="41" t="s">
        <v>790</v>
      </c>
      <c r="O298" s="41" t="s">
        <v>1045</v>
      </c>
      <c r="P298" s="41" t="s">
        <v>37</v>
      </c>
      <c r="Q298" s="41" t="s">
        <v>969</v>
      </c>
      <c r="R298" s="41" t="s">
        <v>62</v>
      </c>
      <c r="S298" s="41" t="s">
        <v>40</v>
      </c>
      <c r="T298" s="41" t="s">
        <v>40</v>
      </c>
      <c r="U298" s="41" t="s">
        <v>40</v>
      </c>
    </row>
    <row r="299" spans="1:21">
      <c r="A299" s="41">
        <v>2651</v>
      </c>
      <c r="B299" s="41" t="s">
        <v>1915</v>
      </c>
      <c r="D299" s="41">
        <v>5964</v>
      </c>
      <c r="E299" s="41" t="s">
        <v>1913</v>
      </c>
      <c r="F299" s="41" t="s">
        <v>53</v>
      </c>
      <c r="G299" s="41" t="s">
        <v>1162</v>
      </c>
      <c r="I299" s="41">
        <v>0</v>
      </c>
      <c r="J299" s="41" t="s">
        <v>32</v>
      </c>
      <c r="K299" s="42"/>
      <c r="L299" s="41" t="s">
        <v>1914</v>
      </c>
      <c r="M299" s="41">
        <v>23</v>
      </c>
      <c r="N299" s="41" t="s">
        <v>1916</v>
      </c>
      <c r="O299" s="41" t="s">
        <v>553</v>
      </c>
      <c r="P299" s="41" t="s">
        <v>37</v>
      </c>
      <c r="Q299" s="41" t="s">
        <v>969</v>
      </c>
      <c r="R299" s="41" t="s">
        <v>62</v>
      </c>
      <c r="S299" s="41" t="s">
        <v>40</v>
      </c>
      <c r="T299" s="41" t="s">
        <v>40</v>
      </c>
      <c r="U299" s="41" t="s">
        <v>40</v>
      </c>
    </row>
    <row r="300" spans="1:21">
      <c r="A300" s="41">
        <v>2650</v>
      </c>
      <c r="B300" s="41" t="s">
        <v>1917</v>
      </c>
      <c r="D300" s="41">
        <v>5950</v>
      </c>
      <c r="E300" s="41" t="s">
        <v>1227</v>
      </c>
      <c r="F300" s="41" t="s">
        <v>53</v>
      </c>
      <c r="G300" s="41" t="s">
        <v>64</v>
      </c>
      <c r="I300" s="41">
        <v>0</v>
      </c>
      <c r="J300" s="41" t="s">
        <v>32</v>
      </c>
      <c r="K300" s="42"/>
      <c r="L300" s="41" t="s">
        <v>1918</v>
      </c>
      <c r="M300" s="41">
        <v>220</v>
      </c>
      <c r="N300" s="41" t="s">
        <v>201</v>
      </c>
      <c r="O300" s="41" t="s">
        <v>1919</v>
      </c>
      <c r="P300" s="41" t="s">
        <v>98</v>
      </c>
      <c r="Q300" s="41" t="s">
        <v>569</v>
      </c>
      <c r="R300" s="41" t="s">
        <v>62</v>
      </c>
      <c r="S300" s="41" t="s">
        <v>40</v>
      </c>
      <c r="T300" s="41" t="s">
        <v>40</v>
      </c>
      <c r="U300" s="41" t="s">
        <v>40</v>
      </c>
    </row>
    <row r="301" spans="1:21">
      <c r="A301" s="41">
        <v>2649</v>
      </c>
      <c r="B301" s="41" t="s">
        <v>1920</v>
      </c>
      <c r="D301" s="41">
        <v>5949</v>
      </c>
      <c r="E301" s="41" t="s">
        <v>1921</v>
      </c>
      <c r="F301" s="41" t="s">
        <v>53</v>
      </c>
      <c r="G301" s="41" t="s">
        <v>64</v>
      </c>
      <c r="I301" s="41">
        <v>0</v>
      </c>
      <c r="J301" s="41" t="s">
        <v>295</v>
      </c>
      <c r="K301" s="42"/>
      <c r="L301" s="41" t="s">
        <v>1922</v>
      </c>
      <c r="M301" s="41">
        <v>220</v>
      </c>
      <c r="N301" s="41" t="s">
        <v>1020</v>
      </c>
      <c r="O301" s="41" t="s">
        <v>36</v>
      </c>
      <c r="P301" s="41" t="s">
        <v>98</v>
      </c>
      <c r="Q301" s="41" t="s">
        <v>569</v>
      </c>
      <c r="R301" s="41" t="s">
        <v>62</v>
      </c>
      <c r="S301" s="41" t="s">
        <v>40</v>
      </c>
      <c r="T301" s="41" t="s">
        <v>40</v>
      </c>
      <c r="U301" s="41" t="s">
        <v>40</v>
      </c>
    </row>
    <row r="302" spans="1:21">
      <c r="A302" s="41">
        <v>2648</v>
      </c>
      <c r="B302" s="41" t="s">
        <v>1923</v>
      </c>
      <c r="D302" s="41">
        <v>5948</v>
      </c>
      <c r="E302" s="41" t="s">
        <v>998</v>
      </c>
      <c r="F302" s="41" t="s">
        <v>53</v>
      </c>
      <c r="G302" s="41" t="s">
        <v>1071</v>
      </c>
      <c r="I302" s="41">
        <v>0</v>
      </c>
      <c r="J302" s="41" t="s">
        <v>672</v>
      </c>
      <c r="K302" s="42"/>
      <c r="L302" s="41" t="s">
        <v>1924</v>
      </c>
      <c r="M302" s="41">
        <v>15</v>
      </c>
      <c r="N302" s="41" t="s">
        <v>1009</v>
      </c>
      <c r="O302" s="41" t="s">
        <v>1925</v>
      </c>
      <c r="P302" s="41" t="s">
        <v>172</v>
      </c>
      <c r="Q302" s="41" t="s">
        <v>1011</v>
      </c>
      <c r="R302" s="41" t="s">
        <v>132</v>
      </c>
      <c r="S302" s="41" t="s">
        <v>40</v>
      </c>
      <c r="T302" s="41" t="s">
        <v>40</v>
      </c>
      <c r="U302" s="41" t="s">
        <v>40</v>
      </c>
    </row>
    <row r="303" spans="1:21">
      <c r="A303" s="41">
        <v>2647</v>
      </c>
      <c r="B303" s="41" t="s">
        <v>41</v>
      </c>
      <c r="D303" s="41">
        <v>5947</v>
      </c>
      <c r="E303" s="41" t="s">
        <v>1895</v>
      </c>
      <c r="F303" s="41" t="s">
        <v>42</v>
      </c>
      <c r="G303" s="41" t="s">
        <v>1369</v>
      </c>
      <c r="I303" s="41">
        <v>0</v>
      </c>
      <c r="J303" s="41" t="s">
        <v>32</v>
      </c>
      <c r="K303" s="42"/>
      <c r="L303" s="41" t="s">
        <v>47</v>
      </c>
      <c r="M303" s="41">
        <v>33</v>
      </c>
      <c r="N303" s="41" t="s">
        <v>48</v>
      </c>
      <c r="O303" s="41" t="s">
        <v>49</v>
      </c>
      <c r="P303" s="41" t="s">
        <v>50</v>
      </c>
      <c r="Q303" s="41" t="s">
        <v>51</v>
      </c>
      <c r="R303" s="41" t="s">
        <v>39</v>
      </c>
      <c r="S303" s="41" t="s">
        <v>40</v>
      </c>
      <c r="T303" s="41" t="s">
        <v>40</v>
      </c>
      <c r="U303" s="41" t="s">
        <v>40</v>
      </c>
    </row>
    <row r="304" spans="1:21">
      <c r="A304" s="41">
        <v>2646</v>
      </c>
      <c r="B304" s="41" t="s">
        <v>41</v>
      </c>
      <c r="E304" s="41" t="s">
        <v>27</v>
      </c>
      <c r="F304" s="41" t="s">
        <v>42</v>
      </c>
      <c r="G304" s="41" t="s">
        <v>43</v>
      </c>
      <c r="I304" s="41" t="s">
        <v>45</v>
      </c>
      <c r="J304" s="41" t="s">
        <v>32</v>
      </c>
      <c r="K304" s="42"/>
      <c r="L304" s="41" t="s">
        <v>47</v>
      </c>
      <c r="M304" s="41">
        <v>33</v>
      </c>
      <c r="N304" s="41" t="s">
        <v>48</v>
      </c>
      <c r="O304" s="41" t="s">
        <v>49</v>
      </c>
      <c r="P304" s="41" t="s">
        <v>50</v>
      </c>
      <c r="Q304" s="41" t="s">
        <v>51</v>
      </c>
      <c r="R304" s="41" t="s">
        <v>39</v>
      </c>
      <c r="S304" s="41" t="s">
        <v>40</v>
      </c>
      <c r="T304" s="41" t="s">
        <v>40</v>
      </c>
      <c r="U304" s="41" t="s">
        <v>40</v>
      </c>
    </row>
    <row r="305" spans="1:21">
      <c r="A305" s="41">
        <v>2645</v>
      </c>
      <c r="B305" s="41" t="s">
        <v>1926</v>
      </c>
      <c r="D305" s="41">
        <v>5946</v>
      </c>
      <c r="E305" s="41" t="s">
        <v>1227</v>
      </c>
      <c r="F305" s="41" t="s">
        <v>53</v>
      </c>
      <c r="G305" s="41" t="s">
        <v>64</v>
      </c>
      <c r="I305" s="41">
        <v>0</v>
      </c>
      <c r="J305" s="41" t="s">
        <v>32</v>
      </c>
      <c r="K305" s="42"/>
      <c r="L305" s="41" t="s">
        <v>1927</v>
      </c>
      <c r="M305" s="41">
        <v>220</v>
      </c>
      <c r="N305" s="41" t="s">
        <v>790</v>
      </c>
      <c r="O305" s="41" t="s">
        <v>1615</v>
      </c>
      <c r="P305" s="41" t="s">
        <v>83</v>
      </c>
      <c r="Q305" s="41" t="s">
        <v>1206</v>
      </c>
      <c r="R305" s="41" t="s">
        <v>62</v>
      </c>
      <c r="S305" s="41" t="s">
        <v>40</v>
      </c>
      <c r="T305" s="41" t="s">
        <v>40</v>
      </c>
      <c r="U305" s="41" t="s">
        <v>40</v>
      </c>
    </row>
    <row r="306" spans="1:21">
      <c r="A306" s="41">
        <v>2644</v>
      </c>
      <c r="B306" s="41" t="s">
        <v>1928</v>
      </c>
      <c r="D306" s="41">
        <v>5945</v>
      </c>
      <c r="E306" s="41" t="s">
        <v>1091</v>
      </c>
      <c r="F306" s="41" t="s">
        <v>53</v>
      </c>
      <c r="G306" s="41" t="s">
        <v>141</v>
      </c>
      <c r="I306" s="41">
        <v>0</v>
      </c>
      <c r="J306" s="41" t="s">
        <v>672</v>
      </c>
      <c r="K306" s="42"/>
      <c r="L306" s="41" t="s">
        <v>1929</v>
      </c>
      <c r="M306" s="41">
        <v>12</v>
      </c>
      <c r="N306" s="41" t="s">
        <v>1930</v>
      </c>
      <c r="O306" s="41" t="s">
        <v>1931</v>
      </c>
      <c r="P306" s="41" t="s">
        <v>68</v>
      </c>
      <c r="Q306" s="41" t="s">
        <v>1668</v>
      </c>
      <c r="R306" s="41" t="s">
        <v>132</v>
      </c>
      <c r="S306" s="41" t="s">
        <v>1932</v>
      </c>
      <c r="T306" s="41" t="s">
        <v>186</v>
      </c>
      <c r="U306" s="41" t="s">
        <v>40</v>
      </c>
    </row>
    <row r="307" spans="1:21">
      <c r="A307" s="41">
        <v>2643</v>
      </c>
      <c r="B307" s="41" t="s">
        <v>1933</v>
      </c>
      <c r="D307" s="41">
        <v>5944</v>
      </c>
      <c r="E307" s="41" t="s">
        <v>1227</v>
      </c>
      <c r="F307" s="41" t="s">
        <v>28</v>
      </c>
      <c r="G307" s="41" t="s">
        <v>301</v>
      </c>
      <c r="I307" s="41">
        <v>0</v>
      </c>
      <c r="J307" s="41" t="s">
        <v>32</v>
      </c>
      <c r="K307" s="42"/>
      <c r="L307" s="41" t="s">
        <v>1934</v>
      </c>
      <c r="M307" s="41">
        <v>33</v>
      </c>
      <c r="N307" s="41" t="s">
        <v>1522</v>
      </c>
      <c r="O307" s="41" t="s">
        <v>1935</v>
      </c>
      <c r="P307" s="41" t="s">
        <v>98</v>
      </c>
      <c r="Q307" s="41" t="s">
        <v>569</v>
      </c>
      <c r="R307" s="41" t="s">
        <v>39</v>
      </c>
      <c r="S307" s="41" t="s">
        <v>1936</v>
      </c>
      <c r="T307" s="41" t="s">
        <v>1172</v>
      </c>
      <c r="U307" s="41" t="s">
        <v>40</v>
      </c>
    </row>
    <row r="308" spans="1:21">
      <c r="A308" s="41">
        <v>2642</v>
      </c>
      <c r="B308" s="41" t="s">
        <v>1937</v>
      </c>
      <c r="D308" s="41">
        <v>5943</v>
      </c>
      <c r="E308" s="41" t="s">
        <v>1351</v>
      </c>
      <c r="F308" s="41" t="s">
        <v>53</v>
      </c>
      <c r="G308" s="41" t="s">
        <v>1071</v>
      </c>
      <c r="I308" s="41">
        <v>0</v>
      </c>
      <c r="J308" s="41" t="s">
        <v>672</v>
      </c>
      <c r="K308" s="42"/>
      <c r="L308" s="41" t="s">
        <v>1938</v>
      </c>
      <c r="M308" s="41">
        <v>23</v>
      </c>
      <c r="N308" s="41" t="s">
        <v>1939</v>
      </c>
      <c r="O308" s="41" t="s">
        <v>1940</v>
      </c>
      <c r="P308" s="41" t="s">
        <v>68</v>
      </c>
      <c r="Q308" s="41" t="s">
        <v>403</v>
      </c>
      <c r="R308" s="41" t="s">
        <v>132</v>
      </c>
      <c r="S308" s="41" t="s">
        <v>40</v>
      </c>
      <c r="T308" s="41" t="s">
        <v>40</v>
      </c>
      <c r="U308" s="41" t="s">
        <v>40</v>
      </c>
    </row>
    <row r="309" spans="1:21">
      <c r="A309" s="41">
        <v>2641</v>
      </c>
      <c r="B309" s="41" t="s">
        <v>1937</v>
      </c>
      <c r="E309" s="41" t="s">
        <v>1248</v>
      </c>
      <c r="F309" s="41" t="s">
        <v>53</v>
      </c>
      <c r="G309" s="41" t="s">
        <v>43</v>
      </c>
      <c r="I309" s="41" t="s">
        <v>977</v>
      </c>
      <c r="J309" s="41" t="s">
        <v>672</v>
      </c>
      <c r="K309" s="42"/>
      <c r="L309" s="41" t="s">
        <v>1938</v>
      </c>
      <c r="M309" s="41">
        <v>23</v>
      </c>
      <c r="N309" s="41" t="s">
        <v>1941</v>
      </c>
      <c r="O309" s="41" t="s">
        <v>1940</v>
      </c>
      <c r="P309" s="41" t="s">
        <v>68</v>
      </c>
      <c r="Q309" s="41" t="s">
        <v>403</v>
      </c>
      <c r="R309" s="41" t="s">
        <v>132</v>
      </c>
      <c r="S309" s="41" t="s">
        <v>40</v>
      </c>
      <c r="T309" s="41" t="s">
        <v>40</v>
      </c>
      <c r="U309" s="41" t="s">
        <v>40</v>
      </c>
    </row>
    <row r="310" spans="1:21">
      <c r="A310" s="41">
        <v>2640</v>
      </c>
      <c r="B310" s="41" t="s">
        <v>1105</v>
      </c>
      <c r="D310" s="41">
        <v>5942</v>
      </c>
      <c r="E310" s="41" t="s">
        <v>1106</v>
      </c>
      <c r="F310" s="41" t="s">
        <v>42</v>
      </c>
      <c r="G310" s="41" t="s">
        <v>1175</v>
      </c>
      <c r="I310" s="41">
        <v>0</v>
      </c>
      <c r="J310" s="41" t="s">
        <v>32</v>
      </c>
      <c r="K310" s="42"/>
      <c r="L310" s="41" t="s">
        <v>1942</v>
      </c>
      <c r="M310" s="41">
        <v>23</v>
      </c>
      <c r="N310" s="41" t="s">
        <v>1943</v>
      </c>
      <c r="O310" s="41" t="s">
        <v>291</v>
      </c>
      <c r="P310" s="41" t="s">
        <v>1046</v>
      </c>
      <c r="Q310" s="41" t="s">
        <v>1047</v>
      </c>
      <c r="R310" s="41" t="s">
        <v>39</v>
      </c>
      <c r="S310" s="41" t="s">
        <v>40</v>
      </c>
      <c r="T310" s="41" t="s">
        <v>40</v>
      </c>
      <c r="U310" s="41" t="s">
        <v>40</v>
      </c>
    </row>
    <row r="311" spans="1:21">
      <c r="A311" s="41">
        <v>2639</v>
      </c>
      <c r="B311" s="41" t="s">
        <v>1944</v>
      </c>
      <c r="D311" s="41">
        <v>5941</v>
      </c>
      <c r="E311" s="41" t="s">
        <v>1739</v>
      </c>
      <c r="F311" s="41" t="s">
        <v>53</v>
      </c>
      <c r="G311" s="41" t="s">
        <v>141</v>
      </c>
      <c r="I311" s="41">
        <v>0</v>
      </c>
      <c r="J311" s="41" t="s">
        <v>672</v>
      </c>
      <c r="K311" s="42"/>
      <c r="L311" s="41" t="s">
        <v>1945</v>
      </c>
      <c r="M311" s="41">
        <v>12</v>
      </c>
      <c r="N311" s="41" t="s">
        <v>1946</v>
      </c>
      <c r="O311" s="41" t="s">
        <v>1947</v>
      </c>
      <c r="P311" s="41" t="s">
        <v>68</v>
      </c>
      <c r="Q311" s="41" t="s">
        <v>1156</v>
      </c>
      <c r="R311" s="41" t="s">
        <v>132</v>
      </c>
      <c r="S311" s="41" t="s">
        <v>1948</v>
      </c>
      <c r="T311" s="41" t="s">
        <v>1890</v>
      </c>
      <c r="U311" s="41" t="s">
        <v>40</v>
      </c>
    </row>
    <row r="312" spans="1:21">
      <c r="A312" s="41">
        <v>2638</v>
      </c>
      <c r="B312" s="41" t="s">
        <v>1949</v>
      </c>
      <c r="D312" s="41">
        <v>5940</v>
      </c>
      <c r="E312" s="41" t="s">
        <v>1739</v>
      </c>
      <c r="F312" s="41" t="s">
        <v>53</v>
      </c>
      <c r="G312" s="41" t="s">
        <v>141</v>
      </c>
      <c r="I312" s="41">
        <v>0</v>
      </c>
      <c r="J312" s="41" t="s">
        <v>672</v>
      </c>
      <c r="K312" s="42"/>
      <c r="L312" s="41" t="s">
        <v>1945</v>
      </c>
      <c r="M312" s="41">
        <v>12</v>
      </c>
      <c r="N312" s="41" t="s">
        <v>1950</v>
      </c>
      <c r="O312" s="41" t="s">
        <v>1951</v>
      </c>
      <c r="P312" s="41" t="s">
        <v>68</v>
      </c>
      <c r="Q312" s="41" t="s">
        <v>1156</v>
      </c>
      <c r="R312" s="41" t="s">
        <v>132</v>
      </c>
      <c r="S312" s="41" t="s">
        <v>1952</v>
      </c>
      <c r="T312" s="41" t="s">
        <v>1890</v>
      </c>
      <c r="U312" s="41" t="s">
        <v>40</v>
      </c>
    </row>
    <row r="313" spans="1:21">
      <c r="A313" s="41">
        <v>2637</v>
      </c>
      <c r="B313" s="41" t="s">
        <v>1953</v>
      </c>
      <c r="D313" s="41">
        <v>5966</v>
      </c>
      <c r="E313" s="41" t="s">
        <v>1954</v>
      </c>
      <c r="F313" s="41" t="s">
        <v>53</v>
      </c>
      <c r="G313" s="41" t="s">
        <v>64</v>
      </c>
      <c r="I313" s="41">
        <v>0</v>
      </c>
      <c r="J313" s="41" t="s">
        <v>32</v>
      </c>
      <c r="K313" s="42"/>
      <c r="L313" s="41" t="s">
        <v>1955</v>
      </c>
      <c r="M313" s="41">
        <v>66</v>
      </c>
      <c r="N313" s="41" t="s">
        <v>67</v>
      </c>
      <c r="O313" s="41" t="s">
        <v>1956</v>
      </c>
      <c r="P313" s="41" t="s">
        <v>1046</v>
      </c>
      <c r="Q313" s="41" t="s">
        <v>1562</v>
      </c>
      <c r="R313" s="41" t="s">
        <v>132</v>
      </c>
      <c r="S313" s="41" t="s">
        <v>40</v>
      </c>
      <c r="T313" s="41" t="s">
        <v>40</v>
      </c>
      <c r="U313" s="41" t="s">
        <v>40</v>
      </c>
    </row>
    <row r="314" spans="1:21">
      <c r="A314" s="41">
        <v>2636</v>
      </c>
      <c r="B314" s="41" t="s">
        <v>1957</v>
      </c>
      <c r="D314" s="41">
        <v>5939</v>
      </c>
      <c r="E314" s="41" t="s">
        <v>1958</v>
      </c>
      <c r="F314" s="41" t="s">
        <v>28</v>
      </c>
      <c r="G314" s="41" t="s">
        <v>301</v>
      </c>
      <c r="I314" s="41">
        <v>0</v>
      </c>
      <c r="J314" s="41" t="s">
        <v>1906</v>
      </c>
      <c r="K314" s="42"/>
      <c r="L314" s="41" t="s">
        <v>1959</v>
      </c>
      <c r="M314" s="41">
        <v>23</v>
      </c>
      <c r="N314" s="41" t="s">
        <v>67</v>
      </c>
      <c r="O314" s="41" t="s">
        <v>36</v>
      </c>
      <c r="P314" s="41" t="s">
        <v>37</v>
      </c>
      <c r="Q314" s="41" t="s">
        <v>1960</v>
      </c>
      <c r="R314" s="41" t="s">
        <v>39</v>
      </c>
      <c r="S314" s="41" t="s">
        <v>1961</v>
      </c>
      <c r="T314" s="41" t="s">
        <v>1699</v>
      </c>
      <c r="U314" s="41" t="s">
        <v>40</v>
      </c>
    </row>
    <row r="315" spans="1:21">
      <c r="A315" s="41">
        <v>2635</v>
      </c>
      <c r="B315" s="41" t="s">
        <v>1962</v>
      </c>
      <c r="D315" s="41">
        <v>5936</v>
      </c>
      <c r="E315" s="41" t="s">
        <v>1739</v>
      </c>
      <c r="F315" s="41" t="s">
        <v>53</v>
      </c>
      <c r="G315" s="41" t="s">
        <v>1162</v>
      </c>
      <c r="I315" s="41">
        <v>0</v>
      </c>
      <c r="J315" s="41" t="s">
        <v>672</v>
      </c>
      <c r="K315" s="42"/>
      <c r="L315" s="41" t="s">
        <v>1963</v>
      </c>
      <c r="M315" s="41">
        <v>12</v>
      </c>
      <c r="N315" s="41" t="s">
        <v>1964</v>
      </c>
      <c r="O315" s="41" t="s">
        <v>1951</v>
      </c>
      <c r="P315" s="41" t="s">
        <v>68</v>
      </c>
      <c r="Q315" s="41" t="s">
        <v>91</v>
      </c>
      <c r="R315" s="41" t="s">
        <v>132</v>
      </c>
      <c r="S315" s="41" t="s">
        <v>40</v>
      </c>
      <c r="T315" s="41" t="s">
        <v>40</v>
      </c>
      <c r="U315" s="41" t="s">
        <v>40</v>
      </c>
    </row>
    <row r="316" spans="1:21">
      <c r="A316" s="41">
        <v>2634</v>
      </c>
      <c r="B316" s="41" t="s">
        <v>1965</v>
      </c>
      <c r="D316" s="41">
        <v>5937</v>
      </c>
      <c r="E316" s="41" t="s">
        <v>1739</v>
      </c>
      <c r="F316" s="41" t="s">
        <v>53</v>
      </c>
      <c r="G316" s="41" t="s">
        <v>1162</v>
      </c>
      <c r="I316" s="41" t="s">
        <v>1966</v>
      </c>
      <c r="J316" s="41" t="s">
        <v>672</v>
      </c>
      <c r="K316" s="42"/>
      <c r="L316" s="41" t="s">
        <v>1963</v>
      </c>
      <c r="M316" s="41">
        <v>12</v>
      </c>
      <c r="N316" s="41" t="s">
        <v>1964</v>
      </c>
      <c r="O316" s="41" t="s">
        <v>1947</v>
      </c>
      <c r="P316" s="41" t="s">
        <v>68</v>
      </c>
      <c r="Q316" s="41" t="s">
        <v>91</v>
      </c>
      <c r="R316" s="41" t="s">
        <v>132</v>
      </c>
      <c r="S316" s="41" t="s">
        <v>40</v>
      </c>
      <c r="T316" s="41" t="s">
        <v>40</v>
      </c>
      <c r="U316" s="41" t="s">
        <v>40</v>
      </c>
    </row>
    <row r="317" spans="1:21">
      <c r="A317" s="41">
        <v>2633</v>
      </c>
      <c r="B317" s="41" t="s">
        <v>1967</v>
      </c>
      <c r="D317" s="41">
        <v>5938</v>
      </c>
      <c r="E317" s="41" t="s">
        <v>1739</v>
      </c>
      <c r="F317" s="41" t="s">
        <v>53</v>
      </c>
      <c r="G317" s="41" t="s">
        <v>141</v>
      </c>
      <c r="I317" s="41">
        <v>0</v>
      </c>
      <c r="J317" s="41" t="s">
        <v>672</v>
      </c>
      <c r="K317" s="42"/>
      <c r="L317" s="41" t="s">
        <v>1968</v>
      </c>
      <c r="M317" s="41">
        <v>12</v>
      </c>
      <c r="N317" s="41" t="s">
        <v>1623</v>
      </c>
      <c r="O317" s="41" t="s">
        <v>1969</v>
      </c>
      <c r="P317" s="41" t="s">
        <v>68</v>
      </c>
      <c r="Q317" s="41" t="s">
        <v>1970</v>
      </c>
      <c r="R317" s="41" t="s">
        <v>132</v>
      </c>
      <c r="S317" s="41" t="s">
        <v>1971</v>
      </c>
      <c r="T317" s="41" t="s">
        <v>210</v>
      </c>
      <c r="U317" s="41" t="s">
        <v>40</v>
      </c>
    </row>
    <row r="318" spans="1:21">
      <c r="A318" s="41">
        <v>2632</v>
      </c>
      <c r="B318" s="41" t="s">
        <v>1972</v>
      </c>
      <c r="D318" s="41">
        <v>5935</v>
      </c>
      <c r="E318" s="41" t="s">
        <v>1136</v>
      </c>
      <c r="F318" s="41" t="s">
        <v>28</v>
      </c>
      <c r="G318" s="41" t="s">
        <v>286</v>
      </c>
      <c r="I318" s="41">
        <v>0</v>
      </c>
      <c r="J318" s="41" t="s">
        <v>32</v>
      </c>
      <c r="K318" s="42"/>
      <c r="L318" s="41" t="s">
        <v>1973</v>
      </c>
      <c r="M318" s="41">
        <v>220</v>
      </c>
      <c r="N318" s="41" t="s">
        <v>67</v>
      </c>
      <c r="O318" s="41" t="s">
        <v>620</v>
      </c>
      <c r="P318" s="41" t="s">
        <v>179</v>
      </c>
      <c r="Q318" s="41" t="s">
        <v>1116</v>
      </c>
      <c r="R318" s="41" t="s">
        <v>39</v>
      </c>
      <c r="S318" s="41" t="s">
        <v>40</v>
      </c>
      <c r="T318" s="41" t="s">
        <v>40</v>
      </c>
      <c r="U318" s="41" t="s">
        <v>40</v>
      </c>
    </row>
    <row r="319" spans="1:21">
      <c r="A319" s="41">
        <v>2631</v>
      </c>
      <c r="B319" s="41" t="s">
        <v>1974</v>
      </c>
      <c r="D319" s="41">
        <v>5934</v>
      </c>
      <c r="E319" s="41" t="s">
        <v>1696</v>
      </c>
      <c r="F319" s="41" t="s">
        <v>28</v>
      </c>
      <c r="G319" s="41" t="s">
        <v>43</v>
      </c>
      <c r="I319" s="41">
        <v>0</v>
      </c>
      <c r="J319" s="41" t="s">
        <v>32</v>
      </c>
      <c r="K319" s="42"/>
      <c r="L319" s="41" t="s">
        <v>1975</v>
      </c>
      <c r="M319" s="41">
        <v>23</v>
      </c>
      <c r="N319" s="41" t="s">
        <v>1976</v>
      </c>
      <c r="O319" s="41" t="s">
        <v>1977</v>
      </c>
      <c r="P319" s="41" t="s">
        <v>60</v>
      </c>
      <c r="Q319" s="41" t="s">
        <v>413</v>
      </c>
      <c r="R319" s="41" t="s">
        <v>39</v>
      </c>
      <c r="S319" s="41" t="s">
        <v>40</v>
      </c>
      <c r="T319" s="41" t="s">
        <v>40</v>
      </c>
      <c r="U319" s="41" t="s">
        <v>40</v>
      </c>
    </row>
    <row r="320" spans="1:21">
      <c r="A320" s="41">
        <v>2630</v>
      </c>
      <c r="B320" s="41" t="s">
        <v>1978</v>
      </c>
      <c r="D320" s="41">
        <v>5933</v>
      </c>
      <c r="E320" s="41" t="s">
        <v>1696</v>
      </c>
      <c r="F320" s="41" t="s">
        <v>28</v>
      </c>
      <c r="G320" s="41" t="s">
        <v>43</v>
      </c>
      <c r="I320" s="41">
        <v>0</v>
      </c>
      <c r="J320" s="41" t="s">
        <v>32</v>
      </c>
      <c r="K320" s="42"/>
      <c r="L320" s="41" t="s">
        <v>1979</v>
      </c>
      <c r="M320" s="41">
        <v>23</v>
      </c>
      <c r="N320" s="41" t="s">
        <v>1980</v>
      </c>
      <c r="O320" s="41" t="s">
        <v>1981</v>
      </c>
      <c r="P320" s="41" t="s">
        <v>60</v>
      </c>
      <c r="Q320" s="41" t="s">
        <v>413</v>
      </c>
      <c r="R320" s="41" t="s">
        <v>39</v>
      </c>
      <c r="S320" s="41" t="s">
        <v>40</v>
      </c>
      <c r="T320" s="41" t="s">
        <v>40</v>
      </c>
      <c r="U320" s="41" t="s">
        <v>40</v>
      </c>
    </row>
    <row r="321" spans="1:21">
      <c r="A321" s="41">
        <v>2629</v>
      </c>
      <c r="B321" s="41" t="s">
        <v>1982</v>
      </c>
      <c r="D321" s="41">
        <v>5951</v>
      </c>
      <c r="E321" s="41" t="s">
        <v>1076</v>
      </c>
      <c r="F321" s="41" t="s">
        <v>28</v>
      </c>
      <c r="G321" s="41" t="s">
        <v>64</v>
      </c>
      <c r="I321" s="41">
        <v>0</v>
      </c>
      <c r="J321" s="41" t="s">
        <v>32</v>
      </c>
      <c r="K321" s="42"/>
      <c r="L321" s="41" t="s">
        <v>1983</v>
      </c>
      <c r="M321" s="41">
        <v>33</v>
      </c>
      <c r="N321" s="41" t="s">
        <v>67</v>
      </c>
      <c r="O321" s="41" t="s">
        <v>1984</v>
      </c>
      <c r="P321" s="41" t="s">
        <v>60</v>
      </c>
      <c r="Q321" s="41" t="s">
        <v>436</v>
      </c>
      <c r="R321" s="41" t="s">
        <v>39</v>
      </c>
      <c r="S321" s="41" t="s">
        <v>40</v>
      </c>
      <c r="T321" s="41" t="s">
        <v>40</v>
      </c>
      <c r="U321" s="41" t="s">
        <v>40</v>
      </c>
    </row>
    <row r="322" spans="1:21">
      <c r="A322" s="41">
        <v>2628</v>
      </c>
      <c r="B322" s="41" t="s">
        <v>1985</v>
      </c>
      <c r="D322" s="41">
        <v>5932</v>
      </c>
      <c r="E322" s="41" t="s">
        <v>1986</v>
      </c>
      <c r="F322" s="41" t="s">
        <v>28</v>
      </c>
      <c r="G322" s="41" t="s">
        <v>301</v>
      </c>
      <c r="I322" s="41">
        <v>0</v>
      </c>
      <c r="J322" s="41" t="s">
        <v>672</v>
      </c>
      <c r="K322" s="42"/>
      <c r="L322" s="41" t="s">
        <v>1987</v>
      </c>
      <c r="M322" s="41">
        <v>220</v>
      </c>
      <c r="N322" s="41" t="s">
        <v>962</v>
      </c>
      <c r="O322" s="41" t="s">
        <v>1988</v>
      </c>
      <c r="P322" s="41" t="s">
        <v>179</v>
      </c>
      <c r="Q322" s="41" t="s">
        <v>524</v>
      </c>
      <c r="R322" s="41" t="s">
        <v>39</v>
      </c>
      <c r="S322" s="41" t="s">
        <v>1989</v>
      </c>
      <c r="T322" s="41" t="s">
        <v>1433</v>
      </c>
      <c r="U322" s="41" t="s">
        <v>40</v>
      </c>
    </row>
    <row r="323" spans="1:21">
      <c r="A323" s="41">
        <v>2627</v>
      </c>
      <c r="B323" s="41" t="s">
        <v>1832</v>
      </c>
      <c r="D323" s="41">
        <v>5921</v>
      </c>
      <c r="E323" s="41" t="s">
        <v>1191</v>
      </c>
      <c r="F323" s="41" t="s">
        <v>53</v>
      </c>
      <c r="G323" s="41" t="s">
        <v>64</v>
      </c>
      <c r="I323" s="41" t="s">
        <v>1374</v>
      </c>
      <c r="J323" s="41" t="s">
        <v>380</v>
      </c>
      <c r="K323" s="42"/>
      <c r="L323" s="41" t="s">
        <v>1990</v>
      </c>
      <c r="M323" s="41">
        <v>220</v>
      </c>
      <c r="N323" s="41" t="s">
        <v>1335</v>
      </c>
      <c r="O323" s="41" t="s">
        <v>1834</v>
      </c>
      <c r="P323" s="41" t="s">
        <v>179</v>
      </c>
      <c r="Q323" s="41" t="s">
        <v>1116</v>
      </c>
      <c r="R323" s="41" t="s">
        <v>62</v>
      </c>
      <c r="S323" s="41" t="s">
        <v>40</v>
      </c>
      <c r="T323" s="41" t="s">
        <v>40</v>
      </c>
      <c r="U323" s="41" t="s">
        <v>40</v>
      </c>
    </row>
    <row r="324" spans="1:21">
      <c r="A324" s="41">
        <v>2626</v>
      </c>
      <c r="B324" s="41" t="s">
        <v>1832</v>
      </c>
      <c r="E324" s="41" t="s">
        <v>1191</v>
      </c>
      <c r="F324" s="41" t="s">
        <v>53</v>
      </c>
      <c r="G324" s="41" t="s">
        <v>43</v>
      </c>
      <c r="I324" s="41" t="s">
        <v>1374</v>
      </c>
      <c r="J324" s="41" t="s">
        <v>380</v>
      </c>
      <c r="K324" s="42"/>
      <c r="P324" s="41" t="s">
        <v>179</v>
      </c>
      <c r="Q324" s="41" t="s">
        <v>1116</v>
      </c>
      <c r="R324" s="41" t="s">
        <v>62</v>
      </c>
      <c r="S324" s="41" t="s">
        <v>40</v>
      </c>
      <c r="T324" s="41" t="s">
        <v>40</v>
      </c>
      <c r="U324" s="41" t="s">
        <v>40</v>
      </c>
    </row>
    <row r="325" spans="1:21">
      <c r="A325" s="41">
        <v>2625</v>
      </c>
      <c r="B325" s="41" t="s">
        <v>1832</v>
      </c>
      <c r="E325" s="41" t="s">
        <v>1191</v>
      </c>
      <c r="F325" s="41" t="s">
        <v>53</v>
      </c>
      <c r="G325" s="41" t="s">
        <v>43</v>
      </c>
      <c r="I325" s="41" t="s">
        <v>1374</v>
      </c>
      <c r="J325" s="41" t="s">
        <v>380</v>
      </c>
      <c r="K325" s="42"/>
      <c r="P325" s="41" t="s">
        <v>179</v>
      </c>
      <c r="Q325" s="41" t="s">
        <v>1116</v>
      </c>
      <c r="R325" s="41" t="s">
        <v>62</v>
      </c>
      <c r="S325" s="41" t="s">
        <v>40</v>
      </c>
      <c r="T325" s="41" t="s">
        <v>40</v>
      </c>
      <c r="U325" s="41" t="s">
        <v>40</v>
      </c>
    </row>
    <row r="326" spans="1:21">
      <c r="A326" s="41">
        <v>2624</v>
      </c>
      <c r="B326" s="41" t="s">
        <v>1832</v>
      </c>
      <c r="E326" s="41" t="s">
        <v>1191</v>
      </c>
      <c r="F326" s="41" t="s">
        <v>53</v>
      </c>
      <c r="G326" s="41" t="s">
        <v>43</v>
      </c>
      <c r="I326" s="41" t="s">
        <v>1374</v>
      </c>
      <c r="J326" s="41" t="s">
        <v>380</v>
      </c>
      <c r="K326" s="42"/>
      <c r="P326" s="41" t="s">
        <v>179</v>
      </c>
      <c r="Q326" s="41" t="s">
        <v>1116</v>
      </c>
      <c r="R326" s="41" t="s">
        <v>62</v>
      </c>
      <c r="S326" s="41" t="s">
        <v>40</v>
      </c>
      <c r="T326" s="41" t="s">
        <v>40</v>
      </c>
      <c r="U326" s="41" t="s">
        <v>40</v>
      </c>
    </row>
    <row r="327" spans="1:21">
      <c r="A327" s="41">
        <v>2623</v>
      </c>
      <c r="B327" s="41" t="s">
        <v>1991</v>
      </c>
      <c r="D327" s="41">
        <v>5925</v>
      </c>
      <c r="E327" s="41" t="s">
        <v>1992</v>
      </c>
      <c r="F327" s="41" t="s">
        <v>42</v>
      </c>
      <c r="G327" s="41" t="s">
        <v>1175</v>
      </c>
      <c r="I327" s="41">
        <v>0</v>
      </c>
      <c r="J327" s="41" t="s">
        <v>32</v>
      </c>
      <c r="K327" s="42"/>
      <c r="L327" s="41" t="s">
        <v>1993</v>
      </c>
      <c r="M327" s="41">
        <v>33</v>
      </c>
      <c r="N327" s="41" t="s">
        <v>1994</v>
      </c>
      <c r="O327" s="41" t="s">
        <v>1853</v>
      </c>
      <c r="P327" s="41" t="s">
        <v>179</v>
      </c>
      <c r="Q327" s="41" t="s">
        <v>538</v>
      </c>
      <c r="R327" s="41" t="s">
        <v>39</v>
      </c>
      <c r="S327" s="41" t="s">
        <v>40</v>
      </c>
      <c r="T327" s="41" t="s">
        <v>40</v>
      </c>
      <c r="U327" s="41" t="s">
        <v>40</v>
      </c>
    </row>
    <row r="328" spans="1:21">
      <c r="A328" s="41">
        <v>2622</v>
      </c>
      <c r="B328" s="41" t="s">
        <v>1995</v>
      </c>
      <c r="D328" s="41">
        <v>5922</v>
      </c>
      <c r="E328" s="41" t="s">
        <v>1996</v>
      </c>
      <c r="F328" s="41" t="s">
        <v>42</v>
      </c>
      <c r="G328" s="41" t="s">
        <v>1175</v>
      </c>
      <c r="I328" s="41">
        <v>0</v>
      </c>
      <c r="J328" s="41" t="s">
        <v>32</v>
      </c>
      <c r="K328" s="42"/>
      <c r="L328" s="41" t="s">
        <v>1997</v>
      </c>
      <c r="M328" s="41">
        <v>33</v>
      </c>
      <c r="N328" s="41" t="s">
        <v>1994</v>
      </c>
      <c r="O328" s="41" t="s">
        <v>1853</v>
      </c>
      <c r="P328" s="41" t="s">
        <v>179</v>
      </c>
      <c r="Q328" s="41" t="s">
        <v>538</v>
      </c>
      <c r="R328" s="41" t="s">
        <v>39</v>
      </c>
      <c r="S328" s="41" t="s">
        <v>40</v>
      </c>
      <c r="T328" s="41" t="s">
        <v>40</v>
      </c>
      <c r="U328" s="41" t="s">
        <v>40</v>
      </c>
    </row>
    <row r="329" spans="1:21">
      <c r="A329" s="41">
        <v>2621</v>
      </c>
      <c r="B329" s="41" t="s">
        <v>1998</v>
      </c>
      <c r="D329" s="41">
        <v>5924</v>
      </c>
      <c r="E329" s="41" t="s">
        <v>1996</v>
      </c>
      <c r="F329" s="41" t="s">
        <v>42</v>
      </c>
      <c r="G329" s="41" t="s">
        <v>1175</v>
      </c>
      <c r="I329" s="41">
        <v>0</v>
      </c>
      <c r="J329" s="41" t="s">
        <v>32</v>
      </c>
      <c r="K329" s="42"/>
      <c r="L329" s="41" t="s">
        <v>1999</v>
      </c>
      <c r="M329" s="41">
        <v>33</v>
      </c>
      <c r="N329" s="41" t="s">
        <v>1994</v>
      </c>
      <c r="O329" s="41" t="s">
        <v>1853</v>
      </c>
      <c r="P329" s="41" t="s">
        <v>83</v>
      </c>
      <c r="Q329" s="41" t="s">
        <v>2000</v>
      </c>
      <c r="R329" s="41" t="s">
        <v>39</v>
      </c>
      <c r="S329" s="41" t="s">
        <v>40</v>
      </c>
      <c r="T329" s="41" t="s">
        <v>40</v>
      </c>
      <c r="U329" s="41" t="s">
        <v>40</v>
      </c>
    </row>
    <row r="330" spans="1:21">
      <c r="A330" s="41">
        <v>2620</v>
      </c>
      <c r="B330" s="41" t="s">
        <v>2001</v>
      </c>
      <c r="D330" s="41">
        <v>5931</v>
      </c>
      <c r="E330" s="41" t="s">
        <v>1276</v>
      </c>
      <c r="F330" s="41" t="s">
        <v>53</v>
      </c>
      <c r="G330" s="41" t="s">
        <v>188</v>
      </c>
      <c r="I330" s="41">
        <v>0</v>
      </c>
      <c r="J330" s="41" t="s">
        <v>32</v>
      </c>
      <c r="K330" s="42"/>
      <c r="L330" s="41" t="s">
        <v>2002</v>
      </c>
      <c r="M330" s="41">
        <v>220</v>
      </c>
      <c r="N330" s="41" t="s">
        <v>2003</v>
      </c>
      <c r="O330" s="41" t="s">
        <v>1045</v>
      </c>
      <c r="P330" s="41" t="s">
        <v>153</v>
      </c>
      <c r="Q330" s="41" t="s">
        <v>2004</v>
      </c>
      <c r="R330" s="41" t="s">
        <v>62</v>
      </c>
      <c r="S330" s="41" t="s">
        <v>40</v>
      </c>
      <c r="T330" s="41" t="s">
        <v>40</v>
      </c>
      <c r="U330" s="41" t="s">
        <v>40</v>
      </c>
    </row>
    <row r="331" spans="1:21">
      <c r="A331" s="41">
        <v>2619</v>
      </c>
      <c r="B331" s="41" t="s">
        <v>2005</v>
      </c>
      <c r="D331" s="41">
        <v>5923</v>
      </c>
      <c r="E331" s="41" t="s">
        <v>1996</v>
      </c>
      <c r="F331" s="41" t="s">
        <v>42</v>
      </c>
      <c r="G331" s="41" t="s">
        <v>1175</v>
      </c>
      <c r="I331" s="41">
        <v>0</v>
      </c>
      <c r="J331" s="41" t="s">
        <v>32</v>
      </c>
      <c r="K331" s="42"/>
      <c r="L331" s="41" t="s">
        <v>2006</v>
      </c>
      <c r="M331" s="41">
        <v>33</v>
      </c>
      <c r="N331" s="41" t="s">
        <v>1994</v>
      </c>
      <c r="O331" s="41" t="s">
        <v>1853</v>
      </c>
      <c r="P331" s="41" t="s">
        <v>98</v>
      </c>
      <c r="Q331" s="41" t="s">
        <v>98</v>
      </c>
      <c r="R331" s="41" t="s">
        <v>39</v>
      </c>
      <c r="S331" s="41" t="s">
        <v>40</v>
      </c>
      <c r="T331" s="41" t="s">
        <v>40</v>
      </c>
      <c r="U331" s="41" t="s">
        <v>40</v>
      </c>
    </row>
    <row r="332" spans="1:21">
      <c r="A332" s="41">
        <v>2618</v>
      </c>
      <c r="B332" s="41" t="s">
        <v>2007</v>
      </c>
      <c r="D332" s="41">
        <v>5930</v>
      </c>
      <c r="E332" s="41" t="s">
        <v>1739</v>
      </c>
      <c r="F332" s="41" t="s">
        <v>53</v>
      </c>
      <c r="G332" s="41" t="s">
        <v>141</v>
      </c>
      <c r="I332" s="41">
        <v>0</v>
      </c>
      <c r="J332" s="41" t="s">
        <v>672</v>
      </c>
      <c r="K332" s="42"/>
      <c r="L332" s="41" t="s">
        <v>2008</v>
      </c>
      <c r="M332" s="41">
        <v>12</v>
      </c>
      <c r="N332" s="41" t="s">
        <v>2009</v>
      </c>
      <c r="O332" s="41" t="s">
        <v>2010</v>
      </c>
      <c r="P332" s="41" t="s">
        <v>68</v>
      </c>
      <c r="Q332" s="41" t="s">
        <v>184</v>
      </c>
      <c r="R332" s="41" t="s">
        <v>132</v>
      </c>
      <c r="S332" s="41" t="s">
        <v>40</v>
      </c>
      <c r="T332" s="41" t="s">
        <v>186</v>
      </c>
      <c r="U332" s="41" t="s">
        <v>40</v>
      </c>
    </row>
    <row r="333" spans="1:21">
      <c r="A333" s="41">
        <v>2617</v>
      </c>
      <c r="B333" s="41" t="s">
        <v>2011</v>
      </c>
      <c r="D333" s="41">
        <v>5920</v>
      </c>
      <c r="E333" s="41" t="s">
        <v>2012</v>
      </c>
      <c r="F333" s="41" t="s">
        <v>53</v>
      </c>
      <c r="G333" s="41" t="s">
        <v>64</v>
      </c>
      <c r="I333" s="41">
        <v>0</v>
      </c>
      <c r="J333" s="41" t="s">
        <v>32</v>
      </c>
      <c r="K333" s="42"/>
      <c r="L333" s="41" t="s">
        <v>2013</v>
      </c>
      <c r="M333" s="41">
        <v>110</v>
      </c>
      <c r="N333" s="41" t="s">
        <v>2014</v>
      </c>
      <c r="O333" s="41" t="s">
        <v>2015</v>
      </c>
      <c r="P333" s="41" t="s">
        <v>179</v>
      </c>
      <c r="Q333" s="41" t="s">
        <v>524</v>
      </c>
      <c r="R333" s="41" t="s">
        <v>132</v>
      </c>
      <c r="S333" s="41" t="s">
        <v>40</v>
      </c>
      <c r="T333" s="41" t="s">
        <v>40</v>
      </c>
      <c r="U333" s="41" t="s">
        <v>40</v>
      </c>
    </row>
    <row r="334" spans="1:21">
      <c r="A334" s="41">
        <v>2616</v>
      </c>
      <c r="B334" s="41" t="s">
        <v>2016</v>
      </c>
      <c r="D334" s="41">
        <v>5919</v>
      </c>
      <c r="E334" s="41" t="s">
        <v>1112</v>
      </c>
      <c r="F334" s="41" t="s">
        <v>28</v>
      </c>
      <c r="G334" s="41" t="s">
        <v>1300</v>
      </c>
      <c r="I334" s="41">
        <v>0</v>
      </c>
      <c r="J334" s="41" t="s">
        <v>32</v>
      </c>
      <c r="K334" s="42"/>
      <c r="L334" s="41" t="s">
        <v>2017</v>
      </c>
      <c r="M334" s="41">
        <v>220</v>
      </c>
      <c r="N334" s="41" t="s">
        <v>2018</v>
      </c>
      <c r="O334" s="41" t="s">
        <v>2019</v>
      </c>
      <c r="P334" s="41" t="s">
        <v>98</v>
      </c>
      <c r="Q334" s="41" t="s">
        <v>491</v>
      </c>
      <c r="R334" s="41" t="s">
        <v>39</v>
      </c>
      <c r="S334" s="41" t="s">
        <v>40</v>
      </c>
      <c r="T334" s="41" t="s">
        <v>40</v>
      </c>
      <c r="U334" s="41" t="s">
        <v>40</v>
      </c>
    </row>
    <row r="335" spans="1:21">
      <c r="A335" s="41">
        <v>2615</v>
      </c>
      <c r="B335" s="41" t="s">
        <v>2020</v>
      </c>
      <c r="D335" s="41">
        <v>5917</v>
      </c>
      <c r="E335" s="41" t="s">
        <v>2021</v>
      </c>
      <c r="F335" s="41" t="s">
        <v>53</v>
      </c>
      <c r="G335" s="41" t="s">
        <v>796</v>
      </c>
      <c r="I335" s="41">
        <v>0</v>
      </c>
      <c r="J335" s="41" t="s">
        <v>32</v>
      </c>
      <c r="K335" s="42"/>
      <c r="L335" s="41" t="s">
        <v>2022</v>
      </c>
      <c r="M335" s="41">
        <v>220</v>
      </c>
      <c r="N335" s="41" t="s">
        <v>2023</v>
      </c>
      <c r="O335" s="41" t="s">
        <v>1834</v>
      </c>
      <c r="P335" s="41" t="s">
        <v>98</v>
      </c>
      <c r="Q335" s="41" t="s">
        <v>116</v>
      </c>
      <c r="R335" s="41" t="s">
        <v>62</v>
      </c>
      <c r="S335" s="41" t="s">
        <v>40</v>
      </c>
      <c r="T335" s="41" t="s">
        <v>40</v>
      </c>
      <c r="U335" s="41" t="s">
        <v>40</v>
      </c>
    </row>
    <row r="336" spans="1:21">
      <c r="A336" s="41">
        <v>2614</v>
      </c>
      <c r="B336" s="41" t="s">
        <v>2024</v>
      </c>
      <c r="D336" s="41">
        <v>5890</v>
      </c>
      <c r="E336" s="41" t="s">
        <v>1696</v>
      </c>
      <c r="F336" s="41" t="s">
        <v>42</v>
      </c>
      <c r="G336" s="41" t="s">
        <v>1175</v>
      </c>
      <c r="I336" s="41">
        <v>0</v>
      </c>
      <c r="J336" s="41" t="s">
        <v>32</v>
      </c>
      <c r="K336" s="42"/>
      <c r="L336" s="41" t="s">
        <v>2025</v>
      </c>
      <c r="M336" s="41">
        <v>23</v>
      </c>
      <c r="N336" s="41" t="s">
        <v>67</v>
      </c>
      <c r="O336" s="41" t="s">
        <v>77</v>
      </c>
      <c r="P336" s="41" t="s">
        <v>60</v>
      </c>
      <c r="Q336" s="41" t="s">
        <v>413</v>
      </c>
      <c r="R336" s="41" t="s">
        <v>39</v>
      </c>
      <c r="S336" s="41" t="s">
        <v>40</v>
      </c>
      <c r="T336" s="41" t="s">
        <v>40</v>
      </c>
      <c r="U336" s="41" t="s">
        <v>40</v>
      </c>
    </row>
    <row r="337" spans="1:21">
      <c r="A337" s="41">
        <v>2613</v>
      </c>
      <c r="B337" s="41" t="s">
        <v>2026</v>
      </c>
      <c r="D337" s="41">
        <v>5902</v>
      </c>
      <c r="E337" s="41" t="s">
        <v>2027</v>
      </c>
      <c r="F337" s="41" t="s">
        <v>53</v>
      </c>
      <c r="G337" s="41" t="s">
        <v>64</v>
      </c>
      <c r="I337" s="41">
        <v>0</v>
      </c>
      <c r="J337" s="41" t="s">
        <v>32</v>
      </c>
      <c r="K337" s="42"/>
      <c r="L337" s="41" t="s">
        <v>2028</v>
      </c>
      <c r="M337" s="41">
        <v>66</v>
      </c>
      <c r="N337" s="41" t="s">
        <v>59</v>
      </c>
      <c r="O337" s="41" t="s">
        <v>1151</v>
      </c>
      <c r="P337" s="41" t="s">
        <v>60</v>
      </c>
      <c r="Q337" s="41" t="s">
        <v>608</v>
      </c>
      <c r="R337" s="41" t="s">
        <v>132</v>
      </c>
      <c r="S337" s="41" t="s">
        <v>40</v>
      </c>
      <c r="T337" s="41" t="s">
        <v>40</v>
      </c>
      <c r="U337" s="41" t="s">
        <v>40</v>
      </c>
    </row>
    <row r="338" spans="1:21">
      <c r="A338" s="41">
        <v>2612</v>
      </c>
      <c r="B338" s="41" t="s">
        <v>2029</v>
      </c>
      <c r="D338" s="41">
        <v>5914</v>
      </c>
      <c r="E338" s="41" t="s">
        <v>1112</v>
      </c>
      <c r="F338" s="41" t="s">
        <v>28</v>
      </c>
      <c r="G338" s="41" t="s">
        <v>301</v>
      </c>
      <c r="I338" s="41">
        <v>0</v>
      </c>
      <c r="J338" s="41" t="s">
        <v>32</v>
      </c>
      <c r="K338" s="42"/>
      <c r="L338" s="41" t="s">
        <v>2030</v>
      </c>
      <c r="M338" s="41">
        <v>220</v>
      </c>
      <c r="N338" s="41" t="s">
        <v>2031</v>
      </c>
      <c r="O338" s="41" t="s">
        <v>2019</v>
      </c>
      <c r="P338" s="41" t="s">
        <v>98</v>
      </c>
      <c r="Q338" s="41" t="s">
        <v>116</v>
      </c>
      <c r="R338" s="41" t="s">
        <v>39</v>
      </c>
      <c r="S338" s="41" t="s">
        <v>2032</v>
      </c>
      <c r="T338" s="41" t="s">
        <v>1890</v>
      </c>
      <c r="U338" s="41" t="s">
        <v>40</v>
      </c>
    </row>
    <row r="339" spans="1:21">
      <c r="A339" s="41">
        <v>2611</v>
      </c>
      <c r="B339" s="41" t="s">
        <v>2033</v>
      </c>
      <c r="D339" s="41">
        <v>5911</v>
      </c>
      <c r="E339" s="41" t="s">
        <v>1913</v>
      </c>
      <c r="F339" s="41" t="s">
        <v>53</v>
      </c>
      <c r="G339" s="41" t="s">
        <v>175</v>
      </c>
      <c r="I339" s="41">
        <v>0</v>
      </c>
      <c r="J339" s="41" t="s">
        <v>32</v>
      </c>
      <c r="K339" s="42"/>
      <c r="L339" s="41" t="s">
        <v>1918</v>
      </c>
      <c r="M339" s="41">
        <v>23</v>
      </c>
      <c r="N339" s="41" t="s">
        <v>2034</v>
      </c>
      <c r="O339" s="41" t="s">
        <v>1194</v>
      </c>
      <c r="P339" s="41" t="s">
        <v>98</v>
      </c>
      <c r="Q339" s="41" t="s">
        <v>569</v>
      </c>
      <c r="R339" s="41" t="s">
        <v>62</v>
      </c>
      <c r="S339" s="41" t="s">
        <v>40</v>
      </c>
      <c r="T339" s="41" t="s">
        <v>40</v>
      </c>
      <c r="U339" s="41" t="s">
        <v>40</v>
      </c>
    </row>
    <row r="340" spans="1:21">
      <c r="A340" s="41">
        <v>2610</v>
      </c>
      <c r="B340" s="41" t="s">
        <v>2035</v>
      </c>
      <c r="D340" s="41">
        <v>5912</v>
      </c>
      <c r="E340" s="41" t="s">
        <v>1913</v>
      </c>
      <c r="F340" s="41" t="s">
        <v>53</v>
      </c>
      <c r="G340" s="41" t="s">
        <v>141</v>
      </c>
      <c r="I340" s="41">
        <v>0</v>
      </c>
      <c r="J340" s="41" t="s">
        <v>32</v>
      </c>
      <c r="K340" s="42"/>
      <c r="L340" s="41" t="s">
        <v>2036</v>
      </c>
      <c r="M340" s="41">
        <v>13</v>
      </c>
      <c r="N340" s="41" t="s">
        <v>59</v>
      </c>
      <c r="O340" s="41" t="s">
        <v>362</v>
      </c>
      <c r="P340" s="41" t="s">
        <v>50</v>
      </c>
      <c r="Q340" s="41" t="s">
        <v>1499</v>
      </c>
      <c r="R340" s="41" t="s">
        <v>62</v>
      </c>
      <c r="S340" s="41" t="s">
        <v>2037</v>
      </c>
      <c r="T340" s="41" t="s">
        <v>1433</v>
      </c>
      <c r="U340" s="41" t="s">
        <v>40</v>
      </c>
    </row>
    <row r="341" spans="1:21">
      <c r="A341" s="41">
        <v>2609</v>
      </c>
      <c r="B341" s="41" t="s">
        <v>2038</v>
      </c>
      <c r="D341" s="41">
        <v>5913</v>
      </c>
      <c r="E341" s="41" t="s">
        <v>1913</v>
      </c>
      <c r="F341" s="41" t="s">
        <v>53</v>
      </c>
      <c r="G341" s="41" t="s">
        <v>760</v>
      </c>
      <c r="I341" s="41">
        <v>0</v>
      </c>
      <c r="J341" s="41" t="s">
        <v>32</v>
      </c>
      <c r="K341" s="42"/>
      <c r="L341" s="41" t="s">
        <v>2039</v>
      </c>
      <c r="M341" s="41">
        <v>220</v>
      </c>
      <c r="N341" s="41" t="s">
        <v>2040</v>
      </c>
      <c r="O341" s="41" t="s">
        <v>2041</v>
      </c>
      <c r="P341" s="41" t="s">
        <v>50</v>
      </c>
      <c r="Q341" s="41" t="s">
        <v>1499</v>
      </c>
      <c r="R341" s="41" t="s">
        <v>62</v>
      </c>
      <c r="S341" s="41" t="s">
        <v>40</v>
      </c>
      <c r="T341" s="41" t="s">
        <v>40</v>
      </c>
      <c r="U341" s="41" t="s">
        <v>40</v>
      </c>
    </row>
    <row r="342" spans="1:21">
      <c r="A342" s="41">
        <v>2608</v>
      </c>
      <c r="B342" s="41" t="s">
        <v>2033</v>
      </c>
      <c r="E342" s="41" t="s">
        <v>1913</v>
      </c>
      <c r="F342" s="41" t="s">
        <v>53</v>
      </c>
      <c r="G342" s="41" t="s">
        <v>43</v>
      </c>
      <c r="I342" s="41" t="s">
        <v>149</v>
      </c>
      <c r="J342" s="41" t="s">
        <v>32</v>
      </c>
      <c r="K342" s="42"/>
      <c r="P342" s="41" t="s">
        <v>98</v>
      </c>
      <c r="Q342" s="41" t="s">
        <v>569</v>
      </c>
      <c r="R342" s="41" t="s">
        <v>62</v>
      </c>
      <c r="S342" s="41" t="s">
        <v>40</v>
      </c>
      <c r="T342" s="41" t="s">
        <v>40</v>
      </c>
      <c r="U342" s="41" t="s">
        <v>40</v>
      </c>
    </row>
    <row r="343" spans="1:21">
      <c r="A343" s="41">
        <v>2607</v>
      </c>
      <c r="B343" s="41" t="s">
        <v>2033</v>
      </c>
      <c r="E343" s="41" t="s">
        <v>1913</v>
      </c>
      <c r="F343" s="41" t="s">
        <v>53</v>
      </c>
      <c r="G343" s="41" t="s">
        <v>43</v>
      </c>
      <c r="I343" s="41" t="s">
        <v>149</v>
      </c>
      <c r="J343" s="41" t="s">
        <v>32</v>
      </c>
      <c r="K343" s="42"/>
      <c r="P343" s="41" t="s">
        <v>98</v>
      </c>
      <c r="Q343" s="41" t="s">
        <v>569</v>
      </c>
      <c r="R343" s="41" t="s">
        <v>62</v>
      </c>
      <c r="S343" s="41" t="s">
        <v>40</v>
      </c>
      <c r="T343" s="41" t="s">
        <v>40</v>
      </c>
      <c r="U343" s="41" t="s">
        <v>40</v>
      </c>
    </row>
    <row r="344" spans="1:21">
      <c r="A344" s="41">
        <v>2606</v>
      </c>
      <c r="B344" s="41" t="s">
        <v>2033</v>
      </c>
      <c r="E344" s="41" t="s">
        <v>1913</v>
      </c>
      <c r="F344" s="41" t="s">
        <v>53</v>
      </c>
      <c r="G344" s="41" t="s">
        <v>43</v>
      </c>
      <c r="I344" s="41" t="s">
        <v>149</v>
      </c>
      <c r="J344" s="41" t="s">
        <v>32</v>
      </c>
      <c r="K344" s="42"/>
      <c r="P344" s="41" t="s">
        <v>98</v>
      </c>
      <c r="Q344" s="41" t="s">
        <v>569</v>
      </c>
      <c r="R344" s="41" t="s">
        <v>62</v>
      </c>
      <c r="S344" s="41" t="s">
        <v>40</v>
      </c>
      <c r="T344" s="41" t="s">
        <v>40</v>
      </c>
      <c r="U344" s="41" t="s">
        <v>40</v>
      </c>
    </row>
    <row r="345" spans="1:21">
      <c r="A345" s="41">
        <v>2605</v>
      </c>
      <c r="B345" s="41" t="s">
        <v>2042</v>
      </c>
      <c r="D345" s="41">
        <v>5907</v>
      </c>
      <c r="E345" s="41" t="s">
        <v>2043</v>
      </c>
      <c r="F345" s="41" t="s">
        <v>28</v>
      </c>
      <c r="G345" s="41" t="s">
        <v>301</v>
      </c>
      <c r="I345" s="41">
        <v>0</v>
      </c>
      <c r="J345" s="41" t="s">
        <v>672</v>
      </c>
      <c r="K345" s="42"/>
      <c r="L345" s="41" t="s">
        <v>2044</v>
      </c>
      <c r="M345" s="41">
        <v>220</v>
      </c>
      <c r="N345" s="41" t="s">
        <v>67</v>
      </c>
      <c r="O345" s="41" t="s">
        <v>2045</v>
      </c>
      <c r="P345" s="41" t="s">
        <v>50</v>
      </c>
      <c r="Q345" s="41" t="s">
        <v>1428</v>
      </c>
      <c r="R345" s="41" t="s">
        <v>39</v>
      </c>
      <c r="S345" s="41" t="s">
        <v>2046</v>
      </c>
      <c r="T345" s="41" t="s">
        <v>1433</v>
      </c>
      <c r="U345" s="41" t="s">
        <v>40</v>
      </c>
    </row>
    <row r="346" spans="1:21">
      <c r="A346" s="41">
        <v>2604</v>
      </c>
      <c r="B346" s="41" t="s">
        <v>2047</v>
      </c>
      <c r="D346" s="41">
        <v>5906</v>
      </c>
      <c r="E346" s="41" t="s">
        <v>2043</v>
      </c>
      <c r="F346" s="41" t="s">
        <v>28</v>
      </c>
      <c r="G346" s="41" t="s">
        <v>301</v>
      </c>
      <c r="I346" s="41">
        <v>0</v>
      </c>
      <c r="J346" s="41" t="s">
        <v>672</v>
      </c>
      <c r="K346" s="42"/>
      <c r="L346" s="41" t="s">
        <v>2048</v>
      </c>
      <c r="M346" s="41">
        <v>33</v>
      </c>
      <c r="N346" s="41" t="s">
        <v>67</v>
      </c>
      <c r="O346" s="41" t="s">
        <v>36</v>
      </c>
      <c r="P346" s="41" t="s">
        <v>50</v>
      </c>
      <c r="Q346" s="41" t="s">
        <v>1428</v>
      </c>
      <c r="R346" s="41" t="s">
        <v>39</v>
      </c>
      <c r="S346" s="41" t="s">
        <v>2049</v>
      </c>
      <c r="T346" s="41" t="s">
        <v>1433</v>
      </c>
      <c r="U346" s="41" t="s">
        <v>40</v>
      </c>
    </row>
    <row r="347" spans="1:21">
      <c r="A347" s="41">
        <v>2603</v>
      </c>
      <c r="B347" s="41" t="s">
        <v>2050</v>
      </c>
      <c r="D347" s="41">
        <v>5967</v>
      </c>
      <c r="E347" s="41" t="s">
        <v>992</v>
      </c>
      <c r="F347" s="41" t="s">
        <v>42</v>
      </c>
      <c r="G347" s="41" t="s">
        <v>141</v>
      </c>
      <c r="I347" s="41">
        <v>0</v>
      </c>
      <c r="J347" s="41" t="s">
        <v>32</v>
      </c>
      <c r="K347" s="42"/>
      <c r="L347" s="41" t="s">
        <v>2051</v>
      </c>
      <c r="M347" s="41">
        <v>23</v>
      </c>
      <c r="N347" s="41" t="s">
        <v>67</v>
      </c>
      <c r="O347" s="41" t="s">
        <v>388</v>
      </c>
      <c r="P347" s="41" t="s">
        <v>60</v>
      </c>
      <c r="Q347" s="41" t="s">
        <v>436</v>
      </c>
      <c r="R347" s="41" t="s">
        <v>39</v>
      </c>
      <c r="S347" s="41" t="s">
        <v>40</v>
      </c>
      <c r="T347" s="41" t="s">
        <v>1621</v>
      </c>
      <c r="U347" s="41" t="s">
        <v>40</v>
      </c>
    </row>
    <row r="348" spans="1:21">
      <c r="A348" s="41">
        <v>2602</v>
      </c>
      <c r="B348" s="41" t="s">
        <v>2052</v>
      </c>
      <c r="D348" s="41">
        <v>5903</v>
      </c>
      <c r="E348" s="41" t="s">
        <v>2053</v>
      </c>
      <c r="F348" s="41" t="s">
        <v>28</v>
      </c>
      <c r="G348" s="41" t="s">
        <v>301</v>
      </c>
      <c r="I348" s="41">
        <v>0</v>
      </c>
      <c r="J348" s="41" t="s">
        <v>32</v>
      </c>
      <c r="K348" s="42"/>
      <c r="L348" s="41" t="s">
        <v>2054</v>
      </c>
      <c r="M348" s="41">
        <v>220</v>
      </c>
      <c r="N348" s="41" t="s">
        <v>2054</v>
      </c>
      <c r="O348" s="41" t="s">
        <v>1574</v>
      </c>
      <c r="P348" s="41" t="s">
        <v>98</v>
      </c>
      <c r="Q348" s="41" t="s">
        <v>116</v>
      </c>
      <c r="R348" s="41" t="s">
        <v>39</v>
      </c>
      <c r="S348" s="41" t="s">
        <v>2055</v>
      </c>
      <c r="T348" s="41" t="s">
        <v>1500</v>
      </c>
      <c r="U348" s="41" t="s">
        <v>40</v>
      </c>
    </row>
    <row r="349" spans="1:21">
      <c r="A349" s="41">
        <v>2601</v>
      </c>
      <c r="B349" s="41" t="s">
        <v>2056</v>
      </c>
      <c r="D349" s="41">
        <v>5905</v>
      </c>
      <c r="E349" s="41" t="s">
        <v>2057</v>
      </c>
      <c r="F349" s="41" t="s">
        <v>53</v>
      </c>
      <c r="G349" s="41" t="s">
        <v>175</v>
      </c>
      <c r="I349" s="41">
        <v>0</v>
      </c>
      <c r="J349" s="41" t="s">
        <v>32</v>
      </c>
      <c r="K349" s="42"/>
      <c r="L349" s="41" t="s">
        <v>2058</v>
      </c>
      <c r="M349" s="41">
        <v>220</v>
      </c>
      <c r="N349" s="41" t="s">
        <v>59</v>
      </c>
      <c r="O349" s="41" t="s">
        <v>271</v>
      </c>
      <c r="P349" s="41" t="s">
        <v>60</v>
      </c>
      <c r="Q349" s="41" t="s">
        <v>1348</v>
      </c>
      <c r="R349" s="41" t="s">
        <v>62</v>
      </c>
      <c r="S349" s="41" t="s">
        <v>40</v>
      </c>
      <c r="T349" s="41" t="s">
        <v>40</v>
      </c>
      <c r="U349" s="41" t="s">
        <v>40</v>
      </c>
    </row>
    <row r="350" spans="1:21">
      <c r="A350" s="41">
        <v>2600</v>
      </c>
      <c r="B350" s="41" t="s">
        <v>2059</v>
      </c>
      <c r="D350" s="41">
        <v>5904</v>
      </c>
      <c r="E350" s="41" t="s">
        <v>1112</v>
      </c>
      <c r="F350" s="41" t="s">
        <v>28</v>
      </c>
      <c r="G350" s="41" t="s">
        <v>286</v>
      </c>
      <c r="I350" s="41" t="s">
        <v>45</v>
      </c>
      <c r="J350" s="41" t="s">
        <v>32</v>
      </c>
      <c r="K350" s="42"/>
      <c r="L350" s="41" t="s">
        <v>2060</v>
      </c>
      <c r="M350" s="41">
        <v>220</v>
      </c>
      <c r="N350" s="41" t="s">
        <v>2019</v>
      </c>
      <c r="O350" s="41" t="s">
        <v>2061</v>
      </c>
      <c r="P350" s="41" t="s">
        <v>98</v>
      </c>
      <c r="Q350" s="41" t="s">
        <v>491</v>
      </c>
      <c r="R350" s="41" t="s">
        <v>39</v>
      </c>
      <c r="S350" s="41" t="s">
        <v>40</v>
      </c>
      <c r="T350" s="41" t="s">
        <v>40</v>
      </c>
      <c r="U350" s="41" t="s">
        <v>40</v>
      </c>
    </row>
    <row r="351" spans="1:21">
      <c r="A351" s="41">
        <v>2599</v>
      </c>
      <c r="B351" s="41" t="s">
        <v>2062</v>
      </c>
      <c r="D351" s="41">
        <v>5901</v>
      </c>
      <c r="E351" s="41" t="s">
        <v>2063</v>
      </c>
      <c r="F351" s="41" t="s">
        <v>28</v>
      </c>
      <c r="G351" s="41" t="s">
        <v>301</v>
      </c>
      <c r="I351" s="41">
        <v>0</v>
      </c>
      <c r="J351" s="41" t="s">
        <v>32</v>
      </c>
      <c r="K351" s="42"/>
      <c r="L351" s="41" t="s">
        <v>2064</v>
      </c>
      <c r="M351" s="41">
        <v>220</v>
      </c>
      <c r="N351" s="41" t="s">
        <v>67</v>
      </c>
      <c r="O351" s="41" t="s">
        <v>2065</v>
      </c>
      <c r="P351" s="41" t="s">
        <v>98</v>
      </c>
      <c r="Q351" s="41" t="s">
        <v>491</v>
      </c>
      <c r="R351" s="41" t="s">
        <v>39</v>
      </c>
      <c r="S351" s="41" t="s">
        <v>2066</v>
      </c>
      <c r="T351" s="41" t="s">
        <v>1890</v>
      </c>
      <c r="U351" s="41" t="s">
        <v>40</v>
      </c>
    </row>
    <row r="352" spans="1:21">
      <c r="A352" s="41">
        <v>2598</v>
      </c>
      <c r="B352" s="41" t="s">
        <v>2067</v>
      </c>
      <c r="D352" s="41">
        <v>5900</v>
      </c>
      <c r="E352" s="41" t="s">
        <v>998</v>
      </c>
      <c r="F352" s="41" t="s">
        <v>53</v>
      </c>
      <c r="G352" s="41" t="s">
        <v>64</v>
      </c>
      <c r="I352" s="41">
        <v>0</v>
      </c>
      <c r="J352" s="41" t="s">
        <v>672</v>
      </c>
      <c r="K352" s="42"/>
      <c r="L352" s="41" t="s">
        <v>2068</v>
      </c>
      <c r="M352" s="41">
        <v>15</v>
      </c>
      <c r="N352" s="41" t="s">
        <v>1009</v>
      </c>
      <c r="O352" s="41" t="s">
        <v>402</v>
      </c>
      <c r="P352" s="41" t="s">
        <v>172</v>
      </c>
      <c r="Q352" s="41" t="s">
        <v>2069</v>
      </c>
      <c r="R352" s="41" t="s">
        <v>132</v>
      </c>
      <c r="S352" s="41" t="s">
        <v>40</v>
      </c>
      <c r="T352" s="41" t="s">
        <v>40</v>
      </c>
      <c r="U352" s="41" t="s">
        <v>40</v>
      </c>
    </row>
    <row r="353" spans="1:21">
      <c r="A353" s="41">
        <v>2597</v>
      </c>
      <c r="B353" s="41" t="s">
        <v>2070</v>
      </c>
      <c r="D353" s="41">
        <v>5926</v>
      </c>
      <c r="E353" s="41" t="s">
        <v>1841</v>
      </c>
      <c r="F353" s="41" t="s">
        <v>53</v>
      </c>
      <c r="G353" s="41" t="s">
        <v>64</v>
      </c>
      <c r="I353" s="41">
        <v>0</v>
      </c>
      <c r="J353" s="41" t="s">
        <v>32</v>
      </c>
      <c r="K353" s="42"/>
      <c r="L353" s="41" t="s">
        <v>1842</v>
      </c>
      <c r="M353" s="41">
        <v>220</v>
      </c>
      <c r="N353" s="41" t="s">
        <v>2071</v>
      </c>
      <c r="O353" s="41" t="s">
        <v>2072</v>
      </c>
      <c r="P353" s="41" t="s">
        <v>179</v>
      </c>
      <c r="Q353" s="41" t="s">
        <v>592</v>
      </c>
      <c r="R353" s="41" t="s">
        <v>62</v>
      </c>
      <c r="S353" s="41" t="s">
        <v>40</v>
      </c>
      <c r="T353" s="41" t="s">
        <v>40</v>
      </c>
      <c r="U353" s="41" t="s">
        <v>40</v>
      </c>
    </row>
    <row r="354" spans="1:21">
      <c r="A354" s="41">
        <v>2596</v>
      </c>
      <c r="B354" s="41" t="s">
        <v>2073</v>
      </c>
      <c r="D354" s="41">
        <v>5899</v>
      </c>
      <c r="E354" s="41" t="s">
        <v>1739</v>
      </c>
      <c r="F354" s="41" t="s">
        <v>53</v>
      </c>
      <c r="G354" s="41" t="s">
        <v>175</v>
      </c>
      <c r="I354" s="41">
        <v>0</v>
      </c>
      <c r="J354" s="41" t="s">
        <v>672</v>
      </c>
      <c r="K354" s="42"/>
      <c r="L354" s="41" t="s">
        <v>2074</v>
      </c>
      <c r="M354" s="41">
        <v>15</v>
      </c>
      <c r="N354" s="41" t="s">
        <v>2075</v>
      </c>
      <c r="O354" s="41" t="s">
        <v>2076</v>
      </c>
      <c r="P354" s="41" t="s">
        <v>60</v>
      </c>
      <c r="Q354" s="41" t="s">
        <v>1468</v>
      </c>
      <c r="R354" s="41" t="s">
        <v>132</v>
      </c>
      <c r="S354" s="41" t="s">
        <v>40</v>
      </c>
      <c r="T354" s="41" t="s">
        <v>40</v>
      </c>
      <c r="U354" s="41" t="s">
        <v>40</v>
      </c>
    </row>
    <row r="355" spans="1:21">
      <c r="A355" s="41">
        <v>2595</v>
      </c>
      <c r="B355" s="41" t="s">
        <v>2077</v>
      </c>
      <c r="D355" s="41">
        <v>5898</v>
      </c>
      <c r="E355" s="41" t="s">
        <v>1739</v>
      </c>
      <c r="F355" s="41" t="s">
        <v>53</v>
      </c>
      <c r="G355" s="41" t="s">
        <v>141</v>
      </c>
      <c r="I355" s="41" t="s">
        <v>1107</v>
      </c>
      <c r="J355" s="41" t="s">
        <v>672</v>
      </c>
      <c r="K355" s="42"/>
      <c r="L355" s="41" t="s">
        <v>2074</v>
      </c>
      <c r="M355" s="41">
        <v>15</v>
      </c>
      <c r="N355" s="41" t="s">
        <v>2075</v>
      </c>
      <c r="O355" s="41" t="s">
        <v>1002</v>
      </c>
      <c r="P355" s="41" t="s">
        <v>60</v>
      </c>
      <c r="Q355" s="41" t="s">
        <v>1468</v>
      </c>
      <c r="R355" s="41" t="s">
        <v>132</v>
      </c>
      <c r="S355" s="41" t="s">
        <v>2078</v>
      </c>
      <c r="T355" s="41" t="s">
        <v>1796</v>
      </c>
      <c r="U355" s="41" t="s">
        <v>40</v>
      </c>
    </row>
    <row r="356" spans="1:21">
      <c r="A356" s="41">
        <v>2594</v>
      </c>
      <c r="B356" s="41" t="s">
        <v>2079</v>
      </c>
      <c r="C356" s="41">
        <v>1</v>
      </c>
      <c r="D356" s="41">
        <v>5918</v>
      </c>
      <c r="E356" s="41" t="s">
        <v>1798</v>
      </c>
      <c r="F356" s="41" t="s">
        <v>53</v>
      </c>
      <c r="G356" s="41" t="s">
        <v>760</v>
      </c>
      <c r="H356" s="42">
        <v>45825</v>
      </c>
      <c r="I356" s="41">
        <v>120</v>
      </c>
      <c r="J356" s="41" t="s">
        <v>672</v>
      </c>
      <c r="K356" s="42">
        <v>47118</v>
      </c>
      <c r="L356" s="41" t="s">
        <v>183</v>
      </c>
      <c r="M356" s="41">
        <v>110</v>
      </c>
      <c r="N356" s="41" t="s">
        <v>2080</v>
      </c>
      <c r="O356" s="41" t="s">
        <v>1473</v>
      </c>
      <c r="P356" s="41" t="s">
        <v>68</v>
      </c>
      <c r="Q356" s="41" t="s">
        <v>184</v>
      </c>
      <c r="R356" s="41" t="s">
        <v>132</v>
      </c>
      <c r="S356" s="41" t="s">
        <v>40</v>
      </c>
      <c r="T356" s="41" t="s">
        <v>40</v>
      </c>
      <c r="U356" s="41" t="s">
        <v>40</v>
      </c>
    </row>
    <row r="357" spans="1:21">
      <c r="A357" s="41">
        <v>2593</v>
      </c>
      <c r="B357" s="41" t="s">
        <v>2081</v>
      </c>
      <c r="D357" s="41">
        <v>5897</v>
      </c>
      <c r="E357" s="41" t="s">
        <v>1091</v>
      </c>
      <c r="F357" s="41" t="s">
        <v>53</v>
      </c>
      <c r="G357" s="41" t="s">
        <v>141</v>
      </c>
      <c r="I357" s="41">
        <v>0</v>
      </c>
      <c r="J357" s="41" t="s">
        <v>672</v>
      </c>
      <c r="K357" s="42"/>
      <c r="L357" s="41" t="s">
        <v>1359</v>
      </c>
      <c r="M357" s="41">
        <v>12</v>
      </c>
      <c r="N357" s="41" t="s">
        <v>2082</v>
      </c>
      <c r="O357" s="41" t="s">
        <v>1100</v>
      </c>
      <c r="P357" s="41" t="s">
        <v>68</v>
      </c>
      <c r="Q357" s="41" t="s">
        <v>1254</v>
      </c>
      <c r="R357" s="41" t="s">
        <v>132</v>
      </c>
      <c r="S357" s="41" t="s">
        <v>2083</v>
      </c>
      <c r="T357" s="41" t="s">
        <v>1796</v>
      </c>
      <c r="U357" s="41" t="s">
        <v>40</v>
      </c>
    </row>
    <row r="358" spans="1:21">
      <c r="A358" s="41">
        <v>2592</v>
      </c>
      <c r="B358" s="41" t="s">
        <v>2084</v>
      </c>
      <c r="D358" s="41">
        <v>5896</v>
      </c>
      <c r="E358" s="41" t="s">
        <v>1091</v>
      </c>
      <c r="F358" s="41" t="s">
        <v>53</v>
      </c>
      <c r="G358" s="41" t="s">
        <v>141</v>
      </c>
      <c r="I358" s="41">
        <v>0</v>
      </c>
      <c r="J358" s="41" t="s">
        <v>672</v>
      </c>
      <c r="K358" s="42"/>
      <c r="L358" s="41" t="s">
        <v>1260</v>
      </c>
      <c r="M358" s="41">
        <v>12</v>
      </c>
      <c r="N358" s="41" t="s">
        <v>1094</v>
      </c>
      <c r="O358" s="41" t="s">
        <v>2085</v>
      </c>
      <c r="P358" s="41" t="s">
        <v>68</v>
      </c>
      <c r="Q358" s="41" t="s">
        <v>1096</v>
      </c>
      <c r="R358" s="41" t="s">
        <v>132</v>
      </c>
      <c r="S358" s="41" t="s">
        <v>2086</v>
      </c>
      <c r="T358" s="41" t="s">
        <v>266</v>
      </c>
      <c r="U358" s="41" t="s">
        <v>40</v>
      </c>
    </row>
    <row r="359" spans="1:21">
      <c r="A359" s="41">
        <v>2591</v>
      </c>
      <c r="B359" s="41" t="s">
        <v>2087</v>
      </c>
      <c r="D359" s="41">
        <v>5915</v>
      </c>
      <c r="E359" s="41" t="s">
        <v>2088</v>
      </c>
      <c r="F359" s="41" t="s">
        <v>53</v>
      </c>
      <c r="G359" s="41" t="s">
        <v>760</v>
      </c>
      <c r="I359" s="41">
        <v>0</v>
      </c>
      <c r="J359" s="41" t="s">
        <v>32</v>
      </c>
      <c r="K359" s="42"/>
      <c r="L359" s="41" t="s">
        <v>2089</v>
      </c>
      <c r="M359" s="41">
        <v>13</v>
      </c>
      <c r="N359" s="41" t="s">
        <v>18</v>
      </c>
      <c r="O359" s="41" t="s">
        <v>2090</v>
      </c>
      <c r="P359" s="41" t="s">
        <v>172</v>
      </c>
      <c r="Q359" s="41" t="s">
        <v>197</v>
      </c>
      <c r="R359" s="41" t="s">
        <v>132</v>
      </c>
      <c r="S359" s="41" t="s">
        <v>40</v>
      </c>
      <c r="T359" s="41" t="s">
        <v>40</v>
      </c>
      <c r="U359" s="41" t="s">
        <v>40</v>
      </c>
    </row>
    <row r="360" spans="1:21">
      <c r="A360" s="41">
        <v>2590</v>
      </c>
      <c r="B360" s="41" t="s">
        <v>2091</v>
      </c>
      <c r="D360" s="41">
        <v>5895</v>
      </c>
      <c r="E360" s="41" t="s">
        <v>1882</v>
      </c>
      <c r="F360" s="41" t="s">
        <v>53</v>
      </c>
      <c r="G360" s="41" t="s">
        <v>64</v>
      </c>
      <c r="I360" s="41">
        <v>0</v>
      </c>
      <c r="J360" s="41" t="s">
        <v>32</v>
      </c>
      <c r="K360" s="42"/>
      <c r="L360" s="41" t="s">
        <v>2092</v>
      </c>
      <c r="M360" s="41">
        <v>220</v>
      </c>
      <c r="N360" s="41" t="s">
        <v>340</v>
      </c>
      <c r="O360" s="41" t="s">
        <v>1834</v>
      </c>
      <c r="P360" s="41" t="s">
        <v>172</v>
      </c>
      <c r="Q360" s="41" t="s">
        <v>197</v>
      </c>
      <c r="R360" s="41" t="s">
        <v>132</v>
      </c>
      <c r="S360" s="41" t="s">
        <v>40</v>
      </c>
      <c r="T360" s="41" t="s">
        <v>40</v>
      </c>
      <c r="U360" s="41" t="s">
        <v>40</v>
      </c>
    </row>
    <row r="361" spans="1:21">
      <c r="A361" s="41">
        <v>2589</v>
      </c>
      <c r="B361" s="41" t="s">
        <v>2093</v>
      </c>
      <c r="C361" s="43">
        <v>1</v>
      </c>
      <c r="E361" s="41" t="s">
        <v>1798</v>
      </c>
      <c r="F361" s="41" t="s">
        <v>53</v>
      </c>
      <c r="G361" s="41" t="s">
        <v>43</v>
      </c>
      <c r="I361" s="41" t="s">
        <v>966</v>
      </c>
      <c r="J361" s="41" t="s">
        <v>672</v>
      </c>
      <c r="K361" s="42"/>
      <c r="L361" s="41" t="s">
        <v>2094</v>
      </c>
      <c r="M361" s="41">
        <v>110</v>
      </c>
      <c r="N361" s="41" t="s">
        <v>2095</v>
      </c>
      <c r="O361" s="41" t="s">
        <v>1473</v>
      </c>
      <c r="P361" s="41" t="s">
        <v>68</v>
      </c>
      <c r="Q361" s="41" t="s">
        <v>184</v>
      </c>
      <c r="R361" s="41" t="s">
        <v>132</v>
      </c>
      <c r="S361" s="41" t="s">
        <v>40</v>
      </c>
      <c r="T361" s="41" t="s">
        <v>40</v>
      </c>
      <c r="U361" s="41" t="s">
        <v>40</v>
      </c>
    </row>
    <row r="362" spans="1:21">
      <c r="A362" s="41">
        <v>2588</v>
      </c>
      <c r="B362" s="41" t="s">
        <v>2096</v>
      </c>
      <c r="D362" s="41">
        <v>5927</v>
      </c>
      <c r="E362" s="41" t="s">
        <v>1836</v>
      </c>
      <c r="F362" s="41" t="s">
        <v>53</v>
      </c>
      <c r="G362" s="41" t="s">
        <v>64</v>
      </c>
      <c r="I362" s="41">
        <v>0</v>
      </c>
      <c r="J362" s="41" t="s">
        <v>32</v>
      </c>
      <c r="K362" s="42"/>
      <c r="L362" s="41" t="s">
        <v>1837</v>
      </c>
      <c r="M362" s="41">
        <v>154</v>
      </c>
      <c r="N362" s="41" t="s">
        <v>1220</v>
      </c>
      <c r="O362" s="41" t="s">
        <v>1838</v>
      </c>
      <c r="P362" s="41" t="s">
        <v>172</v>
      </c>
      <c r="Q362" s="41" t="s">
        <v>1104</v>
      </c>
      <c r="R362" s="41" t="s">
        <v>62</v>
      </c>
      <c r="S362" s="41" t="s">
        <v>40</v>
      </c>
      <c r="T362" s="41" t="s">
        <v>40</v>
      </c>
      <c r="U362" s="41" t="s">
        <v>40</v>
      </c>
    </row>
    <row r="363" spans="1:21">
      <c r="A363" s="41">
        <v>2587</v>
      </c>
      <c r="B363" s="41" t="s">
        <v>2097</v>
      </c>
      <c r="D363" s="41">
        <v>5886</v>
      </c>
      <c r="E363" s="41" t="s">
        <v>2053</v>
      </c>
      <c r="F363" s="41" t="s">
        <v>42</v>
      </c>
      <c r="G363" s="41" t="s">
        <v>141</v>
      </c>
      <c r="I363" s="41">
        <v>0</v>
      </c>
      <c r="J363" s="41" t="s">
        <v>32</v>
      </c>
      <c r="K363" s="42"/>
      <c r="L363" s="41" t="s">
        <v>2098</v>
      </c>
      <c r="M363" s="41">
        <v>13</v>
      </c>
      <c r="N363" s="41" t="s">
        <v>311</v>
      </c>
      <c r="O363" s="41" t="s">
        <v>2099</v>
      </c>
      <c r="P363" s="41" t="s">
        <v>546</v>
      </c>
      <c r="Q363" s="41" t="s">
        <v>2100</v>
      </c>
      <c r="R363" s="41" t="s">
        <v>39</v>
      </c>
      <c r="S363" s="41" t="s">
        <v>40</v>
      </c>
      <c r="T363" s="41" t="s">
        <v>2101</v>
      </c>
      <c r="U363" s="41" t="s">
        <v>40</v>
      </c>
    </row>
    <row r="364" spans="1:21">
      <c r="A364" s="41">
        <v>2586</v>
      </c>
      <c r="B364" s="41" t="s">
        <v>1824</v>
      </c>
      <c r="D364" s="41">
        <v>5891</v>
      </c>
      <c r="E364" s="41" t="s">
        <v>998</v>
      </c>
      <c r="F364" s="41" t="s">
        <v>53</v>
      </c>
      <c r="G364" s="41" t="s">
        <v>1071</v>
      </c>
      <c r="I364" s="41">
        <v>0</v>
      </c>
      <c r="J364" s="41" t="s">
        <v>672</v>
      </c>
      <c r="K364" s="42"/>
      <c r="L364" s="41" t="s">
        <v>2102</v>
      </c>
      <c r="M364" s="41">
        <v>15</v>
      </c>
      <c r="N364" s="41" t="s">
        <v>2103</v>
      </c>
      <c r="O364" s="41" t="s">
        <v>1439</v>
      </c>
      <c r="P364" s="41" t="s">
        <v>172</v>
      </c>
      <c r="Q364" s="41" t="s">
        <v>2069</v>
      </c>
      <c r="R364" s="41" t="s">
        <v>132</v>
      </c>
      <c r="S364" s="41" t="s">
        <v>40</v>
      </c>
      <c r="T364" s="41" t="s">
        <v>40</v>
      </c>
      <c r="U364" s="41" t="s">
        <v>40</v>
      </c>
    </row>
    <row r="365" spans="1:21">
      <c r="A365" s="41">
        <v>2585</v>
      </c>
      <c r="B365" s="41" t="s">
        <v>2104</v>
      </c>
      <c r="D365" s="41">
        <v>5884</v>
      </c>
      <c r="E365" s="41" t="s">
        <v>1739</v>
      </c>
      <c r="F365" s="41" t="s">
        <v>53</v>
      </c>
      <c r="G365" s="41" t="s">
        <v>141</v>
      </c>
      <c r="I365" s="41">
        <v>0</v>
      </c>
      <c r="J365" s="41" t="s">
        <v>672</v>
      </c>
      <c r="K365" s="42"/>
      <c r="L365" s="41" t="s">
        <v>1777</v>
      </c>
      <c r="M365" s="41">
        <v>15</v>
      </c>
      <c r="N365" s="41" t="s">
        <v>1778</v>
      </c>
      <c r="O365" s="41" t="s">
        <v>2076</v>
      </c>
      <c r="P365" s="41" t="s">
        <v>60</v>
      </c>
      <c r="Q365" s="41" t="s">
        <v>1344</v>
      </c>
      <c r="R365" s="41" t="s">
        <v>132</v>
      </c>
      <c r="S365" s="41" t="s">
        <v>2105</v>
      </c>
      <c r="T365" s="41" t="s">
        <v>266</v>
      </c>
      <c r="U365" s="41" t="s">
        <v>40</v>
      </c>
    </row>
    <row r="366" spans="1:21">
      <c r="A366" s="41">
        <v>2584</v>
      </c>
      <c r="B366" s="41" t="s">
        <v>2106</v>
      </c>
      <c r="D366" s="41">
        <v>5883</v>
      </c>
      <c r="E366" s="41" t="s">
        <v>1739</v>
      </c>
      <c r="F366" s="41" t="s">
        <v>53</v>
      </c>
      <c r="G366" s="41" t="s">
        <v>141</v>
      </c>
      <c r="I366" s="41">
        <v>0</v>
      </c>
      <c r="J366" s="41" t="s">
        <v>672</v>
      </c>
      <c r="K366" s="42"/>
      <c r="L366" s="41" t="s">
        <v>1777</v>
      </c>
      <c r="M366" s="41">
        <v>15</v>
      </c>
      <c r="N366" s="41" t="s">
        <v>1778</v>
      </c>
      <c r="O366" s="41" t="s">
        <v>1002</v>
      </c>
      <c r="P366" s="41" t="s">
        <v>60</v>
      </c>
      <c r="Q366" s="41" t="s">
        <v>1344</v>
      </c>
      <c r="R366" s="41" t="s">
        <v>132</v>
      </c>
      <c r="S366" s="41" t="s">
        <v>2107</v>
      </c>
      <c r="T366" s="41" t="s">
        <v>266</v>
      </c>
      <c r="U366" s="41" t="s">
        <v>40</v>
      </c>
    </row>
    <row r="367" spans="1:21">
      <c r="A367" s="41">
        <v>2583</v>
      </c>
      <c r="B367" s="41" t="s">
        <v>2108</v>
      </c>
      <c r="D367" s="41">
        <v>5878</v>
      </c>
      <c r="E367" s="41" t="s">
        <v>998</v>
      </c>
      <c r="F367" s="41" t="s">
        <v>53</v>
      </c>
      <c r="G367" s="41" t="s">
        <v>1071</v>
      </c>
      <c r="I367" s="41">
        <v>0</v>
      </c>
      <c r="J367" s="41" t="s">
        <v>672</v>
      </c>
      <c r="K367" s="42"/>
      <c r="L367" s="41" t="s">
        <v>2109</v>
      </c>
      <c r="M367" s="41">
        <v>15</v>
      </c>
      <c r="N367" s="41" t="s">
        <v>2110</v>
      </c>
      <c r="O367" s="41" t="s">
        <v>2090</v>
      </c>
      <c r="P367" s="41" t="s">
        <v>37</v>
      </c>
      <c r="Q367" s="41" t="s">
        <v>2111</v>
      </c>
      <c r="R367" s="41" t="s">
        <v>132</v>
      </c>
      <c r="S367" s="41" t="s">
        <v>40</v>
      </c>
      <c r="T367" s="41" t="s">
        <v>40</v>
      </c>
      <c r="U367" s="41" t="s">
        <v>40</v>
      </c>
    </row>
    <row r="368" spans="1:21">
      <c r="A368" s="41">
        <v>2582</v>
      </c>
      <c r="B368" s="41" t="s">
        <v>1007</v>
      </c>
      <c r="D368" s="41">
        <v>5879</v>
      </c>
      <c r="E368" s="41" t="s">
        <v>998</v>
      </c>
      <c r="F368" s="41" t="s">
        <v>53</v>
      </c>
      <c r="G368" s="41" t="s">
        <v>64</v>
      </c>
      <c r="I368" s="41">
        <v>0</v>
      </c>
      <c r="J368" s="41" t="s">
        <v>672</v>
      </c>
      <c r="K368" s="42"/>
      <c r="L368" s="41" t="s">
        <v>2112</v>
      </c>
      <c r="M368" s="41">
        <v>15</v>
      </c>
      <c r="N368" s="41" t="s">
        <v>2113</v>
      </c>
      <c r="O368" s="41" t="s">
        <v>2114</v>
      </c>
      <c r="P368" s="41" t="s">
        <v>172</v>
      </c>
      <c r="Q368" s="41" t="s">
        <v>1011</v>
      </c>
      <c r="R368" s="41" t="s">
        <v>132</v>
      </c>
      <c r="S368" s="41" t="s">
        <v>40</v>
      </c>
      <c r="T368" s="41" t="s">
        <v>40</v>
      </c>
      <c r="U368" s="41" t="s">
        <v>40</v>
      </c>
    </row>
    <row r="369" spans="1:21">
      <c r="A369" s="41">
        <v>2581</v>
      </c>
      <c r="B369" s="41" t="s">
        <v>1007</v>
      </c>
      <c r="E369" s="41" t="s">
        <v>998</v>
      </c>
      <c r="F369" s="41" t="s">
        <v>53</v>
      </c>
      <c r="G369" s="41" t="s">
        <v>43</v>
      </c>
      <c r="I369" s="41" t="s">
        <v>194</v>
      </c>
      <c r="J369" s="41" t="s">
        <v>672</v>
      </c>
      <c r="K369" s="42"/>
      <c r="P369" s="41" t="s">
        <v>172</v>
      </c>
      <c r="Q369" s="41" t="s">
        <v>1011</v>
      </c>
      <c r="R369" s="41" t="s">
        <v>132</v>
      </c>
      <c r="S369" s="41" t="s">
        <v>40</v>
      </c>
      <c r="T369" s="41" t="s">
        <v>40</v>
      </c>
      <c r="U369" s="41" t="s">
        <v>40</v>
      </c>
    </row>
    <row r="370" spans="1:21">
      <c r="A370" s="41">
        <v>2580</v>
      </c>
      <c r="B370" s="41" t="s">
        <v>2115</v>
      </c>
      <c r="D370" s="41">
        <v>5882</v>
      </c>
      <c r="E370" s="41" t="s">
        <v>2116</v>
      </c>
      <c r="F370" s="41" t="s">
        <v>53</v>
      </c>
      <c r="G370" s="41" t="s">
        <v>141</v>
      </c>
      <c r="I370" s="41">
        <v>0</v>
      </c>
      <c r="J370" s="41" t="s">
        <v>32</v>
      </c>
      <c r="K370" s="42"/>
      <c r="L370" s="41" t="s">
        <v>2117</v>
      </c>
      <c r="M370" s="41">
        <v>66</v>
      </c>
      <c r="N370" s="41" t="s">
        <v>67</v>
      </c>
      <c r="O370" s="41" t="s">
        <v>1151</v>
      </c>
      <c r="P370" s="41" t="s">
        <v>68</v>
      </c>
      <c r="Q370" s="41" t="s">
        <v>938</v>
      </c>
      <c r="R370" s="41" t="s">
        <v>132</v>
      </c>
      <c r="S370" s="41" t="s">
        <v>2118</v>
      </c>
      <c r="T370" s="41" t="s">
        <v>1621</v>
      </c>
      <c r="U370" s="41" t="s">
        <v>40</v>
      </c>
    </row>
    <row r="371" spans="1:21">
      <c r="A371" s="41">
        <v>2579</v>
      </c>
      <c r="B371" s="41" t="s">
        <v>2119</v>
      </c>
      <c r="D371" s="41">
        <v>5885</v>
      </c>
      <c r="E371" s="41" t="s">
        <v>1286</v>
      </c>
      <c r="F371" s="41" t="s">
        <v>28</v>
      </c>
      <c r="G371" s="41" t="s">
        <v>301</v>
      </c>
      <c r="I371" s="41">
        <v>0</v>
      </c>
      <c r="J371" s="41" t="s">
        <v>32</v>
      </c>
      <c r="K371" s="42"/>
      <c r="L371" s="41" t="s">
        <v>2120</v>
      </c>
      <c r="M371" s="41">
        <v>220</v>
      </c>
      <c r="N371" s="41" t="s">
        <v>1020</v>
      </c>
      <c r="O371" s="41" t="s">
        <v>757</v>
      </c>
      <c r="P371" s="41" t="s">
        <v>153</v>
      </c>
      <c r="Q371" s="41" t="s">
        <v>329</v>
      </c>
      <c r="R371" s="41" t="s">
        <v>39</v>
      </c>
      <c r="S371" s="41" t="s">
        <v>2121</v>
      </c>
      <c r="T371" s="41" t="s">
        <v>1433</v>
      </c>
      <c r="U371" s="41" t="s">
        <v>40</v>
      </c>
    </row>
    <row r="372" spans="1:21">
      <c r="A372" s="41">
        <v>2578</v>
      </c>
      <c r="B372" s="41" t="s">
        <v>2122</v>
      </c>
      <c r="D372" s="41">
        <v>5881</v>
      </c>
      <c r="E372" s="41" t="s">
        <v>2123</v>
      </c>
      <c r="F372" s="41" t="s">
        <v>53</v>
      </c>
      <c r="G372" s="41" t="s">
        <v>64</v>
      </c>
      <c r="I372" s="41">
        <v>0</v>
      </c>
      <c r="J372" s="41" t="s">
        <v>32</v>
      </c>
      <c r="K372" s="42"/>
      <c r="L372" s="41" t="s">
        <v>2124</v>
      </c>
      <c r="M372" s="41">
        <v>66</v>
      </c>
      <c r="N372" s="41" t="s">
        <v>67</v>
      </c>
      <c r="O372" s="41" t="s">
        <v>466</v>
      </c>
      <c r="P372" s="41" t="s">
        <v>60</v>
      </c>
      <c r="Q372" s="41" t="s">
        <v>61</v>
      </c>
      <c r="R372" s="41" t="s">
        <v>132</v>
      </c>
      <c r="S372" s="41" t="s">
        <v>40</v>
      </c>
      <c r="T372" s="41" t="s">
        <v>40</v>
      </c>
      <c r="U372" s="41" t="s">
        <v>40</v>
      </c>
    </row>
    <row r="373" spans="1:21">
      <c r="A373" s="41">
        <v>2577</v>
      </c>
      <c r="B373" s="41" t="s">
        <v>2125</v>
      </c>
      <c r="D373" s="41">
        <v>5880</v>
      </c>
      <c r="E373" s="41" t="s">
        <v>1739</v>
      </c>
      <c r="F373" s="41" t="s">
        <v>53</v>
      </c>
      <c r="G373" s="41" t="s">
        <v>141</v>
      </c>
      <c r="I373" s="41" t="s">
        <v>475</v>
      </c>
      <c r="J373" s="41" t="s">
        <v>672</v>
      </c>
      <c r="K373" s="42"/>
      <c r="L373" s="41" t="s">
        <v>2126</v>
      </c>
      <c r="M373" s="41">
        <v>23</v>
      </c>
      <c r="N373" s="41" t="s">
        <v>2127</v>
      </c>
      <c r="O373" s="41" t="s">
        <v>2128</v>
      </c>
      <c r="P373" s="41" t="s">
        <v>78</v>
      </c>
      <c r="Q373" s="41" t="s">
        <v>1065</v>
      </c>
      <c r="R373" s="41" t="s">
        <v>132</v>
      </c>
      <c r="S373" s="41" t="s">
        <v>2129</v>
      </c>
      <c r="T373" s="41" t="s">
        <v>266</v>
      </c>
      <c r="U373" s="41" t="s">
        <v>40</v>
      </c>
    </row>
    <row r="374" spans="1:21">
      <c r="A374" s="41">
        <v>2576</v>
      </c>
      <c r="B374" s="41" t="s">
        <v>2130</v>
      </c>
      <c r="E374" s="41" t="s">
        <v>1739</v>
      </c>
      <c r="F374" s="41" t="s">
        <v>53</v>
      </c>
      <c r="G374" s="41" t="s">
        <v>43</v>
      </c>
      <c r="I374" s="41" t="s">
        <v>475</v>
      </c>
      <c r="J374" s="41" t="s">
        <v>672</v>
      </c>
      <c r="K374" s="42"/>
      <c r="P374" s="41" t="s">
        <v>78</v>
      </c>
      <c r="Q374" s="41" t="s">
        <v>1065</v>
      </c>
      <c r="R374" s="41" t="s">
        <v>132</v>
      </c>
      <c r="S374" s="41" t="s">
        <v>40</v>
      </c>
      <c r="T374" s="41" t="s">
        <v>40</v>
      </c>
      <c r="U374" s="41" t="s">
        <v>40</v>
      </c>
    </row>
    <row r="375" spans="1:21">
      <c r="A375" s="41">
        <v>2575</v>
      </c>
      <c r="B375" s="41" t="s">
        <v>2130</v>
      </c>
      <c r="E375" s="41" t="s">
        <v>1739</v>
      </c>
      <c r="F375" s="41" t="s">
        <v>53</v>
      </c>
      <c r="G375" s="41" t="s">
        <v>43</v>
      </c>
      <c r="I375" s="41" t="s">
        <v>475</v>
      </c>
      <c r="J375" s="41" t="s">
        <v>672</v>
      </c>
      <c r="K375" s="42"/>
      <c r="P375" s="41" t="s">
        <v>78</v>
      </c>
      <c r="Q375" s="41" t="s">
        <v>1065</v>
      </c>
      <c r="R375" s="41" t="s">
        <v>132</v>
      </c>
      <c r="S375" s="41" t="s">
        <v>40</v>
      </c>
      <c r="T375" s="41" t="s">
        <v>40</v>
      </c>
      <c r="U375" s="41" t="s">
        <v>40</v>
      </c>
    </row>
    <row r="376" spans="1:21">
      <c r="A376" s="41">
        <v>2574</v>
      </c>
      <c r="B376" s="41" t="s">
        <v>2131</v>
      </c>
      <c r="D376" s="41">
        <v>5877</v>
      </c>
      <c r="E376" s="41" t="s">
        <v>27</v>
      </c>
      <c r="F376" s="41" t="s">
        <v>42</v>
      </c>
      <c r="G376" s="41" t="s">
        <v>141</v>
      </c>
      <c r="I376" s="41">
        <v>0</v>
      </c>
      <c r="J376" s="41" t="s">
        <v>32</v>
      </c>
      <c r="K376" s="42"/>
      <c r="L376" s="41" t="s">
        <v>2132</v>
      </c>
      <c r="M376" s="41">
        <v>33</v>
      </c>
      <c r="N376" s="41" t="s">
        <v>2133</v>
      </c>
      <c r="O376" s="41" t="s">
        <v>2134</v>
      </c>
      <c r="P376" s="41" t="s">
        <v>60</v>
      </c>
      <c r="Q376" s="41" t="s">
        <v>413</v>
      </c>
      <c r="R376" s="41" t="s">
        <v>39</v>
      </c>
      <c r="S376" s="41" t="s">
        <v>40</v>
      </c>
      <c r="T376" s="41" t="s">
        <v>186</v>
      </c>
      <c r="U376" s="41" t="s">
        <v>40</v>
      </c>
    </row>
    <row r="377" spans="1:21">
      <c r="A377" s="41">
        <v>2573</v>
      </c>
      <c r="B377" s="41" t="s">
        <v>2135</v>
      </c>
      <c r="D377" s="41">
        <v>5876</v>
      </c>
      <c r="E377" s="41" t="s">
        <v>1091</v>
      </c>
      <c r="F377" s="41" t="s">
        <v>53</v>
      </c>
      <c r="G377" s="41" t="s">
        <v>141</v>
      </c>
      <c r="I377" s="41">
        <v>0</v>
      </c>
      <c r="J377" s="41" t="s">
        <v>672</v>
      </c>
      <c r="K377" s="42"/>
      <c r="L377" s="41" t="s">
        <v>2136</v>
      </c>
      <c r="M377" s="41">
        <v>12</v>
      </c>
      <c r="N377" s="41" t="s">
        <v>1360</v>
      </c>
      <c r="O377" s="41" t="s">
        <v>1667</v>
      </c>
      <c r="P377" s="41" t="s">
        <v>68</v>
      </c>
      <c r="Q377" s="41" t="s">
        <v>2137</v>
      </c>
      <c r="R377" s="41" t="s">
        <v>132</v>
      </c>
      <c r="S377" s="41" t="s">
        <v>2138</v>
      </c>
      <c r="T377" s="41" t="s">
        <v>186</v>
      </c>
      <c r="U377" s="41" t="s">
        <v>40</v>
      </c>
    </row>
    <row r="378" spans="1:21">
      <c r="A378" s="41">
        <v>2572</v>
      </c>
      <c r="B378" s="41" t="s">
        <v>2139</v>
      </c>
      <c r="D378" s="41">
        <v>5875</v>
      </c>
      <c r="E378" s="41" t="s">
        <v>1091</v>
      </c>
      <c r="F378" s="41" t="s">
        <v>53</v>
      </c>
      <c r="G378" s="41" t="s">
        <v>141</v>
      </c>
      <c r="I378" s="41">
        <v>0</v>
      </c>
      <c r="J378" s="41" t="s">
        <v>672</v>
      </c>
      <c r="K378" s="42"/>
      <c r="L378" s="41" t="s">
        <v>2140</v>
      </c>
      <c r="M378" s="41">
        <v>12</v>
      </c>
      <c r="N378" s="41" t="s">
        <v>2141</v>
      </c>
      <c r="O378" s="41" t="s">
        <v>2142</v>
      </c>
      <c r="P378" s="41" t="s">
        <v>68</v>
      </c>
      <c r="Q378" s="41" t="s">
        <v>2143</v>
      </c>
      <c r="R378" s="41" t="s">
        <v>132</v>
      </c>
      <c r="S378" s="41" t="s">
        <v>2144</v>
      </c>
      <c r="T378" s="41" t="s">
        <v>2145</v>
      </c>
      <c r="U378" s="41" t="s">
        <v>40</v>
      </c>
    </row>
    <row r="379" spans="1:21">
      <c r="A379" s="41">
        <v>2571</v>
      </c>
      <c r="B379" s="41" t="s">
        <v>2146</v>
      </c>
      <c r="D379" s="41">
        <v>5874</v>
      </c>
      <c r="E379" s="41" t="s">
        <v>1091</v>
      </c>
      <c r="F379" s="41" t="s">
        <v>53</v>
      </c>
      <c r="G379" s="41" t="s">
        <v>141</v>
      </c>
      <c r="I379" s="41">
        <v>0</v>
      </c>
      <c r="J379" s="41" t="s">
        <v>672</v>
      </c>
      <c r="K379" s="42"/>
      <c r="L379" s="41" t="s">
        <v>2147</v>
      </c>
      <c r="M379" s="41">
        <v>12</v>
      </c>
      <c r="N379" s="41" t="s">
        <v>2148</v>
      </c>
      <c r="O379" s="41" t="s">
        <v>2149</v>
      </c>
      <c r="P379" s="41" t="s">
        <v>68</v>
      </c>
      <c r="Q379" s="41" t="s">
        <v>1668</v>
      </c>
      <c r="R379" s="41" t="s">
        <v>132</v>
      </c>
      <c r="S379" s="41" t="s">
        <v>2150</v>
      </c>
      <c r="T379" s="41" t="s">
        <v>1796</v>
      </c>
      <c r="U379" s="41" t="s">
        <v>40</v>
      </c>
    </row>
    <row r="380" spans="1:21">
      <c r="A380" s="41">
        <v>2570</v>
      </c>
      <c r="B380" s="41" t="s">
        <v>2151</v>
      </c>
      <c r="D380" s="41">
        <v>5873</v>
      </c>
      <c r="E380" s="41" t="s">
        <v>1091</v>
      </c>
      <c r="F380" s="41" t="s">
        <v>53</v>
      </c>
      <c r="G380" s="41" t="s">
        <v>141</v>
      </c>
      <c r="I380" s="41">
        <v>0</v>
      </c>
      <c r="J380" s="41" t="s">
        <v>672</v>
      </c>
      <c r="K380" s="42"/>
      <c r="L380" s="41" t="s">
        <v>1792</v>
      </c>
      <c r="M380" s="41">
        <v>12</v>
      </c>
      <c r="N380" s="41" t="s">
        <v>1670</v>
      </c>
      <c r="O380" s="41" t="s">
        <v>1671</v>
      </c>
      <c r="P380" s="41" t="s">
        <v>68</v>
      </c>
      <c r="Q380" s="41" t="s">
        <v>1794</v>
      </c>
      <c r="R380" s="41" t="s">
        <v>132</v>
      </c>
      <c r="S380" s="41" t="s">
        <v>2152</v>
      </c>
      <c r="T380" s="41" t="s">
        <v>266</v>
      </c>
      <c r="U380" s="41" t="s">
        <v>40</v>
      </c>
    </row>
    <row r="381" spans="1:21">
      <c r="A381" s="41">
        <v>2569</v>
      </c>
      <c r="B381" s="41" t="s">
        <v>2153</v>
      </c>
      <c r="D381" s="41">
        <v>5872</v>
      </c>
      <c r="E381" s="41" t="s">
        <v>1091</v>
      </c>
      <c r="F381" s="41" t="s">
        <v>53</v>
      </c>
      <c r="G381" s="41" t="s">
        <v>141</v>
      </c>
      <c r="I381" s="41">
        <v>0</v>
      </c>
      <c r="J381" s="41" t="s">
        <v>672</v>
      </c>
      <c r="K381" s="42"/>
      <c r="L381" s="41" t="s">
        <v>1929</v>
      </c>
      <c r="M381" s="41">
        <v>12</v>
      </c>
      <c r="N381" s="41" t="s">
        <v>1930</v>
      </c>
      <c r="O381" s="41" t="s">
        <v>2154</v>
      </c>
      <c r="P381" s="41" t="s">
        <v>68</v>
      </c>
      <c r="Q381" s="41" t="s">
        <v>1668</v>
      </c>
      <c r="R381" s="41" t="s">
        <v>132</v>
      </c>
      <c r="S381" s="41" t="s">
        <v>2155</v>
      </c>
      <c r="T381" s="41" t="s">
        <v>1699</v>
      </c>
      <c r="U381" s="41" t="s">
        <v>40</v>
      </c>
    </row>
    <row r="382" spans="1:21">
      <c r="A382" s="41">
        <v>2568</v>
      </c>
      <c r="B382" s="41" t="s">
        <v>2156</v>
      </c>
      <c r="D382" s="41">
        <v>5871</v>
      </c>
      <c r="E382" s="41" t="s">
        <v>1091</v>
      </c>
      <c r="F382" s="41" t="s">
        <v>53</v>
      </c>
      <c r="G382" s="41" t="s">
        <v>141</v>
      </c>
      <c r="I382" s="41">
        <v>0</v>
      </c>
      <c r="J382" s="41" t="s">
        <v>672</v>
      </c>
      <c r="K382" s="42"/>
      <c r="L382" s="41" t="s">
        <v>2157</v>
      </c>
      <c r="M382" s="41">
        <v>12</v>
      </c>
      <c r="N382" s="41" t="s">
        <v>1670</v>
      </c>
      <c r="O382" s="41" t="s">
        <v>1830</v>
      </c>
      <c r="P382" s="41" t="s">
        <v>68</v>
      </c>
      <c r="Q382" s="41" t="s">
        <v>1268</v>
      </c>
      <c r="R382" s="41" t="s">
        <v>132</v>
      </c>
      <c r="S382" s="41" t="s">
        <v>2158</v>
      </c>
      <c r="T382" s="41" t="s">
        <v>40</v>
      </c>
      <c r="U382" s="41" t="s">
        <v>40</v>
      </c>
    </row>
    <row r="383" spans="1:21">
      <c r="A383" s="41">
        <v>2567</v>
      </c>
      <c r="B383" s="41" t="s">
        <v>2159</v>
      </c>
      <c r="D383" s="41">
        <v>5868</v>
      </c>
      <c r="E383" s="41" t="s">
        <v>1091</v>
      </c>
      <c r="F383" s="41" t="s">
        <v>53</v>
      </c>
      <c r="G383" s="41" t="s">
        <v>64</v>
      </c>
      <c r="I383" s="41">
        <v>0</v>
      </c>
      <c r="J383" s="41" t="s">
        <v>672</v>
      </c>
      <c r="K383" s="42"/>
      <c r="L383" s="41" t="s">
        <v>2160</v>
      </c>
      <c r="M383" s="41">
        <v>12</v>
      </c>
      <c r="N383" s="41" t="s">
        <v>2161</v>
      </c>
      <c r="O383" s="41" t="s">
        <v>2162</v>
      </c>
      <c r="P383" s="41" t="s">
        <v>68</v>
      </c>
      <c r="Q383" s="41" t="s">
        <v>2163</v>
      </c>
      <c r="R383" s="41" t="s">
        <v>132</v>
      </c>
      <c r="S383" s="41" t="s">
        <v>40</v>
      </c>
      <c r="T383" s="41" t="s">
        <v>40</v>
      </c>
      <c r="U383" s="41" t="s">
        <v>40</v>
      </c>
    </row>
    <row r="384" spans="1:21">
      <c r="A384" s="41">
        <v>2566</v>
      </c>
      <c r="B384" s="41" t="s">
        <v>2164</v>
      </c>
      <c r="D384" s="41">
        <v>5870</v>
      </c>
      <c r="E384" s="41" t="s">
        <v>1091</v>
      </c>
      <c r="F384" s="41" t="s">
        <v>53</v>
      </c>
      <c r="G384" s="41" t="s">
        <v>141</v>
      </c>
      <c r="I384" s="41">
        <v>0</v>
      </c>
      <c r="J384" s="41" t="s">
        <v>672</v>
      </c>
      <c r="K384" s="42"/>
      <c r="L384" s="41" t="s">
        <v>2165</v>
      </c>
      <c r="M384" s="41">
        <v>23</v>
      </c>
      <c r="N384" s="41" t="s">
        <v>2166</v>
      </c>
      <c r="O384" s="41" t="s">
        <v>2167</v>
      </c>
      <c r="P384" s="41" t="s">
        <v>68</v>
      </c>
      <c r="Q384" s="41" t="s">
        <v>403</v>
      </c>
      <c r="R384" s="41" t="s">
        <v>132</v>
      </c>
      <c r="S384" s="41" t="s">
        <v>2168</v>
      </c>
      <c r="T384" s="41" t="s">
        <v>2169</v>
      </c>
      <c r="U384" s="41" t="s">
        <v>40</v>
      </c>
    </row>
    <row r="385" spans="1:21">
      <c r="A385" s="41">
        <v>2565</v>
      </c>
      <c r="B385" s="41" t="s">
        <v>2170</v>
      </c>
      <c r="D385" s="41">
        <v>5867</v>
      </c>
      <c r="E385" s="41" t="s">
        <v>1091</v>
      </c>
      <c r="F385" s="41" t="s">
        <v>53</v>
      </c>
      <c r="G385" s="41" t="s">
        <v>141</v>
      </c>
      <c r="I385" s="41">
        <v>0</v>
      </c>
      <c r="J385" s="41" t="s">
        <v>672</v>
      </c>
      <c r="K385" s="42"/>
      <c r="L385" s="41" t="s">
        <v>2171</v>
      </c>
      <c r="M385" s="41">
        <v>12</v>
      </c>
      <c r="N385" s="41" t="s">
        <v>2172</v>
      </c>
      <c r="O385" s="41" t="s">
        <v>2149</v>
      </c>
      <c r="P385" s="41" t="s">
        <v>68</v>
      </c>
      <c r="Q385" s="41" t="s">
        <v>1254</v>
      </c>
      <c r="R385" s="41" t="s">
        <v>132</v>
      </c>
      <c r="S385" s="41" t="s">
        <v>2173</v>
      </c>
      <c r="T385" s="41" t="s">
        <v>1796</v>
      </c>
      <c r="U385" s="41" t="s">
        <v>40</v>
      </c>
    </row>
    <row r="386" spans="1:21">
      <c r="A386" s="41">
        <v>2564</v>
      </c>
      <c r="B386" s="41" t="s">
        <v>2174</v>
      </c>
      <c r="D386" s="41">
        <v>5866</v>
      </c>
      <c r="E386" s="41" t="s">
        <v>2053</v>
      </c>
      <c r="F386" s="41" t="s">
        <v>28</v>
      </c>
      <c r="G386" s="41" t="s">
        <v>286</v>
      </c>
      <c r="I386" s="41">
        <v>0</v>
      </c>
      <c r="J386" s="41" t="s">
        <v>32</v>
      </c>
      <c r="K386" s="42"/>
      <c r="L386" s="41" t="s">
        <v>2175</v>
      </c>
      <c r="M386" s="41">
        <v>220</v>
      </c>
      <c r="N386" s="41" t="s">
        <v>311</v>
      </c>
      <c r="O386" s="41" t="s">
        <v>311</v>
      </c>
      <c r="P386" s="41" t="s">
        <v>50</v>
      </c>
      <c r="Q386" s="41" t="s">
        <v>51</v>
      </c>
      <c r="R386" s="41" t="s">
        <v>39</v>
      </c>
      <c r="S386" s="41" t="s">
        <v>40</v>
      </c>
      <c r="T386" s="41" t="s">
        <v>40</v>
      </c>
      <c r="U386" s="41" t="s">
        <v>40</v>
      </c>
    </row>
    <row r="387" spans="1:21">
      <c r="A387" s="41">
        <v>2563</v>
      </c>
      <c r="B387" s="41" t="s">
        <v>2176</v>
      </c>
      <c r="D387" s="41">
        <v>5865</v>
      </c>
      <c r="E387" s="41" t="s">
        <v>1996</v>
      </c>
      <c r="F387" s="41" t="s">
        <v>42</v>
      </c>
      <c r="G387" s="41" t="s">
        <v>1175</v>
      </c>
      <c r="I387" s="41">
        <v>0</v>
      </c>
      <c r="J387" s="41" t="s">
        <v>32</v>
      </c>
      <c r="K387" s="42"/>
      <c r="L387" s="41" t="s">
        <v>2177</v>
      </c>
      <c r="M387" s="41">
        <v>33</v>
      </c>
      <c r="N387" s="41" t="s">
        <v>1994</v>
      </c>
      <c r="O387" s="41" t="s">
        <v>1853</v>
      </c>
      <c r="P387" s="41" t="s">
        <v>98</v>
      </c>
      <c r="Q387" s="41" t="s">
        <v>98</v>
      </c>
      <c r="R387" s="41" t="s">
        <v>39</v>
      </c>
      <c r="S387" s="41" t="s">
        <v>40</v>
      </c>
      <c r="T387" s="41" t="s">
        <v>40</v>
      </c>
      <c r="U387" s="41" t="s">
        <v>40</v>
      </c>
    </row>
    <row r="388" spans="1:21">
      <c r="A388" s="41">
        <v>2562</v>
      </c>
      <c r="B388" s="41" t="s">
        <v>2178</v>
      </c>
      <c r="D388" s="41">
        <v>5864</v>
      </c>
      <c r="E388" s="41" t="s">
        <v>1992</v>
      </c>
      <c r="F388" s="41" t="s">
        <v>42</v>
      </c>
      <c r="G388" s="41" t="s">
        <v>1175</v>
      </c>
      <c r="I388" s="41">
        <v>0</v>
      </c>
      <c r="J388" s="41" t="s">
        <v>32</v>
      </c>
      <c r="K388" s="42"/>
      <c r="L388" s="41" t="s">
        <v>2179</v>
      </c>
      <c r="M388" s="41">
        <v>33</v>
      </c>
      <c r="N388" s="41" t="s">
        <v>1994</v>
      </c>
      <c r="O388" s="41" t="s">
        <v>1853</v>
      </c>
      <c r="P388" s="41" t="s">
        <v>98</v>
      </c>
      <c r="Q388" s="41" t="s">
        <v>98</v>
      </c>
      <c r="R388" s="41" t="s">
        <v>39</v>
      </c>
      <c r="S388" s="41" t="s">
        <v>40</v>
      </c>
      <c r="T388" s="41" t="s">
        <v>40</v>
      </c>
      <c r="U388" s="41" t="s">
        <v>40</v>
      </c>
    </row>
    <row r="389" spans="1:21">
      <c r="A389" s="41">
        <v>2561</v>
      </c>
      <c r="B389" s="41" t="s">
        <v>2180</v>
      </c>
      <c r="D389" s="41">
        <v>5863</v>
      </c>
      <c r="E389" s="41" t="s">
        <v>998</v>
      </c>
      <c r="F389" s="41" t="s">
        <v>53</v>
      </c>
      <c r="G389" s="41" t="s">
        <v>1071</v>
      </c>
      <c r="I389" s="41">
        <v>0</v>
      </c>
      <c r="J389" s="41" t="s">
        <v>672</v>
      </c>
      <c r="K389" s="42"/>
      <c r="L389" s="41" t="s">
        <v>2181</v>
      </c>
      <c r="M389" s="41">
        <v>23</v>
      </c>
      <c r="N389" s="41" t="s">
        <v>2182</v>
      </c>
      <c r="O389" s="41" t="s">
        <v>2183</v>
      </c>
      <c r="P389" s="41" t="s">
        <v>98</v>
      </c>
      <c r="Q389" s="41" t="s">
        <v>569</v>
      </c>
      <c r="R389" s="41" t="s">
        <v>132</v>
      </c>
      <c r="S389" s="41" t="s">
        <v>40</v>
      </c>
      <c r="T389" s="41" t="s">
        <v>40</v>
      </c>
      <c r="U389" s="41" t="s">
        <v>40</v>
      </c>
    </row>
    <row r="390" spans="1:21">
      <c r="A390" s="41">
        <v>2560</v>
      </c>
      <c r="B390" s="41" t="s">
        <v>2184</v>
      </c>
      <c r="D390" s="41">
        <v>5862</v>
      </c>
      <c r="E390" s="41" t="s">
        <v>1227</v>
      </c>
      <c r="F390" s="41" t="s">
        <v>42</v>
      </c>
      <c r="G390" s="41" t="s">
        <v>141</v>
      </c>
      <c r="I390" s="41">
        <v>0</v>
      </c>
      <c r="J390" s="41" t="s">
        <v>32</v>
      </c>
      <c r="K390" s="42"/>
      <c r="L390" s="41" t="s">
        <v>2185</v>
      </c>
      <c r="M390" s="41">
        <v>33</v>
      </c>
      <c r="N390" s="41" t="s">
        <v>1401</v>
      </c>
      <c r="O390" s="41" t="s">
        <v>36</v>
      </c>
      <c r="P390" s="41" t="s">
        <v>334</v>
      </c>
      <c r="Q390" s="41" t="s">
        <v>2186</v>
      </c>
      <c r="R390" s="41" t="s">
        <v>39</v>
      </c>
      <c r="S390" s="41" t="s">
        <v>40</v>
      </c>
      <c r="T390" s="41" t="s">
        <v>2187</v>
      </c>
      <c r="U390" s="41" t="s">
        <v>40</v>
      </c>
    </row>
    <row r="391" spans="1:21">
      <c r="A391" s="41">
        <v>2559</v>
      </c>
      <c r="B391" s="41" t="s">
        <v>2188</v>
      </c>
      <c r="D391" s="41">
        <v>5861</v>
      </c>
      <c r="E391" s="41" t="s">
        <v>1091</v>
      </c>
      <c r="F391" s="41" t="s">
        <v>53</v>
      </c>
      <c r="G391" s="41" t="s">
        <v>141</v>
      </c>
      <c r="I391" s="41">
        <v>0</v>
      </c>
      <c r="J391" s="41" t="s">
        <v>672</v>
      </c>
      <c r="K391" s="42"/>
      <c r="L391" s="41" t="s">
        <v>1256</v>
      </c>
      <c r="M391" s="41">
        <v>23</v>
      </c>
      <c r="N391" s="41" t="s">
        <v>2166</v>
      </c>
      <c r="O391" s="41" t="s">
        <v>2189</v>
      </c>
      <c r="P391" s="41" t="s">
        <v>68</v>
      </c>
      <c r="Q391" s="41" t="s">
        <v>677</v>
      </c>
      <c r="R391" s="41" t="s">
        <v>132</v>
      </c>
      <c r="S391" s="41" t="s">
        <v>2190</v>
      </c>
      <c r="T391" s="41" t="s">
        <v>266</v>
      </c>
      <c r="U391" s="41" t="s">
        <v>40</v>
      </c>
    </row>
    <row r="392" spans="1:21">
      <c r="A392" s="41">
        <v>2558</v>
      </c>
      <c r="B392" s="41" t="s">
        <v>2191</v>
      </c>
      <c r="D392" s="41">
        <v>5860</v>
      </c>
      <c r="E392" s="41" t="s">
        <v>1091</v>
      </c>
      <c r="F392" s="41" t="s">
        <v>53</v>
      </c>
      <c r="G392" s="41" t="s">
        <v>141</v>
      </c>
      <c r="I392" s="41">
        <v>0</v>
      </c>
      <c r="J392" s="41" t="s">
        <v>672</v>
      </c>
      <c r="K392" s="42"/>
      <c r="L392" s="41" t="s">
        <v>1093</v>
      </c>
      <c r="M392" s="41">
        <v>12</v>
      </c>
      <c r="N392" s="41" t="s">
        <v>1263</v>
      </c>
      <c r="O392" s="41" t="s">
        <v>663</v>
      </c>
      <c r="P392" s="41" t="s">
        <v>68</v>
      </c>
      <c r="Q392" s="41" t="s">
        <v>1096</v>
      </c>
      <c r="R392" s="41" t="s">
        <v>132</v>
      </c>
      <c r="S392" s="41" t="s">
        <v>2192</v>
      </c>
      <c r="T392" s="41" t="s">
        <v>266</v>
      </c>
      <c r="U392" s="41" t="s">
        <v>40</v>
      </c>
    </row>
    <row r="393" spans="1:21">
      <c r="A393" s="41">
        <v>2557</v>
      </c>
      <c r="B393" s="41" t="s">
        <v>2193</v>
      </c>
      <c r="D393" s="41">
        <v>5858</v>
      </c>
      <c r="E393" s="41" t="s">
        <v>1091</v>
      </c>
      <c r="F393" s="41" t="s">
        <v>53</v>
      </c>
      <c r="G393" s="41" t="s">
        <v>141</v>
      </c>
      <c r="I393" s="41">
        <v>0</v>
      </c>
      <c r="J393" s="41" t="s">
        <v>672</v>
      </c>
      <c r="K393" s="42"/>
      <c r="L393" s="41" t="s">
        <v>1390</v>
      </c>
      <c r="M393" s="41">
        <v>12</v>
      </c>
      <c r="N393" s="41" t="s">
        <v>1670</v>
      </c>
      <c r="O393" s="41" t="s">
        <v>1830</v>
      </c>
      <c r="P393" s="41" t="s">
        <v>68</v>
      </c>
      <c r="Q393" s="41" t="s">
        <v>1393</v>
      </c>
      <c r="R393" s="41" t="s">
        <v>132</v>
      </c>
      <c r="S393" s="41" t="s">
        <v>2194</v>
      </c>
      <c r="T393" s="41" t="s">
        <v>1699</v>
      </c>
      <c r="U393" s="41" t="s">
        <v>40</v>
      </c>
    </row>
    <row r="394" spans="1:21">
      <c r="A394" s="41">
        <v>2556</v>
      </c>
      <c r="B394" s="41" t="s">
        <v>2195</v>
      </c>
      <c r="D394" s="41">
        <v>5856</v>
      </c>
      <c r="E394" s="41" t="s">
        <v>2196</v>
      </c>
      <c r="F394" s="41" t="s">
        <v>42</v>
      </c>
      <c r="G394" s="41" t="s">
        <v>1369</v>
      </c>
      <c r="I394" s="41">
        <v>0</v>
      </c>
      <c r="J394" s="41" t="s">
        <v>32</v>
      </c>
      <c r="K394" s="42"/>
      <c r="L394" s="41" t="s">
        <v>2197</v>
      </c>
      <c r="M394" s="41">
        <v>23</v>
      </c>
      <c r="N394" s="41" t="s">
        <v>2198</v>
      </c>
      <c r="O394" s="41" t="s">
        <v>2199</v>
      </c>
      <c r="P394" s="41" t="s">
        <v>98</v>
      </c>
      <c r="Q394" s="41" t="s">
        <v>116</v>
      </c>
      <c r="R394" s="41" t="s">
        <v>39</v>
      </c>
      <c r="S394" s="41" t="s">
        <v>40</v>
      </c>
      <c r="T394" s="41" t="s">
        <v>40</v>
      </c>
      <c r="U394" s="41" t="s">
        <v>40</v>
      </c>
    </row>
    <row r="395" spans="1:21">
      <c r="A395" s="41">
        <v>2555</v>
      </c>
      <c r="B395" s="41" t="s">
        <v>2200</v>
      </c>
      <c r="D395" s="41">
        <v>5859</v>
      </c>
      <c r="E395" s="41" t="s">
        <v>1286</v>
      </c>
      <c r="F395" s="41" t="s">
        <v>28</v>
      </c>
      <c r="G395" s="41" t="s">
        <v>64</v>
      </c>
      <c r="I395" s="41">
        <v>0</v>
      </c>
      <c r="J395" s="41" t="s">
        <v>32</v>
      </c>
      <c r="K395" s="42"/>
      <c r="L395" s="41" t="s">
        <v>2201</v>
      </c>
      <c r="M395" s="41">
        <v>154</v>
      </c>
      <c r="N395" s="41" t="s">
        <v>67</v>
      </c>
      <c r="O395" s="41" t="s">
        <v>2202</v>
      </c>
      <c r="P395" s="41" t="s">
        <v>37</v>
      </c>
      <c r="Q395" s="41" t="s">
        <v>264</v>
      </c>
      <c r="R395" s="41" t="s">
        <v>39</v>
      </c>
      <c r="S395" s="41" t="s">
        <v>40</v>
      </c>
      <c r="T395" s="41" t="s">
        <v>40</v>
      </c>
      <c r="U395" s="41" t="s">
        <v>40</v>
      </c>
    </row>
    <row r="396" spans="1:21">
      <c r="A396" s="41">
        <v>2554</v>
      </c>
      <c r="B396" s="41" t="s">
        <v>2203</v>
      </c>
      <c r="D396" s="41">
        <v>5892</v>
      </c>
      <c r="E396" s="41" t="s">
        <v>2204</v>
      </c>
      <c r="F396" s="41" t="s">
        <v>53</v>
      </c>
      <c r="G396" s="41" t="s">
        <v>760</v>
      </c>
      <c r="I396" s="41">
        <v>0</v>
      </c>
      <c r="J396" s="41" t="s">
        <v>672</v>
      </c>
      <c r="K396" s="42"/>
      <c r="L396" s="41" t="s">
        <v>2205</v>
      </c>
      <c r="M396" s="41">
        <v>13</v>
      </c>
      <c r="N396" s="41" t="s">
        <v>1026</v>
      </c>
      <c r="O396" s="41" t="s">
        <v>2206</v>
      </c>
      <c r="P396" s="41" t="s">
        <v>60</v>
      </c>
      <c r="Q396" s="41" t="s">
        <v>990</v>
      </c>
      <c r="R396" s="41" t="s">
        <v>132</v>
      </c>
      <c r="S396" s="41" t="s">
        <v>40</v>
      </c>
      <c r="T396" s="41" t="s">
        <v>40</v>
      </c>
      <c r="U396" s="41" t="s">
        <v>40</v>
      </c>
    </row>
    <row r="397" spans="1:21">
      <c r="A397" s="41">
        <v>2553</v>
      </c>
      <c r="B397" s="41" t="s">
        <v>2207</v>
      </c>
      <c r="D397" s="41">
        <v>5857</v>
      </c>
      <c r="E397" s="41" t="s">
        <v>2204</v>
      </c>
      <c r="F397" s="41" t="s">
        <v>53</v>
      </c>
      <c r="G397" s="41" t="s">
        <v>141</v>
      </c>
      <c r="I397" s="41">
        <v>0</v>
      </c>
      <c r="J397" s="41" t="s">
        <v>672</v>
      </c>
      <c r="K397" s="42"/>
      <c r="L397" s="41" t="s">
        <v>2205</v>
      </c>
      <c r="M397" s="41">
        <v>13</v>
      </c>
      <c r="N397" s="41" t="s">
        <v>1133</v>
      </c>
      <c r="O397" s="41" t="s">
        <v>2208</v>
      </c>
      <c r="P397" s="41" t="s">
        <v>60</v>
      </c>
      <c r="Q397" s="41" t="s">
        <v>990</v>
      </c>
      <c r="R397" s="41" t="s">
        <v>132</v>
      </c>
      <c r="S397" s="41" t="s">
        <v>2209</v>
      </c>
      <c r="T397" s="41" t="s">
        <v>266</v>
      </c>
      <c r="U397" s="41" t="s">
        <v>40</v>
      </c>
    </row>
    <row r="398" spans="1:21">
      <c r="A398" s="41">
        <v>2552</v>
      </c>
      <c r="B398" s="41" t="s">
        <v>2210</v>
      </c>
      <c r="D398" s="41">
        <v>5855</v>
      </c>
      <c r="E398" s="41" t="s">
        <v>2196</v>
      </c>
      <c r="F398" s="41" t="s">
        <v>42</v>
      </c>
      <c r="G398" s="41" t="s">
        <v>1369</v>
      </c>
      <c r="I398" s="41">
        <v>0</v>
      </c>
      <c r="J398" s="41" t="s">
        <v>32</v>
      </c>
      <c r="K398" s="42"/>
      <c r="L398" s="41" t="s">
        <v>2197</v>
      </c>
      <c r="M398" s="41">
        <v>23</v>
      </c>
      <c r="N398" s="41" t="s">
        <v>2211</v>
      </c>
      <c r="O398" s="41" t="s">
        <v>2212</v>
      </c>
      <c r="P398" s="41" t="s">
        <v>98</v>
      </c>
      <c r="Q398" s="41" t="s">
        <v>116</v>
      </c>
      <c r="R398" s="41" t="s">
        <v>39</v>
      </c>
      <c r="S398" s="41" t="s">
        <v>40</v>
      </c>
      <c r="T398" s="41" t="s">
        <v>40</v>
      </c>
      <c r="U398" s="41" t="s">
        <v>40</v>
      </c>
    </row>
    <row r="399" spans="1:21">
      <c r="A399" s="41">
        <v>2551</v>
      </c>
      <c r="B399" s="41" t="s">
        <v>2213</v>
      </c>
      <c r="D399" s="41">
        <v>5854</v>
      </c>
      <c r="E399" s="41" t="s">
        <v>1617</v>
      </c>
      <c r="F399" s="41" t="s">
        <v>28</v>
      </c>
      <c r="G399" s="41" t="s">
        <v>1300</v>
      </c>
      <c r="I399" s="41">
        <v>0</v>
      </c>
      <c r="J399" s="41" t="s">
        <v>32</v>
      </c>
      <c r="K399" s="42"/>
      <c r="L399" s="41" t="s">
        <v>2214</v>
      </c>
      <c r="M399" s="41">
        <v>110</v>
      </c>
      <c r="N399" s="41" t="s">
        <v>59</v>
      </c>
      <c r="O399" s="41" t="s">
        <v>2215</v>
      </c>
      <c r="P399" s="41" t="s">
        <v>153</v>
      </c>
      <c r="Q399" s="41" t="s">
        <v>153</v>
      </c>
      <c r="R399" s="41" t="s">
        <v>39</v>
      </c>
      <c r="S399" s="41" t="s">
        <v>40</v>
      </c>
      <c r="T399" s="41" t="s">
        <v>40</v>
      </c>
      <c r="U399" s="41" t="s">
        <v>40</v>
      </c>
    </row>
    <row r="400" spans="1:21">
      <c r="A400" s="41">
        <v>2550</v>
      </c>
      <c r="B400" s="41" t="s">
        <v>2216</v>
      </c>
      <c r="D400" s="41">
        <v>5852</v>
      </c>
      <c r="E400" s="41" t="s">
        <v>2217</v>
      </c>
      <c r="F400" s="41" t="s">
        <v>28</v>
      </c>
      <c r="G400" s="41" t="s">
        <v>301</v>
      </c>
      <c r="I400" s="41" t="s">
        <v>966</v>
      </c>
      <c r="J400" s="41" t="s">
        <v>32</v>
      </c>
      <c r="K400" s="42"/>
      <c r="L400" s="41" t="s">
        <v>2218</v>
      </c>
      <c r="M400" s="41">
        <v>220</v>
      </c>
      <c r="N400" s="41" t="s">
        <v>67</v>
      </c>
      <c r="O400" s="41" t="s">
        <v>138</v>
      </c>
      <c r="P400" s="41" t="s">
        <v>179</v>
      </c>
      <c r="Q400" s="41" t="s">
        <v>524</v>
      </c>
      <c r="R400" s="41" t="s">
        <v>39</v>
      </c>
      <c r="S400" s="41" t="s">
        <v>2219</v>
      </c>
      <c r="T400" s="41" t="s">
        <v>186</v>
      </c>
      <c r="U400" s="41" t="s">
        <v>40</v>
      </c>
    </row>
    <row r="401" spans="1:21">
      <c r="A401" s="41">
        <v>2549</v>
      </c>
      <c r="B401" s="41" t="s">
        <v>2220</v>
      </c>
      <c r="D401" s="41">
        <v>5853</v>
      </c>
      <c r="E401" s="41" t="s">
        <v>2221</v>
      </c>
      <c r="F401" s="41" t="s">
        <v>28</v>
      </c>
      <c r="G401" s="41" t="s">
        <v>64</v>
      </c>
      <c r="I401" s="41">
        <v>0</v>
      </c>
      <c r="J401" s="41" t="s">
        <v>32</v>
      </c>
      <c r="K401" s="42"/>
      <c r="L401" s="41" t="s">
        <v>2222</v>
      </c>
      <c r="M401" s="41">
        <v>23</v>
      </c>
      <c r="N401" s="41" t="s">
        <v>2223</v>
      </c>
      <c r="O401" s="41" t="s">
        <v>565</v>
      </c>
      <c r="P401" s="41" t="s">
        <v>153</v>
      </c>
      <c r="Q401" s="41" t="s">
        <v>2224</v>
      </c>
      <c r="R401" s="41" t="s">
        <v>39</v>
      </c>
      <c r="S401" s="41" t="s">
        <v>40</v>
      </c>
      <c r="T401" s="41" t="s">
        <v>40</v>
      </c>
      <c r="U401" s="41" t="s">
        <v>40</v>
      </c>
    </row>
    <row r="402" spans="1:21">
      <c r="A402" s="41">
        <v>2548</v>
      </c>
      <c r="B402" s="41" t="s">
        <v>2225</v>
      </c>
      <c r="D402" s="41">
        <v>5813</v>
      </c>
      <c r="E402" s="41" t="s">
        <v>1739</v>
      </c>
      <c r="F402" s="41" t="s">
        <v>53</v>
      </c>
      <c r="G402" s="41" t="s">
        <v>141</v>
      </c>
      <c r="I402" s="41">
        <v>0</v>
      </c>
      <c r="J402" s="41" t="s">
        <v>672</v>
      </c>
      <c r="K402" s="42"/>
      <c r="L402" s="41" t="s">
        <v>2226</v>
      </c>
      <c r="M402" s="41">
        <v>23</v>
      </c>
      <c r="N402" s="41" t="s">
        <v>2227</v>
      </c>
      <c r="O402" s="41" t="s">
        <v>2228</v>
      </c>
      <c r="P402" s="41" t="s">
        <v>153</v>
      </c>
      <c r="Q402" s="41" t="s">
        <v>1280</v>
      </c>
      <c r="R402" s="41" t="s">
        <v>132</v>
      </c>
      <c r="S402" s="41" t="s">
        <v>2229</v>
      </c>
      <c r="T402" s="41" t="s">
        <v>186</v>
      </c>
      <c r="U402" s="41" t="s">
        <v>40</v>
      </c>
    </row>
    <row r="403" spans="1:21">
      <c r="A403" s="41">
        <v>2547</v>
      </c>
      <c r="B403" s="41" t="s">
        <v>2230</v>
      </c>
      <c r="D403" s="41">
        <v>5812</v>
      </c>
      <c r="E403" s="41" t="s">
        <v>1028</v>
      </c>
      <c r="F403" s="41" t="s">
        <v>53</v>
      </c>
      <c r="G403" s="41" t="s">
        <v>64</v>
      </c>
      <c r="I403" s="41">
        <v>0</v>
      </c>
      <c r="J403" s="41" t="s">
        <v>32</v>
      </c>
      <c r="K403" s="42"/>
      <c r="L403" s="41" t="s">
        <v>2231</v>
      </c>
      <c r="M403" s="41">
        <v>220</v>
      </c>
      <c r="N403" s="41" t="s">
        <v>979</v>
      </c>
      <c r="O403" s="41" t="s">
        <v>1827</v>
      </c>
      <c r="P403" s="41" t="s">
        <v>98</v>
      </c>
      <c r="Q403" s="41" t="s">
        <v>116</v>
      </c>
      <c r="R403" s="41" t="s">
        <v>62</v>
      </c>
      <c r="S403" s="41" t="s">
        <v>40</v>
      </c>
      <c r="T403" s="41" t="s">
        <v>40</v>
      </c>
      <c r="U403" s="41" t="s">
        <v>40</v>
      </c>
    </row>
    <row r="404" spans="1:21">
      <c r="A404" s="41">
        <v>2546</v>
      </c>
      <c r="B404" s="41" t="s">
        <v>2232</v>
      </c>
      <c r="D404" s="41">
        <v>5811</v>
      </c>
      <c r="E404" s="41" t="s">
        <v>1028</v>
      </c>
      <c r="F404" s="41" t="s">
        <v>28</v>
      </c>
      <c r="G404" s="41" t="s">
        <v>43</v>
      </c>
      <c r="I404" s="41">
        <v>0</v>
      </c>
      <c r="J404" s="41" t="s">
        <v>32</v>
      </c>
      <c r="K404" s="42"/>
      <c r="L404" s="41" t="s">
        <v>2233</v>
      </c>
      <c r="M404" s="41">
        <v>110</v>
      </c>
      <c r="N404" s="41" t="s">
        <v>2234</v>
      </c>
      <c r="O404" s="41" t="s">
        <v>2235</v>
      </c>
      <c r="P404" s="41" t="s">
        <v>50</v>
      </c>
      <c r="Q404" s="41" t="s">
        <v>51</v>
      </c>
      <c r="R404" s="41" t="s">
        <v>39</v>
      </c>
      <c r="S404" s="41" t="s">
        <v>40</v>
      </c>
      <c r="T404" s="41" t="s">
        <v>40</v>
      </c>
      <c r="U404" s="41" t="s">
        <v>40</v>
      </c>
    </row>
    <row r="405" spans="1:21">
      <c r="A405" s="41">
        <v>2545</v>
      </c>
      <c r="B405" s="41" t="s">
        <v>2236</v>
      </c>
      <c r="D405" s="41">
        <v>5810</v>
      </c>
      <c r="E405" s="41" t="s">
        <v>2237</v>
      </c>
      <c r="F405" s="41" t="s">
        <v>28</v>
      </c>
      <c r="G405" s="41" t="s">
        <v>301</v>
      </c>
      <c r="I405" s="41">
        <v>0</v>
      </c>
      <c r="J405" s="41" t="s">
        <v>672</v>
      </c>
      <c r="K405" s="42"/>
      <c r="L405" s="41" t="s">
        <v>2238</v>
      </c>
      <c r="M405" s="41">
        <v>220</v>
      </c>
      <c r="N405" s="41" t="s">
        <v>2239</v>
      </c>
      <c r="O405" s="41" t="s">
        <v>2240</v>
      </c>
      <c r="P405" s="41" t="s">
        <v>179</v>
      </c>
      <c r="Q405" s="41" t="s">
        <v>524</v>
      </c>
      <c r="R405" s="41" t="s">
        <v>39</v>
      </c>
      <c r="S405" s="41" t="s">
        <v>2241</v>
      </c>
      <c r="T405" s="41" t="s">
        <v>1433</v>
      </c>
      <c r="U405" s="41" t="s">
        <v>40</v>
      </c>
    </row>
    <row r="406" spans="1:21">
      <c r="A406" s="41">
        <v>2544</v>
      </c>
      <c r="B406" s="41" t="s">
        <v>2242</v>
      </c>
      <c r="D406" s="41">
        <v>5809</v>
      </c>
      <c r="E406" s="41" t="s">
        <v>1136</v>
      </c>
      <c r="F406" s="41" t="s">
        <v>28</v>
      </c>
      <c r="G406" s="41" t="s">
        <v>64</v>
      </c>
      <c r="I406" s="41">
        <v>0</v>
      </c>
      <c r="J406" s="41" t="s">
        <v>32</v>
      </c>
      <c r="K406" s="42"/>
      <c r="L406" s="41" t="s">
        <v>2243</v>
      </c>
      <c r="M406" s="41">
        <v>110</v>
      </c>
      <c r="N406" s="41" t="s">
        <v>2244</v>
      </c>
      <c r="O406" s="41" t="s">
        <v>341</v>
      </c>
      <c r="P406" s="41" t="s">
        <v>83</v>
      </c>
      <c r="Q406" s="41" t="s">
        <v>461</v>
      </c>
      <c r="R406" s="41" t="s">
        <v>39</v>
      </c>
      <c r="S406" s="41" t="s">
        <v>2245</v>
      </c>
      <c r="T406" s="41" t="s">
        <v>2246</v>
      </c>
      <c r="U406" s="41" t="s">
        <v>40</v>
      </c>
    </row>
    <row r="407" spans="1:21">
      <c r="A407" s="41">
        <v>2543</v>
      </c>
      <c r="B407" s="41" t="s">
        <v>2247</v>
      </c>
      <c r="D407" s="41">
        <v>5808</v>
      </c>
      <c r="E407" s="41" t="s">
        <v>2248</v>
      </c>
      <c r="F407" s="41" t="s">
        <v>42</v>
      </c>
      <c r="G407" s="41" t="s">
        <v>141</v>
      </c>
      <c r="I407" s="41">
        <v>0</v>
      </c>
      <c r="J407" s="41" t="s">
        <v>32</v>
      </c>
      <c r="K407" s="42"/>
      <c r="L407" s="41" t="s">
        <v>2249</v>
      </c>
      <c r="M407" s="41">
        <v>33</v>
      </c>
      <c r="N407" s="41" t="s">
        <v>2250</v>
      </c>
      <c r="O407" s="41" t="s">
        <v>2251</v>
      </c>
      <c r="P407" s="41" t="s">
        <v>179</v>
      </c>
      <c r="Q407" s="41" t="s">
        <v>592</v>
      </c>
      <c r="R407" s="41" t="s">
        <v>39</v>
      </c>
      <c r="S407" s="41" t="s">
        <v>40</v>
      </c>
      <c r="T407" s="41" t="s">
        <v>2101</v>
      </c>
      <c r="U407" s="41" t="s">
        <v>40</v>
      </c>
    </row>
    <row r="408" spans="1:21">
      <c r="A408" s="41">
        <v>2542</v>
      </c>
      <c r="B408" s="41" t="s">
        <v>2252</v>
      </c>
      <c r="D408" s="41">
        <v>5806</v>
      </c>
      <c r="E408" s="41" t="s">
        <v>2253</v>
      </c>
      <c r="F408" s="41" t="s">
        <v>42</v>
      </c>
      <c r="G408" s="41" t="s">
        <v>141</v>
      </c>
      <c r="I408" s="41">
        <v>0</v>
      </c>
      <c r="J408" s="41" t="s">
        <v>32</v>
      </c>
      <c r="K408" s="42"/>
      <c r="L408" s="41" t="s">
        <v>2254</v>
      </c>
      <c r="M408" s="41">
        <v>23</v>
      </c>
      <c r="N408" s="41" t="s">
        <v>67</v>
      </c>
      <c r="O408" s="41" t="s">
        <v>1194</v>
      </c>
      <c r="P408" s="41" t="s">
        <v>78</v>
      </c>
      <c r="Q408" s="41" t="s">
        <v>1139</v>
      </c>
      <c r="R408" s="41" t="s">
        <v>39</v>
      </c>
      <c r="S408" s="41" t="s">
        <v>40</v>
      </c>
      <c r="T408" s="41" t="s">
        <v>1449</v>
      </c>
      <c r="U408" s="41" t="s">
        <v>40</v>
      </c>
    </row>
    <row r="409" spans="1:21">
      <c r="A409" s="41">
        <v>2541</v>
      </c>
      <c r="B409" s="41" t="s">
        <v>2255</v>
      </c>
      <c r="D409" s="41">
        <v>5807</v>
      </c>
      <c r="E409" s="41" t="s">
        <v>1248</v>
      </c>
      <c r="F409" s="41" t="s">
        <v>53</v>
      </c>
      <c r="G409" s="41" t="s">
        <v>1071</v>
      </c>
      <c r="I409" s="41">
        <v>0</v>
      </c>
      <c r="J409" s="41" t="s">
        <v>672</v>
      </c>
      <c r="K409" s="42"/>
      <c r="L409" s="41" t="s">
        <v>2256</v>
      </c>
      <c r="M409" s="41">
        <v>13</v>
      </c>
      <c r="N409" s="41" t="s">
        <v>1220</v>
      </c>
      <c r="O409" s="41" t="s">
        <v>402</v>
      </c>
      <c r="P409" s="41" t="s">
        <v>382</v>
      </c>
      <c r="Q409" s="41" t="s">
        <v>83</v>
      </c>
      <c r="R409" s="41" t="s">
        <v>132</v>
      </c>
      <c r="S409" s="41" t="s">
        <v>40</v>
      </c>
      <c r="T409" s="41" t="s">
        <v>40</v>
      </c>
      <c r="U409" s="41" t="s">
        <v>40</v>
      </c>
    </row>
    <row r="410" spans="1:21">
      <c r="A410" s="41">
        <v>2540</v>
      </c>
      <c r="B410" s="41" t="s">
        <v>2257</v>
      </c>
      <c r="C410" s="43">
        <v>1</v>
      </c>
      <c r="D410" s="41">
        <v>5805</v>
      </c>
      <c r="E410" s="41" t="s">
        <v>2258</v>
      </c>
      <c r="F410" s="41" t="s">
        <v>53</v>
      </c>
      <c r="G410" s="41" t="s">
        <v>64</v>
      </c>
      <c r="I410" s="41">
        <v>0</v>
      </c>
      <c r="J410" s="41" t="s">
        <v>672</v>
      </c>
      <c r="K410" s="42"/>
      <c r="L410" s="41" t="s">
        <v>2259</v>
      </c>
      <c r="M410" s="41">
        <v>110</v>
      </c>
      <c r="N410" s="41" t="s">
        <v>2260</v>
      </c>
      <c r="O410" s="41" t="s">
        <v>2261</v>
      </c>
      <c r="P410" s="41" t="s">
        <v>68</v>
      </c>
      <c r="Q410" s="41" t="s">
        <v>919</v>
      </c>
      <c r="R410" s="41" t="s">
        <v>132</v>
      </c>
      <c r="S410" s="41" t="s">
        <v>40</v>
      </c>
      <c r="T410" s="41" t="s">
        <v>40</v>
      </c>
      <c r="U410" s="41" t="s">
        <v>40</v>
      </c>
    </row>
    <row r="411" spans="1:21">
      <c r="A411" s="41">
        <v>2539</v>
      </c>
      <c r="B411" s="41" t="s">
        <v>2262</v>
      </c>
      <c r="D411" s="41">
        <v>5804</v>
      </c>
      <c r="E411" s="41" t="s">
        <v>2263</v>
      </c>
      <c r="F411" s="41" t="s">
        <v>42</v>
      </c>
      <c r="G411" s="41" t="s">
        <v>121</v>
      </c>
      <c r="I411" s="41">
        <v>0</v>
      </c>
      <c r="J411" s="41" t="s">
        <v>32</v>
      </c>
      <c r="K411" s="42"/>
      <c r="L411" s="41" t="s">
        <v>2264</v>
      </c>
      <c r="M411" s="41">
        <v>23</v>
      </c>
      <c r="N411" s="41" t="s">
        <v>2265</v>
      </c>
      <c r="O411" s="41" t="s">
        <v>2266</v>
      </c>
      <c r="P411" s="41" t="s">
        <v>179</v>
      </c>
      <c r="Q411" s="41" t="s">
        <v>524</v>
      </c>
      <c r="R411" s="41" t="s">
        <v>39</v>
      </c>
      <c r="S411" s="41" t="s">
        <v>40</v>
      </c>
      <c r="T411" s="41" t="s">
        <v>210</v>
      </c>
      <c r="U411" s="41" t="s">
        <v>40</v>
      </c>
    </row>
    <row r="412" spans="1:21">
      <c r="A412" s="41">
        <v>2538</v>
      </c>
      <c r="B412" s="41" t="s">
        <v>2180</v>
      </c>
      <c r="D412" s="41">
        <v>5799</v>
      </c>
      <c r="E412" s="41" t="s">
        <v>998</v>
      </c>
      <c r="F412" s="41" t="s">
        <v>53</v>
      </c>
      <c r="G412" s="41" t="s">
        <v>43</v>
      </c>
      <c r="I412" s="41">
        <v>0</v>
      </c>
      <c r="J412" s="41" t="s">
        <v>672</v>
      </c>
      <c r="K412" s="42"/>
      <c r="L412" s="41" t="s">
        <v>2181</v>
      </c>
      <c r="M412" s="41">
        <v>23</v>
      </c>
      <c r="N412" s="41" t="s">
        <v>1755</v>
      </c>
      <c r="O412" s="41" t="s">
        <v>2267</v>
      </c>
      <c r="P412" s="41" t="s">
        <v>98</v>
      </c>
      <c r="Q412" s="41" t="s">
        <v>569</v>
      </c>
      <c r="R412" s="41" t="s">
        <v>132</v>
      </c>
      <c r="S412" s="41" t="s">
        <v>40</v>
      </c>
      <c r="T412" s="41" t="s">
        <v>40</v>
      </c>
      <c r="U412" s="41" t="s">
        <v>40</v>
      </c>
    </row>
    <row r="413" spans="1:21">
      <c r="A413" s="41">
        <v>2537</v>
      </c>
      <c r="B413" s="41" t="s">
        <v>2180</v>
      </c>
      <c r="E413" s="41" t="s">
        <v>998</v>
      </c>
      <c r="F413" s="41" t="s">
        <v>53</v>
      </c>
      <c r="G413" s="41" t="s">
        <v>43</v>
      </c>
      <c r="I413" s="41" t="s">
        <v>194</v>
      </c>
      <c r="J413" s="41" t="s">
        <v>672</v>
      </c>
      <c r="K413" s="42"/>
      <c r="P413" s="41" t="s">
        <v>98</v>
      </c>
      <c r="Q413" s="41" t="s">
        <v>569</v>
      </c>
      <c r="R413" s="41" t="s">
        <v>132</v>
      </c>
      <c r="S413" s="41" t="s">
        <v>40</v>
      </c>
      <c r="T413" s="41" t="s">
        <v>40</v>
      </c>
      <c r="U413" s="41" t="s">
        <v>40</v>
      </c>
    </row>
    <row r="414" spans="1:21">
      <c r="A414" s="41">
        <v>2536</v>
      </c>
      <c r="B414" s="41" t="s">
        <v>2180</v>
      </c>
      <c r="E414" s="41" t="s">
        <v>998</v>
      </c>
      <c r="F414" s="41" t="s">
        <v>53</v>
      </c>
      <c r="G414" s="41" t="s">
        <v>43</v>
      </c>
      <c r="I414" s="41" t="s">
        <v>194</v>
      </c>
      <c r="J414" s="41" t="s">
        <v>672</v>
      </c>
      <c r="K414" s="42"/>
      <c r="P414" s="41" t="s">
        <v>98</v>
      </c>
      <c r="Q414" s="41" t="s">
        <v>569</v>
      </c>
      <c r="R414" s="41" t="s">
        <v>132</v>
      </c>
      <c r="S414" s="41" t="s">
        <v>40</v>
      </c>
      <c r="T414" s="41" t="s">
        <v>40</v>
      </c>
      <c r="U414" s="41" t="s">
        <v>40</v>
      </c>
    </row>
    <row r="415" spans="1:21">
      <c r="A415" s="41">
        <v>2535</v>
      </c>
      <c r="B415" s="41" t="s">
        <v>2180</v>
      </c>
      <c r="E415" s="41" t="s">
        <v>998</v>
      </c>
      <c r="F415" s="41" t="s">
        <v>53</v>
      </c>
      <c r="G415" s="41" t="s">
        <v>43</v>
      </c>
      <c r="I415" s="41" t="s">
        <v>194</v>
      </c>
      <c r="J415" s="41" t="s">
        <v>672</v>
      </c>
      <c r="K415" s="42"/>
      <c r="P415" s="41" t="s">
        <v>98</v>
      </c>
      <c r="Q415" s="41" t="s">
        <v>569</v>
      </c>
      <c r="R415" s="41" t="s">
        <v>132</v>
      </c>
      <c r="S415" s="41" t="s">
        <v>40</v>
      </c>
      <c r="T415" s="41" t="s">
        <v>40</v>
      </c>
      <c r="U415" s="41" t="s">
        <v>40</v>
      </c>
    </row>
    <row r="416" spans="1:21">
      <c r="A416" s="41">
        <v>2534</v>
      </c>
      <c r="B416" s="41" t="s">
        <v>2268</v>
      </c>
      <c r="D416" s="41">
        <v>5798</v>
      </c>
      <c r="E416" s="41" t="s">
        <v>1739</v>
      </c>
      <c r="F416" s="41" t="s">
        <v>53</v>
      </c>
      <c r="G416" s="41" t="s">
        <v>141</v>
      </c>
      <c r="I416" s="41">
        <v>0</v>
      </c>
      <c r="J416" s="41" t="s">
        <v>672</v>
      </c>
      <c r="K416" s="42"/>
      <c r="L416" s="41" t="s">
        <v>2269</v>
      </c>
      <c r="M416" s="41">
        <v>15</v>
      </c>
      <c r="N416" s="41" t="s">
        <v>1623</v>
      </c>
      <c r="O416" s="41" t="s">
        <v>1439</v>
      </c>
      <c r="P416" s="41" t="s">
        <v>172</v>
      </c>
      <c r="Q416" s="41" t="s">
        <v>2270</v>
      </c>
      <c r="R416" s="41" t="s">
        <v>132</v>
      </c>
      <c r="S416" s="41" t="s">
        <v>2271</v>
      </c>
      <c r="T416" s="41" t="s">
        <v>266</v>
      </c>
      <c r="U416" s="41" t="s">
        <v>40</v>
      </c>
    </row>
    <row r="417" spans="1:21">
      <c r="A417" s="41">
        <v>2533</v>
      </c>
      <c r="B417" s="41" t="s">
        <v>2272</v>
      </c>
      <c r="D417" s="41">
        <v>5796</v>
      </c>
      <c r="E417" s="41" t="s">
        <v>1028</v>
      </c>
      <c r="F417" s="41" t="s">
        <v>53</v>
      </c>
      <c r="G417" s="41" t="s">
        <v>1162</v>
      </c>
      <c r="I417" s="41">
        <v>0</v>
      </c>
      <c r="J417" s="41" t="s">
        <v>32</v>
      </c>
      <c r="K417" s="42"/>
      <c r="L417" s="41" t="s">
        <v>2273</v>
      </c>
      <c r="M417" s="41">
        <v>13</v>
      </c>
      <c r="N417" s="41" t="s">
        <v>2274</v>
      </c>
      <c r="O417" s="41" t="s">
        <v>2275</v>
      </c>
      <c r="P417" s="41" t="s">
        <v>334</v>
      </c>
      <c r="Q417" s="41" t="s">
        <v>423</v>
      </c>
      <c r="R417" s="41" t="s">
        <v>132</v>
      </c>
      <c r="S417" s="41" t="s">
        <v>40</v>
      </c>
      <c r="T417" s="41" t="s">
        <v>40</v>
      </c>
      <c r="U417" s="41" t="s">
        <v>40</v>
      </c>
    </row>
    <row r="418" spans="1:21">
      <c r="A418" s="41">
        <v>2532</v>
      </c>
      <c r="B418" s="41" t="s">
        <v>1995</v>
      </c>
      <c r="D418" s="41">
        <v>5794</v>
      </c>
      <c r="E418" s="41" t="s">
        <v>1996</v>
      </c>
      <c r="F418" s="41" t="s">
        <v>28</v>
      </c>
      <c r="G418" s="41" t="s">
        <v>301</v>
      </c>
      <c r="I418" s="41">
        <v>0</v>
      </c>
      <c r="J418" s="41" t="s">
        <v>32</v>
      </c>
      <c r="K418" s="42"/>
      <c r="L418" s="41" t="s">
        <v>2276</v>
      </c>
      <c r="M418" s="41">
        <v>33</v>
      </c>
      <c r="N418" s="41" t="s">
        <v>35</v>
      </c>
      <c r="O418" s="41" t="s">
        <v>1853</v>
      </c>
      <c r="P418" s="41" t="s">
        <v>179</v>
      </c>
      <c r="Q418" s="41" t="s">
        <v>538</v>
      </c>
      <c r="R418" s="41" t="s">
        <v>39</v>
      </c>
      <c r="S418" s="41" t="s">
        <v>2277</v>
      </c>
      <c r="T418" s="41" t="s">
        <v>1433</v>
      </c>
      <c r="U418" s="41" t="s">
        <v>40</v>
      </c>
    </row>
    <row r="419" spans="1:21">
      <c r="A419" s="41">
        <v>2531</v>
      </c>
      <c r="B419" s="41" t="s">
        <v>1991</v>
      </c>
      <c r="D419" s="41">
        <v>5795</v>
      </c>
      <c r="E419" s="41" t="s">
        <v>1992</v>
      </c>
      <c r="F419" s="41" t="s">
        <v>28</v>
      </c>
      <c r="G419" s="41" t="s">
        <v>64</v>
      </c>
      <c r="I419" s="41">
        <v>0</v>
      </c>
      <c r="J419" s="41" t="s">
        <v>32</v>
      </c>
      <c r="K419" s="42"/>
      <c r="L419" s="41" t="s">
        <v>2278</v>
      </c>
      <c r="M419" s="41">
        <v>33</v>
      </c>
      <c r="N419" s="41" t="s">
        <v>35</v>
      </c>
      <c r="O419" s="41" t="s">
        <v>1853</v>
      </c>
      <c r="P419" s="41" t="s">
        <v>179</v>
      </c>
      <c r="Q419" s="41" t="s">
        <v>538</v>
      </c>
      <c r="R419" s="41" t="s">
        <v>39</v>
      </c>
      <c r="S419" s="41" t="s">
        <v>40</v>
      </c>
      <c r="T419" s="41" t="s">
        <v>40</v>
      </c>
      <c r="U419" s="41" t="s">
        <v>40</v>
      </c>
    </row>
    <row r="420" spans="1:21">
      <c r="A420" s="41">
        <v>2530</v>
      </c>
      <c r="B420" s="41" t="s">
        <v>1998</v>
      </c>
      <c r="D420" s="41">
        <v>5793</v>
      </c>
      <c r="E420" s="41" t="s">
        <v>1996</v>
      </c>
      <c r="F420" s="41" t="s">
        <v>28</v>
      </c>
      <c r="G420" s="41" t="s">
        <v>301</v>
      </c>
      <c r="I420" s="41">
        <v>0</v>
      </c>
      <c r="J420" s="41" t="s">
        <v>32</v>
      </c>
      <c r="K420" s="42"/>
      <c r="L420" s="41" t="s">
        <v>2279</v>
      </c>
      <c r="M420" s="41">
        <v>33</v>
      </c>
      <c r="N420" s="41" t="s">
        <v>35</v>
      </c>
      <c r="O420" s="41" t="s">
        <v>1853</v>
      </c>
      <c r="P420" s="41" t="s">
        <v>83</v>
      </c>
      <c r="Q420" s="41" t="s">
        <v>2000</v>
      </c>
      <c r="R420" s="41" t="s">
        <v>39</v>
      </c>
      <c r="S420" s="41" t="s">
        <v>2280</v>
      </c>
      <c r="T420" s="41" t="s">
        <v>1890</v>
      </c>
      <c r="U420" s="41" t="s">
        <v>40</v>
      </c>
    </row>
    <row r="421" spans="1:21">
      <c r="A421" s="41">
        <v>2529</v>
      </c>
      <c r="B421" s="41" t="s">
        <v>2005</v>
      </c>
      <c r="D421" s="41">
        <v>5792</v>
      </c>
      <c r="E421" s="41" t="s">
        <v>1996</v>
      </c>
      <c r="F421" s="41" t="s">
        <v>28</v>
      </c>
      <c r="G421" s="41" t="s">
        <v>64</v>
      </c>
      <c r="I421" s="41">
        <v>0</v>
      </c>
      <c r="J421" s="41" t="s">
        <v>32</v>
      </c>
      <c r="K421" s="42"/>
      <c r="L421" s="41" t="s">
        <v>2281</v>
      </c>
      <c r="M421" s="41">
        <v>33</v>
      </c>
      <c r="N421" s="41" t="s">
        <v>35</v>
      </c>
      <c r="O421" s="41" t="s">
        <v>1853</v>
      </c>
      <c r="P421" s="41" t="s">
        <v>98</v>
      </c>
      <c r="Q421" s="41" t="s">
        <v>98</v>
      </c>
      <c r="R421" s="41" t="s">
        <v>39</v>
      </c>
      <c r="S421" s="41" t="s">
        <v>40</v>
      </c>
      <c r="T421" s="41" t="s">
        <v>40</v>
      </c>
      <c r="U421" s="41" t="s">
        <v>40</v>
      </c>
    </row>
    <row r="422" spans="1:21">
      <c r="A422" s="41">
        <v>2528</v>
      </c>
      <c r="B422" s="41" t="s">
        <v>2282</v>
      </c>
      <c r="D422" s="41">
        <v>5797</v>
      </c>
      <c r="E422" s="41" t="s">
        <v>2283</v>
      </c>
      <c r="F422" s="41" t="s">
        <v>53</v>
      </c>
      <c r="G422" s="41" t="s">
        <v>54</v>
      </c>
      <c r="I422" s="41">
        <v>0</v>
      </c>
      <c r="J422" s="41" t="s">
        <v>295</v>
      </c>
      <c r="K422" s="42"/>
      <c r="L422" s="41" t="s">
        <v>2284</v>
      </c>
      <c r="M422" s="41">
        <v>110</v>
      </c>
      <c r="N422" s="41" t="s">
        <v>2285</v>
      </c>
      <c r="O422" s="41" t="s">
        <v>2286</v>
      </c>
      <c r="P422" s="41" t="s">
        <v>179</v>
      </c>
      <c r="Q422" s="41" t="s">
        <v>524</v>
      </c>
      <c r="R422" s="41" t="s">
        <v>62</v>
      </c>
      <c r="S422" s="41" t="s">
        <v>40</v>
      </c>
      <c r="T422" s="41" t="s">
        <v>40</v>
      </c>
      <c r="U422" s="41" t="s">
        <v>40</v>
      </c>
    </row>
    <row r="423" spans="1:21">
      <c r="A423" s="41">
        <v>2527</v>
      </c>
      <c r="B423" s="41" t="s">
        <v>2287</v>
      </c>
      <c r="D423" s="41">
        <v>5788</v>
      </c>
      <c r="E423" s="41" t="s">
        <v>1028</v>
      </c>
      <c r="F423" s="41" t="s">
        <v>53</v>
      </c>
      <c r="G423" s="41" t="s">
        <v>64</v>
      </c>
      <c r="I423" s="41">
        <v>0</v>
      </c>
      <c r="J423" s="41" t="s">
        <v>32</v>
      </c>
      <c r="K423" s="42"/>
      <c r="L423" s="41" t="s">
        <v>2288</v>
      </c>
      <c r="M423" s="41">
        <v>13</v>
      </c>
      <c r="N423" s="41" t="s">
        <v>2289</v>
      </c>
      <c r="O423" s="41" t="s">
        <v>402</v>
      </c>
      <c r="P423" s="41" t="s">
        <v>334</v>
      </c>
      <c r="Q423" s="41" t="s">
        <v>423</v>
      </c>
      <c r="R423" s="41" t="s">
        <v>132</v>
      </c>
      <c r="S423" s="41" t="s">
        <v>40</v>
      </c>
      <c r="T423" s="41" t="s">
        <v>40</v>
      </c>
      <c r="U423" s="41" t="s">
        <v>40</v>
      </c>
    </row>
    <row r="424" spans="1:21">
      <c r="A424" s="41">
        <v>2526</v>
      </c>
      <c r="B424" s="41" t="s">
        <v>2290</v>
      </c>
      <c r="D424" s="41">
        <v>5786</v>
      </c>
      <c r="E424" s="41" t="s">
        <v>1028</v>
      </c>
      <c r="F424" s="41" t="s">
        <v>53</v>
      </c>
      <c r="G424" s="41" t="s">
        <v>141</v>
      </c>
      <c r="I424" s="41">
        <v>0</v>
      </c>
      <c r="J424" s="41" t="s">
        <v>32</v>
      </c>
      <c r="K424" s="42"/>
      <c r="L424" s="41" t="s">
        <v>2291</v>
      </c>
      <c r="M424" s="41">
        <v>13</v>
      </c>
      <c r="N424" s="41" t="s">
        <v>67</v>
      </c>
      <c r="O424" s="41" t="s">
        <v>402</v>
      </c>
      <c r="P424" s="41" t="s">
        <v>334</v>
      </c>
      <c r="Q424" s="41" t="s">
        <v>335</v>
      </c>
      <c r="R424" s="41" t="s">
        <v>132</v>
      </c>
      <c r="S424" s="41" t="s">
        <v>2292</v>
      </c>
      <c r="T424" s="41" t="s">
        <v>210</v>
      </c>
      <c r="U424" s="41" t="s">
        <v>40</v>
      </c>
    </row>
    <row r="425" spans="1:21">
      <c r="A425" s="41">
        <v>2525</v>
      </c>
      <c r="B425" s="41" t="s">
        <v>2293</v>
      </c>
      <c r="D425" s="41">
        <v>5785</v>
      </c>
      <c r="E425" s="41" t="s">
        <v>2294</v>
      </c>
      <c r="F425" s="41" t="s">
        <v>28</v>
      </c>
      <c r="G425" s="41" t="s">
        <v>301</v>
      </c>
      <c r="I425" s="41">
        <v>0</v>
      </c>
      <c r="J425" s="41" t="s">
        <v>32</v>
      </c>
      <c r="K425" s="42"/>
      <c r="L425" s="41" t="s">
        <v>2295</v>
      </c>
      <c r="M425" s="41">
        <v>23</v>
      </c>
      <c r="N425" s="41" t="s">
        <v>67</v>
      </c>
      <c r="O425" s="41" t="s">
        <v>290</v>
      </c>
      <c r="P425" s="41" t="s">
        <v>179</v>
      </c>
      <c r="Q425" s="41" t="s">
        <v>592</v>
      </c>
      <c r="R425" s="41" t="s">
        <v>39</v>
      </c>
      <c r="S425" s="41" t="s">
        <v>2296</v>
      </c>
      <c r="T425" s="41" t="s">
        <v>1894</v>
      </c>
      <c r="U425" s="41" t="s">
        <v>40</v>
      </c>
    </row>
    <row r="426" spans="1:21">
      <c r="A426" s="41">
        <v>2524</v>
      </c>
      <c r="B426" s="41" t="s">
        <v>2297</v>
      </c>
      <c r="D426" s="41">
        <v>5784</v>
      </c>
      <c r="E426" s="41" t="s">
        <v>1286</v>
      </c>
      <c r="F426" s="41" t="s">
        <v>42</v>
      </c>
      <c r="G426" s="41" t="s">
        <v>141</v>
      </c>
      <c r="I426" s="41">
        <v>0</v>
      </c>
      <c r="J426" s="41" t="s">
        <v>32</v>
      </c>
      <c r="K426" s="42"/>
      <c r="L426" s="41" t="s">
        <v>2298</v>
      </c>
      <c r="M426" s="41">
        <v>33</v>
      </c>
      <c r="N426" s="41" t="s">
        <v>2299</v>
      </c>
      <c r="O426" s="41" t="s">
        <v>2299</v>
      </c>
      <c r="P426" s="41" t="s">
        <v>98</v>
      </c>
      <c r="Q426" s="41" t="s">
        <v>2300</v>
      </c>
      <c r="R426" s="41" t="s">
        <v>39</v>
      </c>
      <c r="S426" s="41" t="s">
        <v>40</v>
      </c>
      <c r="T426" s="41" t="s">
        <v>1621</v>
      </c>
      <c r="U426" s="41" t="s">
        <v>40</v>
      </c>
    </row>
    <row r="427" spans="1:21">
      <c r="A427" s="41">
        <v>2523</v>
      </c>
      <c r="B427" s="41" t="s">
        <v>2301</v>
      </c>
      <c r="D427" s="41">
        <v>5783</v>
      </c>
      <c r="E427" s="41" t="s">
        <v>1028</v>
      </c>
      <c r="F427" s="41" t="s">
        <v>28</v>
      </c>
      <c r="G427" s="41" t="s">
        <v>301</v>
      </c>
      <c r="I427" s="41">
        <v>0</v>
      </c>
      <c r="J427" s="41" t="s">
        <v>32</v>
      </c>
      <c r="K427" s="42"/>
      <c r="L427" s="41" t="s">
        <v>2302</v>
      </c>
      <c r="M427" s="41">
        <v>110</v>
      </c>
      <c r="N427" s="41" t="s">
        <v>2234</v>
      </c>
      <c r="O427" s="41" t="s">
        <v>2235</v>
      </c>
      <c r="P427" s="41" t="s">
        <v>179</v>
      </c>
      <c r="Q427" s="41" t="s">
        <v>557</v>
      </c>
      <c r="R427" s="41" t="s">
        <v>39</v>
      </c>
      <c r="S427" s="41" t="s">
        <v>2303</v>
      </c>
      <c r="T427" s="41" t="s">
        <v>2169</v>
      </c>
      <c r="U427" s="41" t="s">
        <v>40</v>
      </c>
    </row>
    <row r="428" spans="1:21">
      <c r="A428" s="41">
        <v>2522</v>
      </c>
      <c r="B428" s="41" t="s">
        <v>2304</v>
      </c>
      <c r="D428" s="41">
        <v>5782</v>
      </c>
      <c r="E428" s="41" t="s">
        <v>2053</v>
      </c>
      <c r="F428" s="41" t="s">
        <v>28</v>
      </c>
      <c r="G428" s="41" t="s">
        <v>1162</v>
      </c>
      <c r="I428" s="41">
        <v>0</v>
      </c>
      <c r="J428" s="41" t="s">
        <v>32</v>
      </c>
      <c r="K428" s="42"/>
      <c r="L428" s="41" t="s">
        <v>2305</v>
      </c>
      <c r="M428" s="41">
        <v>110</v>
      </c>
      <c r="N428" s="41" t="s">
        <v>962</v>
      </c>
      <c r="O428" s="41" t="s">
        <v>341</v>
      </c>
      <c r="P428" s="41" t="s">
        <v>98</v>
      </c>
      <c r="Q428" s="41" t="s">
        <v>98</v>
      </c>
      <c r="R428" s="41" t="s">
        <v>39</v>
      </c>
      <c r="S428" s="41" t="s">
        <v>40</v>
      </c>
      <c r="T428" s="41" t="s">
        <v>40</v>
      </c>
      <c r="U428" s="41" t="s">
        <v>40</v>
      </c>
    </row>
    <row r="429" spans="1:21">
      <c r="A429" s="41">
        <v>2521</v>
      </c>
      <c r="B429" s="41" t="s">
        <v>2306</v>
      </c>
      <c r="D429" s="41">
        <v>5774</v>
      </c>
      <c r="E429" s="41" t="s">
        <v>1196</v>
      </c>
      <c r="F429" s="41" t="s">
        <v>28</v>
      </c>
      <c r="G429" s="41" t="s">
        <v>301</v>
      </c>
      <c r="I429" s="41">
        <v>0</v>
      </c>
      <c r="J429" s="41" t="s">
        <v>32</v>
      </c>
      <c r="K429" s="42"/>
      <c r="L429" s="41" t="s">
        <v>1346</v>
      </c>
      <c r="M429" s="41">
        <v>33</v>
      </c>
      <c r="N429" s="41" t="s">
        <v>1347</v>
      </c>
      <c r="O429" s="41" t="s">
        <v>1200</v>
      </c>
      <c r="P429" s="41" t="s">
        <v>60</v>
      </c>
      <c r="Q429" s="41" t="s">
        <v>1348</v>
      </c>
      <c r="R429" s="41" t="s">
        <v>39</v>
      </c>
      <c r="S429" s="41" t="s">
        <v>2307</v>
      </c>
      <c r="T429" s="41" t="s">
        <v>146</v>
      </c>
      <c r="U429" s="41" t="s">
        <v>40</v>
      </c>
    </row>
    <row r="430" spans="1:21">
      <c r="A430" s="41">
        <v>2520</v>
      </c>
      <c r="B430" s="41" t="s">
        <v>2306</v>
      </c>
      <c r="D430" s="41">
        <v>5773</v>
      </c>
      <c r="E430" s="41" t="s">
        <v>1196</v>
      </c>
      <c r="F430" s="41" t="s">
        <v>42</v>
      </c>
      <c r="G430" s="41" t="s">
        <v>1175</v>
      </c>
      <c r="I430" s="41">
        <v>0</v>
      </c>
      <c r="J430" s="41" t="s">
        <v>32</v>
      </c>
      <c r="K430" s="42"/>
      <c r="L430" s="41" t="s">
        <v>1346</v>
      </c>
      <c r="M430" s="41">
        <v>33</v>
      </c>
      <c r="N430" s="41" t="s">
        <v>1347</v>
      </c>
      <c r="O430" s="41" t="s">
        <v>1200</v>
      </c>
      <c r="P430" s="41" t="s">
        <v>60</v>
      </c>
      <c r="Q430" s="41" t="s">
        <v>1348</v>
      </c>
      <c r="R430" s="41" t="s">
        <v>39</v>
      </c>
      <c r="S430" s="41" t="s">
        <v>40</v>
      </c>
      <c r="T430" s="41" t="s">
        <v>40</v>
      </c>
      <c r="U430" s="41" t="s">
        <v>40</v>
      </c>
    </row>
    <row r="431" spans="1:21">
      <c r="A431" s="41">
        <v>2519</v>
      </c>
      <c r="B431" s="41" t="s">
        <v>2308</v>
      </c>
      <c r="D431" s="41">
        <v>5772</v>
      </c>
      <c r="E431" s="41" t="s">
        <v>1385</v>
      </c>
      <c r="F431" s="41" t="s">
        <v>53</v>
      </c>
      <c r="G431" s="41" t="s">
        <v>54</v>
      </c>
      <c r="I431" s="41">
        <v>0</v>
      </c>
      <c r="J431" s="41" t="s">
        <v>32</v>
      </c>
      <c r="K431" s="42"/>
      <c r="L431" s="41" t="s">
        <v>574</v>
      </c>
      <c r="M431" s="41">
        <v>220</v>
      </c>
      <c r="N431" s="41" t="s">
        <v>2309</v>
      </c>
      <c r="O431" s="41" t="s">
        <v>2310</v>
      </c>
      <c r="P431" s="41" t="s">
        <v>179</v>
      </c>
      <c r="Q431" s="41" t="s">
        <v>284</v>
      </c>
      <c r="R431" s="41" t="s">
        <v>62</v>
      </c>
      <c r="S431" s="41" t="s">
        <v>40</v>
      </c>
      <c r="T431" s="41" t="s">
        <v>40</v>
      </c>
      <c r="U431" s="41" t="s">
        <v>40</v>
      </c>
    </row>
    <row r="432" spans="1:21">
      <c r="A432" s="41">
        <v>2518</v>
      </c>
      <c r="B432" s="41" t="s">
        <v>2311</v>
      </c>
      <c r="D432" s="41">
        <v>5771</v>
      </c>
      <c r="E432" s="41" t="s">
        <v>2312</v>
      </c>
      <c r="F432" s="41" t="s">
        <v>53</v>
      </c>
      <c r="G432" s="41" t="s">
        <v>141</v>
      </c>
      <c r="I432" s="41" t="s">
        <v>2313</v>
      </c>
      <c r="J432" s="41" t="s">
        <v>32</v>
      </c>
      <c r="K432" s="42"/>
      <c r="L432" s="41" t="s">
        <v>2314</v>
      </c>
      <c r="M432" s="41">
        <v>110</v>
      </c>
      <c r="N432" s="41" t="s">
        <v>2260</v>
      </c>
      <c r="O432" s="41" t="s">
        <v>2261</v>
      </c>
      <c r="P432" s="41" t="s">
        <v>68</v>
      </c>
      <c r="Q432" s="41" t="s">
        <v>91</v>
      </c>
      <c r="R432" s="41" t="s">
        <v>62</v>
      </c>
      <c r="S432" s="41" t="s">
        <v>2315</v>
      </c>
      <c r="T432" s="41" t="s">
        <v>1500</v>
      </c>
      <c r="U432" s="41" t="s">
        <v>40</v>
      </c>
    </row>
    <row r="433" spans="1:21">
      <c r="A433" s="41">
        <v>2517</v>
      </c>
      <c r="B433" s="41" t="s">
        <v>2316</v>
      </c>
      <c r="D433" s="41">
        <v>5770</v>
      </c>
      <c r="E433" s="41" t="s">
        <v>1617</v>
      </c>
      <c r="F433" s="41" t="s">
        <v>28</v>
      </c>
      <c r="G433" s="41" t="s">
        <v>301</v>
      </c>
      <c r="I433" s="41">
        <v>0</v>
      </c>
      <c r="J433" s="41" t="s">
        <v>32</v>
      </c>
      <c r="K433" s="42"/>
      <c r="L433" s="41" t="s">
        <v>2317</v>
      </c>
      <c r="M433" s="41">
        <v>23</v>
      </c>
      <c r="N433" s="41" t="s">
        <v>1020</v>
      </c>
      <c r="O433" s="41" t="s">
        <v>2318</v>
      </c>
      <c r="P433" s="41" t="s">
        <v>153</v>
      </c>
      <c r="Q433" s="41" t="s">
        <v>153</v>
      </c>
      <c r="R433" s="41" t="s">
        <v>39</v>
      </c>
      <c r="S433" s="41" t="s">
        <v>2319</v>
      </c>
      <c r="T433" s="41" t="s">
        <v>2101</v>
      </c>
      <c r="U433" s="41" t="s">
        <v>1796</v>
      </c>
    </row>
    <row r="434" spans="1:21">
      <c r="A434" s="41">
        <v>2516</v>
      </c>
      <c r="B434" s="41" t="s">
        <v>2320</v>
      </c>
      <c r="D434" s="41">
        <v>5769</v>
      </c>
      <c r="E434" s="41" t="s">
        <v>2321</v>
      </c>
      <c r="F434" s="41" t="s">
        <v>53</v>
      </c>
      <c r="G434" s="41" t="s">
        <v>141</v>
      </c>
      <c r="I434" s="41">
        <v>0</v>
      </c>
      <c r="J434" s="41" t="s">
        <v>32</v>
      </c>
      <c r="K434" s="42"/>
      <c r="L434" s="41" t="s">
        <v>1602</v>
      </c>
      <c r="M434" s="41">
        <v>12</v>
      </c>
      <c r="N434" s="41" t="s">
        <v>67</v>
      </c>
      <c r="O434" s="41" t="s">
        <v>2322</v>
      </c>
      <c r="P434" s="41" t="s">
        <v>68</v>
      </c>
      <c r="Q434" s="41" t="s">
        <v>184</v>
      </c>
      <c r="R434" s="41" t="s">
        <v>132</v>
      </c>
      <c r="S434" s="41" t="s">
        <v>2323</v>
      </c>
      <c r="T434" s="41" t="s">
        <v>1890</v>
      </c>
      <c r="U434" s="41" t="s">
        <v>40</v>
      </c>
    </row>
    <row r="435" spans="1:21">
      <c r="A435" s="41">
        <v>2515</v>
      </c>
      <c r="B435" s="41" t="s">
        <v>800</v>
      </c>
      <c r="C435" s="41">
        <v>1</v>
      </c>
      <c r="D435" s="41">
        <v>5768</v>
      </c>
      <c r="E435" s="41" t="s">
        <v>2324</v>
      </c>
      <c r="F435" s="41" t="s">
        <v>53</v>
      </c>
      <c r="G435" s="41" t="s">
        <v>141</v>
      </c>
      <c r="H435" s="42">
        <v>45784</v>
      </c>
      <c r="I435" s="41">
        <v>0</v>
      </c>
      <c r="J435" s="41" t="s">
        <v>672</v>
      </c>
      <c r="K435" s="42">
        <v>47483</v>
      </c>
      <c r="L435" s="41" t="s">
        <v>804</v>
      </c>
      <c r="M435" s="41">
        <v>220</v>
      </c>
      <c r="N435" s="41" t="s">
        <v>805</v>
      </c>
      <c r="O435" s="41" t="s">
        <v>806</v>
      </c>
      <c r="P435" s="41" t="s">
        <v>68</v>
      </c>
      <c r="Q435" s="41" t="s">
        <v>677</v>
      </c>
      <c r="R435" s="41" t="s">
        <v>62</v>
      </c>
      <c r="S435" s="41" t="s">
        <v>2325</v>
      </c>
      <c r="T435" s="41" t="s">
        <v>1500</v>
      </c>
      <c r="U435" s="41" t="s">
        <v>40</v>
      </c>
    </row>
    <row r="436" spans="1:21">
      <c r="A436" s="41">
        <v>2514</v>
      </c>
      <c r="B436" s="41" t="s">
        <v>2326</v>
      </c>
      <c r="D436" s="41">
        <v>5767</v>
      </c>
      <c r="E436" s="41" t="s">
        <v>2327</v>
      </c>
      <c r="F436" s="41" t="s">
        <v>28</v>
      </c>
      <c r="G436" s="41" t="s">
        <v>64</v>
      </c>
      <c r="I436" s="41">
        <v>0</v>
      </c>
      <c r="J436" s="41" t="s">
        <v>380</v>
      </c>
      <c r="K436" s="42"/>
      <c r="L436" s="41" t="s">
        <v>2328</v>
      </c>
      <c r="M436" s="41">
        <v>23</v>
      </c>
      <c r="N436" s="41" t="s">
        <v>67</v>
      </c>
      <c r="O436" s="41" t="s">
        <v>2329</v>
      </c>
      <c r="P436" s="41" t="s">
        <v>1046</v>
      </c>
      <c r="Q436" s="41" t="s">
        <v>1047</v>
      </c>
      <c r="R436" s="41" t="s">
        <v>39</v>
      </c>
      <c r="S436" s="41" t="s">
        <v>40</v>
      </c>
      <c r="T436" s="41" t="s">
        <v>40</v>
      </c>
      <c r="U436" s="41" t="s">
        <v>40</v>
      </c>
    </row>
    <row r="437" spans="1:21">
      <c r="A437" s="41">
        <v>2513</v>
      </c>
      <c r="B437" s="41" t="s">
        <v>2330</v>
      </c>
      <c r="D437" s="41">
        <v>5766</v>
      </c>
      <c r="E437" s="41" t="s">
        <v>1354</v>
      </c>
      <c r="F437" s="41" t="s">
        <v>28</v>
      </c>
      <c r="G437" s="41" t="s">
        <v>1300</v>
      </c>
      <c r="I437" s="41">
        <v>0</v>
      </c>
      <c r="J437" s="41" t="s">
        <v>295</v>
      </c>
      <c r="K437" s="42"/>
      <c r="L437" s="41" t="s">
        <v>2331</v>
      </c>
      <c r="M437" s="41">
        <v>220</v>
      </c>
      <c r="N437" s="41" t="s">
        <v>1619</v>
      </c>
      <c r="O437" s="41" t="s">
        <v>36</v>
      </c>
      <c r="P437" s="41" t="s">
        <v>68</v>
      </c>
      <c r="Q437" s="41" t="s">
        <v>699</v>
      </c>
      <c r="R437" s="41" t="s">
        <v>39</v>
      </c>
      <c r="S437" s="41" t="s">
        <v>40</v>
      </c>
      <c r="T437" s="41" t="s">
        <v>40</v>
      </c>
      <c r="U437" s="41" t="s">
        <v>40</v>
      </c>
    </row>
    <row r="438" spans="1:21">
      <c r="A438" s="41">
        <v>2512</v>
      </c>
      <c r="B438" s="41" t="s">
        <v>2176</v>
      </c>
      <c r="D438" s="41">
        <v>5758</v>
      </c>
      <c r="E438" s="41" t="s">
        <v>1996</v>
      </c>
      <c r="F438" s="41" t="s">
        <v>28</v>
      </c>
      <c r="G438" s="41" t="s">
        <v>301</v>
      </c>
      <c r="I438" s="41">
        <v>0</v>
      </c>
      <c r="J438" s="41" t="s">
        <v>32</v>
      </c>
      <c r="K438" s="42"/>
      <c r="L438" s="41" t="s">
        <v>2332</v>
      </c>
      <c r="M438" s="41">
        <v>33</v>
      </c>
      <c r="N438" s="41" t="s">
        <v>1133</v>
      </c>
      <c r="O438" s="41" t="s">
        <v>1853</v>
      </c>
      <c r="P438" s="41" t="s">
        <v>98</v>
      </c>
      <c r="Q438" s="41" t="s">
        <v>98</v>
      </c>
      <c r="R438" s="41" t="s">
        <v>39</v>
      </c>
      <c r="S438" s="41" t="s">
        <v>2333</v>
      </c>
      <c r="T438" s="41" t="s">
        <v>1890</v>
      </c>
      <c r="U438" s="41" t="s">
        <v>40</v>
      </c>
    </row>
    <row r="439" spans="1:21">
      <c r="A439" s="41">
        <v>2511</v>
      </c>
      <c r="B439" s="41" t="s">
        <v>2178</v>
      </c>
      <c r="D439" s="41">
        <v>5757</v>
      </c>
      <c r="E439" s="41" t="s">
        <v>1992</v>
      </c>
      <c r="F439" s="41" t="s">
        <v>28</v>
      </c>
      <c r="G439" s="41" t="s">
        <v>64</v>
      </c>
      <c r="I439" s="41">
        <v>0</v>
      </c>
      <c r="J439" s="41" t="s">
        <v>32</v>
      </c>
      <c r="K439" s="42"/>
      <c r="L439" s="41" t="s">
        <v>2334</v>
      </c>
      <c r="M439" s="41">
        <v>33</v>
      </c>
      <c r="N439" s="41" t="s">
        <v>1052</v>
      </c>
      <c r="O439" s="41" t="s">
        <v>1853</v>
      </c>
      <c r="P439" s="41" t="s">
        <v>98</v>
      </c>
      <c r="Q439" s="41" t="s">
        <v>98</v>
      </c>
      <c r="R439" s="41" t="s">
        <v>39</v>
      </c>
      <c r="S439" s="41" t="s">
        <v>40</v>
      </c>
      <c r="T439" s="41" t="s">
        <v>40</v>
      </c>
      <c r="U439" s="41" t="s">
        <v>40</v>
      </c>
    </row>
    <row r="440" spans="1:21">
      <c r="A440" s="41">
        <v>2510</v>
      </c>
      <c r="B440" s="41" t="s">
        <v>2335</v>
      </c>
      <c r="D440" s="41">
        <v>5756</v>
      </c>
      <c r="E440" s="41" t="s">
        <v>1182</v>
      </c>
      <c r="F440" s="41" t="s">
        <v>28</v>
      </c>
      <c r="G440" s="41" t="s">
        <v>301</v>
      </c>
      <c r="I440" s="41">
        <v>0</v>
      </c>
      <c r="J440" s="41" t="s">
        <v>32</v>
      </c>
      <c r="K440" s="42"/>
      <c r="L440" s="41" t="s">
        <v>1184</v>
      </c>
      <c r="M440" s="41">
        <v>33</v>
      </c>
      <c r="N440" s="41" t="s">
        <v>1133</v>
      </c>
      <c r="O440" s="41" t="s">
        <v>2336</v>
      </c>
      <c r="P440" s="41" t="s">
        <v>98</v>
      </c>
      <c r="Q440" s="41" t="s">
        <v>116</v>
      </c>
      <c r="R440" s="41" t="s">
        <v>39</v>
      </c>
      <c r="S440" s="41" t="s">
        <v>40</v>
      </c>
      <c r="T440" s="41" t="s">
        <v>2187</v>
      </c>
      <c r="U440" s="41" t="s">
        <v>40</v>
      </c>
    </row>
    <row r="441" spans="1:21">
      <c r="A441" s="41">
        <v>2509</v>
      </c>
      <c r="B441" s="41" t="s">
        <v>2337</v>
      </c>
      <c r="D441" s="41">
        <v>5759</v>
      </c>
      <c r="E441" s="41" t="s">
        <v>2338</v>
      </c>
      <c r="F441" s="41" t="s">
        <v>42</v>
      </c>
      <c r="G441" s="41" t="s">
        <v>121</v>
      </c>
      <c r="I441" s="41">
        <v>0</v>
      </c>
      <c r="J441" s="41" t="s">
        <v>380</v>
      </c>
      <c r="K441" s="42"/>
      <c r="L441" s="41" t="s">
        <v>2339</v>
      </c>
      <c r="M441" s="41">
        <v>66</v>
      </c>
      <c r="N441" s="41" t="s">
        <v>67</v>
      </c>
      <c r="O441" s="41" t="s">
        <v>2340</v>
      </c>
      <c r="P441" s="41" t="s">
        <v>1046</v>
      </c>
      <c r="Q441" s="41" t="s">
        <v>1110</v>
      </c>
      <c r="R441" s="41" t="s">
        <v>39</v>
      </c>
      <c r="S441" s="41" t="s">
        <v>40</v>
      </c>
      <c r="T441" s="41" t="s">
        <v>1773</v>
      </c>
      <c r="U441" s="41" t="s">
        <v>40</v>
      </c>
    </row>
    <row r="442" spans="1:21">
      <c r="A442" s="41">
        <v>2508</v>
      </c>
      <c r="B442" s="41" t="s">
        <v>2341</v>
      </c>
      <c r="D442" s="41">
        <v>5755</v>
      </c>
      <c r="E442" s="41" t="s">
        <v>2342</v>
      </c>
      <c r="F442" s="41" t="s">
        <v>42</v>
      </c>
      <c r="G442" s="41" t="s">
        <v>1564</v>
      </c>
      <c r="I442" s="41">
        <v>0</v>
      </c>
      <c r="J442" s="41" t="s">
        <v>32</v>
      </c>
      <c r="K442" s="42"/>
      <c r="L442" s="41" t="s">
        <v>2343</v>
      </c>
      <c r="M442" s="41">
        <v>33</v>
      </c>
      <c r="N442" s="41" t="s">
        <v>2344</v>
      </c>
      <c r="O442" s="41" t="s">
        <v>1288</v>
      </c>
      <c r="P442" s="41" t="s">
        <v>172</v>
      </c>
      <c r="Q442" s="41" t="s">
        <v>197</v>
      </c>
      <c r="R442" s="41" t="s">
        <v>39</v>
      </c>
      <c r="S442" s="41" t="s">
        <v>40</v>
      </c>
      <c r="T442" s="41" t="s">
        <v>40</v>
      </c>
      <c r="U442" s="41" t="s">
        <v>40</v>
      </c>
    </row>
    <row r="443" spans="1:21">
      <c r="A443" s="41">
        <v>2507</v>
      </c>
      <c r="B443" s="41" t="s">
        <v>2335</v>
      </c>
      <c r="D443" s="41">
        <v>5754</v>
      </c>
      <c r="E443" s="41" t="s">
        <v>1182</v>
      </c>
      <c r="F443" s="41" t="s">
        <v>42</v>
      </c>
      <c r="G443" s="41" t="s">
        <v>1175</v>
      </c>
      <c r="I443" s="41">
        <v>0</v>
      </c>
      <c r="J443" s="41" t="s">
        <v>32</v>
      </c>
      <c r="K443" s="42"/>
      <c r="L443" s="41" t="s">
        <v>1184</v>
      </c>
      <c r="M443" s="41">
        <v>33</v>
      </c>
      <c r="N443" s="41" t="s">
        <v>1133</v>
      </c>
      <c r="O443" s="41" t="s">
        <v>2336</v>
      </c>
      <c r="P443" s="41" t="s">
        <v>98</v>
      </c>
      <c r="Q443" s="41" t="s">
        <v>116</v>
      </c>
      <c r="R443" s="41" t="s">
        <v>39</v>
      </c>
      <c r="S443" s="41" t="s">
        <v>40</v>
      </c>
      <c r="T443" s="41" t="s">
        <v>40</v>
      </c>
      <c r="U443" s="41" t="s">
        <v>40</v>
      </c>
    </row>
    <row r="444" spans="1:21">
      <c r="A444" s="41">
        <v>2506</v>
      </c>
      <c r="B444" s="41" t="s">
        <v>2345</v>
      </c>
      <c r="D444" s="41">
        <v>5752</v>
      </c>
      <c r="E444" s="41" t="s">
        <v>998</v>
      </c>
      <c r="F444" s="41" t="s">
        <v>28</v>
      </c>
      <c r="G444" s="41" t="s">
        <v>64</v>
      </c>
      <c r="I444" s="41">
        <v>0</v>
      </c>
      <c r="J444" s="41" t="s">
        <v>672</v>
      </c>
      <c r="K444" s="42"/>
      <c r="L444" s="41" t="s">
        <v>2346</v>
      </c>
      <c r="M444" s="41">
        <v>23</v>
      </c>
      <c r="N444" s="41" t="s">
        <v>2347</v>
      </c>
      <c r="O444" s="41" t="s">
        <v>2348</v>
      </c>
      <c r="P444" s="41" t="s">
        <v>172</v>
      </c>
      <c r="Q444" s="41" t="s">
        <v>253</v>
      </c>
      <c r="R444" s="41" t="s">
        <v>39</v>
      </c>
      <c r="S444" s="41" t="s">
        <v>40</v>
      </c>
      <c r="T444" s="41" t="s">
        <v>40</v>
      </c>
      <c r="U444" s="41" t="s">
        <v>40</v>
      </c>
    </row>
    <row r="445" spans="1:21">
      <c r="A445" s="41">
        <v>2505</v>
      </c>
      <c r="B445" s="41" t="s">
        <v>2349</v>
      </c>
      <c r="D445" s="41">
        <v>5753</v>
      </c>
      <c r="E445" s="41" t="s">
        <v>998</v>
      </c>
      <c r="F445" s="41" t="s">
        <v>28</v>
      </c>
      <c r="G445" s="41" t="s">
        <v>43</v>
      </c>
      <c r="I445" s="41">
        <v>0</v>
      </c>
      <c r="J445" s="41" t="s">
        <v>672</v>
      </c>
      <c r="K445" s="42"/>
      <c r="L445" s="41" t="s">
        <v>2346</v>
      </c>
      <c r="M445" s="41">
        <v>23</v>
      </c>
      <c r="N445" s="41" t="s">
        <v>2347</v>
      </c>
      <c r="O445" s="41" t="s">
        <v>2348</v>
      </c>
      <c r="P445" s="41" t="s">
        <v>172</v>
      </c>
      <c r="Q445" s="41" t="s">
        <v>253</v>
      </c>
      <c r="R445" s="41" t="s">
        <v>39</v>
      </c>
      <c r="S445" s="41" t="s">
        <v>40</v>
      </c>
      <c r="T445" s="41" t="s">
        <v>40</v>
      </c>
      <c r="U445" s="41" t="s">
        <v>40</v>
      </c>
    </row>
    <row r="446" spans="1:21">
      <c r="A446" s="41">
        <v>2504</v>
      </c>
      <c r="B446" s="41" t="s">
        <v>2350</v>
      </c>
      <c r="D446" s="41">
        <v>5760</v>
      </c>
      <c r="E446" s="41" t="s">
        <v>2351</v>
      </c>
      <c r="F446" s="41" t="s">
        <v>42</v>
      </c>
      <c r="G446" s="41" t="s">
        <v>141</v>
      </c>
      <c r="I446" s="41">
        <v>0</v>
      </c>
      <c r="J446" s="41" t="s">
        <v>32</v>
      </c>
      <c r="K446" s="42"/>
      <c r="L446" s="41" t="s">
        <v>2352</v>
      </c>
      <c r="M446" s="41">
        <v>33</v>
      </c>
      <c r="N446" s="41" t="s">
        <v>1052</v>
      </c>
      <c r="O446" s="41" t="s">
        <v>77</v>
      </c>
      <c r="P446" s="41" t="s">
        <v>50</v>
      </c>
      <c r="Q446" s="41" t="s">
        <v>51</v>
      </c>
      <c r="R446" s="41" t="s">
        <v>39</v>
      </c>
      <c r="S446" s="41" t="s">
        <v>40</v>
      </c>
      <c r="T446" s="41" t="s">
        <v>2145</v>
      </c>
      <c r="U446" s="41" t="s">
        <v>40</v>
      </c>
    </row>
    <row r="447" spans="1:21">
      <c r="A447" s="41">
        <v>2503</v>
      </c>
      <c r="B447" s="41" t="s">
        <v>2353</v>
      </c>
      <c r="D447" s="41">
        <v>5751</v>
      </c>
      <c r="E447" s="41" t="s">
        <v>2354</v>
      </c>
      <c r="F447" s="41" t="s">
        <v>28</v>
      </c>
      <c r="G447" s="41" t="s">
        <v>64</v>
      </c>
      <c r="I447" s="41" t="s">
        <v>325</v>
      </c>
      <c r="J447" s="41" t="s">
        <v>32</v>
      </c>
      <c r="K447" s="42"/>
      <c r="L447" s="41" t="s">
        <v>703</v>
      </c>
      <c r="M447" s="41">
        <v>220</v>
      </c>
      <c r="N447" s="41" t="s">
        <v>67</v>
      </c>
      <c r="O447" s="41" t="s">
        <v>757</v>
      </c>
      <c r="P447" s="41" t="s">
        <v>68</v>
      </c>
      <c r="Q447" s="41" t="s">
        <v>677</v>
      </c>
      <c r="R447" s="41" t="s">
        <v>39</v>
      </c>
      <c r="S447" s="41" t="s">
        <v>40</v>
      </c>
      <c r="T447" s="41" t="s">
        <v>40</v>
      </c>
      <c r="U447" s="41" t="s">
        <v>40</v>
      </c>
    </row>
    <row r="448" spans="1:21">
      <c r="A448" s="41">
        <v>2502</v>
      </c>
      <c r="B448" s="41" t="s">
        <v>2355</v>
      </c>
      <c r="D448" s="41">
        <v>5750</v>
      </c>
      <c r="E448" s="41" t="s">
        <v>2356</v>
      </c>
      <c r="F448" s="41" t="s">
        <v>28</v>
      </c>
      <c r="G448" s="41" t="s">
        <v>307</v>
      </c>
      <c r="I448" s="41">
        <v>0</v>
      </c>
      <c r="J448" s="41" t="s">
        <v>32</v>
      </c>
      <c r="K448" s="42"/>
      <c r="L448" s="41" t="s">
        <v>2357</v>
      </c>
      <c r="M448" s="41">
        <v>23</v>
      </c>
      <c r="N448" s="41" t="s">
        <v>290</v>
      </c>
      <c r="O448" s="41" t="s">
        <v>2358</v>
      </c>
      <c r="P448" s="41" t="s">
        <v>179</v>
      </c>
      <c r="Q448" s="41" t="s">
        <v>592</v>
      </c>
      <c r="R448" s="41" t="s">
        <v>39</v>
      </c>
      <c r="S448" s="41" t="s">
        <v>2359</v>
      </c>
      <c r="T448" s="41" t="s">
        <v>313</v>
      </c>
      <c r="U448" s="41" t="s">
        <v>40</v>
      </c>
    </row>
    <row r="449" spans="1:21">
      <c r="A449" s="41">
        <v>2501</v>
      </c>
      <c r="B449" s="41" t="s">
        <v>2360</v>
      </c>
      <c r="D449" s="41">
        <v>5735</v>
      </c>
      <c r="E449" s="41" t="s">
        <v>2361</v>
      </c>
      <c r="F449" s="41" t="s">
        <v>42</v>
      </c>
      <c r="G449" s="41" t="s">
        <v>141</v>
      </c>
      <c r="I449" s="41">
        <v>0</v>
      </c>
      <c r="J449" s="41" t="s">
        <v>32</v>
      </c>
      <c r="K449" s="42"/>
      <c r="L449" s="41" t="s">
        <v>2362</v>
      </c>
      <c r="M449" s="41">
        <v>33</v>
      </c>
      <c r="N449" s="41" t="s">
        <v>2363</v>
      </c>
      <c r="O449" s="41" t="s">
        <v>36</v>
      </c>
      <c r="P449" s="41" t="s">
        <v>179</v>
      </c>
      <c r="Q449" s="41" t="s">
        <v>524</v>
      </c>
      <c r="R449" s="41" t="s">
        <v>39</v>
      </c>
      <c r="S449" s="41" t="s">
        <v>40</v>
      </c>
      <c r="T449" s="41" t="s">
        <v>146</v>
      </c>
      <c r="U449" s="41" t="s">
        <v>40</v>
      </c>
    </row>
    <row r="450" spans="1:21">
      <c r="A450" s="41">
        <v>2500</v>
      </c>
      <c r="B450" s="41" t="s">
        <v>2364</v>
      </c>
      <c r="D450" s="41">
        <v>5717</v>
      </c>
      <c r="E450" s="41" t="s">
        <v>2365</v>
      </c>
      <c r="F450" s="41" t="s">
        <v>42</v>
      </c>
      <c r="G450" s="41" t="s">
        <v>141</v>
      </c>
      <c r="I450" s="41">
        <v>0</v>
      </c>
      <c r="J450" s="41" t="s">
        <v>380</v>
      </c>
      <c r="K450" s="42"/>
      <c r="L450" s="41" t="s">
        <v>2366</v>
      </c>
      <c r="M450" s="41">
        <v>500</v>
      </c>
      <c r="N450" s="41" t="s">
        <v>2367</v>
      </c>
      <c r="O450" s="41" t="s">
        <v>2368</v>
      </c>
      <c r="P450" s="41" t="s">
        <v>98</v>
      </c>
      <c r="Q450" s="41" t="s">
        <v>99</v>
      </c>
      <c r="R450" s="41" t="s">
        <v>39</v>
      </c>
      <c r="S450" s="41" t="s">
        <v>40</v>
      </c>
      <c r="T450" s="41" t="s">
        <v>1621</v>
      </c>
      <c r="U450" s="41" t="s">
        <v>40</v>
      </c>
    </row>
    <row r="451" spans="1:21">
      <c r="A451" s="41">
        <v>2499</v>
      </c>
      <c r="B451" s="41" t="s">
        <v>2369</v>
      </c>
      <c r="D451" s="41">
        <v>5736</v>
      </c>
      <c r="E451" s="41" t="s">
        <v>2370</v>
      </c>
      <c r="F451" s="41" t="s">
        <v>42</v>
      </c>
      <c r="G451" s="41" t="s">
        <v>141</v>
      </c>
      <c r="I451" s="41">
        <v>0</v>
      </c>
      <c r="J451" s="41" t="s">
        <v>32</v>
      </c>
      <c r="K451" s="42"/>
      <c r="L451" s="41" t="s">
        <v>2371</v>
      </c>
      <c r="M451" s="41">
        <v>22</v>
      </c>
      <c r="N451" s="41" t="s">
        <v>59</v>
      </c>
      <c r="O451" s="41" t="s">
        <v>36</v>
      </c>
      <c r="P451" s="41" t="s">
        <v>68</v>
      </c>
      <c r="Q451" s="41" t="s">
        <v>699</v>
      </c>
      <c r="R451" s="41" t="s">
        <v>39</v>
      </c>
      <c r="S451" s="41" t="s">
        <v>40</v>
      </c>
      <c r="T451" s="41" t="s">
        <v>146</v>
      </c>
      <c r="U451" s="41" t="s">
        <v>40</v>
      </c>
    </row>
    <row r="452" spans="1:21">
      <c r="A452" s="41">
        <v>2498</v>
      </c>
      <c r="B452" s="41" t="s">
        <v>2372</v>
      </c>
      <c r="D452" s="41">
        <v>5734</v>
      </c>
      <c r="E452" s="41" t="s">
        <v>1435</v>
      </c>
      <c r="F452" s="41" t="s">
        <v>28</v>
      </c>
      <c r="G452" s="41" t="s">
        <v>301</v>
      </c>
      <c r="I452" s="41">
        <v>0</v>
      </c>
      <c r="J452" s="41" t="s">
        <v>32</v>
      </c>
      <c r="K452" s="42"/>
      <c r="L452" s="41" t="s">
        <v>2373</v>
      </c>
      <c r="M452" s="41">
        <v>154</v>
      </c>
      <c r="N452" s="41" t="s">
        <v>2374</v>
      </c>
      <c r="O452" s="41" t="s">
        <v>2375</v>
      </c>
      <c r="P452" s="41" t="s">
        <v>37</v>
      </c>
      <c r="Q452" s="41" t="s">
        <v>264</v>
      </c>
      <c r="R452" s="41" t="s">
        <v>39</v>
      </c>
      <c r="S452" s="41" t="s">
        <v>2376</v>
      </c>
      <c r="T452" s="41" t="s">
        <v>2187</v>
      </c>
      <c r="U452" s="41" t="s">
        <v>40</v>
      </c>
    </row>
    <row r="453" spans="1:21">
      <c r="A453" s="41">
        <v>2497</v>
      </c>
      <c r="B453" s="41" t="s">
        <v>2377</v>
      </c>
      <c r="D453" s="41">
        <v>5744</v>
      </c>
      <c r="E453" s="41" t="s">
        <v>1351</v>
      </c>
      <c r="F453" s="41" t="s">
        <v>53</v>
      </c>
      <c r="G453" s="41" t="s">
        <v>54</v>
      </c>
      <c r="I453" s="41">
        <v>0</v>
      </c>
      <c r="J453" s="41" t="s">
        <v>672</v>
      </c>
      <c r="K453" s="42"/>
      <c r="L453" s="41" t="s">
        <v>1321</v>
      </c>
      <c r="M453" s="41">
        <v>23</v>
      </c>
      <c r="N453" s="41" t="s">
        <v>2378</v>
      </c>
      <c r="O453" s="41" t="s">
        <v>2379</v>
      </c>
      <c r="P453" s="41" t="s">
        <v>68</v>
      </c>
      <c r="Q453" s="41" t="s">
        <v>191</v>
      </c>
      <c r="R453" s="41" t="s">
        <v>132</v>
      </c>
      <c r="S453" s="41" t="s">
        <v>40</v>
      </c>
      <c r="T453" s="41" t="s">
        <v>40</v>
      </c>
      <c r="U453" s="41" t="s">
        <v>40</v>
      </c>
    </row>
    <row r="454" spans="1:21">
      <c r="A454" s="41">
        <v>2496</v>
      </c>
      <c r="B454" s="41" t="s">
        <v>2380</v>
      </c>
      <c r="D454" s="41">
        <v>5746</v>
      </c>
      <c r="E454" s="41" t="s">
        <v>1351</v>
      </c>
      <c r="F454" s="41" t="s">
        <v>53</v>
      </c>
      <c r="G454" s="41" t="s">
        <v>54</v>
      </c>
      <c r="I454" s="41">
        <v>0</v>
      </c>
      <c r="J454" s="41" t="s">
        <v>672</v>
      </c>
      <c r="K454" s="42"/>
      <c r="L454" s="41" t="s">
        <v>1321</v>
      </c>
      <c r="M454" s="41">
        <v>23</v>
      </c>
      <c r="N454" s="41" t="s">
        <v>2378</v>
      </c>
      <c r="O454" s="41" t="s">
        <v>2381</v>
      </c>
      <c r="P454" s="41" t="s">
        <v>68</v>
      </c>
      <c r="Q454" s="41" t="s">
        <v>191</v>
      </c>
      <c r="R454" s="41" t="s">
        <v>132</v>
      </c>
      <c r="S454" s="41" t="s">
        <v>40</v>
      </c>
      <c r="T454" s="41" t="s">
        <v>40</v>
      </c>
      <c r="U454" s="41" t="s">
        <v>40</v>
      </c>
    </row>
    <row r="455" spans="1:21">
      <c r="A455" s="41">
        <v>2495</v>
      </c>
      <c r="B455" s="41" t="s">
        <v>2382</v>
      </c>
      <c r="D455" s="41">
        <v>5747</v>
      </c>
      <c r="E455" s="41" t="s">
        <v>1351</v>
      </c>
      <c r="F455" s="41" t="s">
        <v>53</v>
      </c>
      <c r="G455" s="41" t="s">
        <v>54</v>
      </c>
      <c r="I455" s="41">
        <v>0</v>
      </c>
      <c r="J455" s="41" t="s">
        <v>672</v>
      </c>
      <c r="K455" s="42"/>
      <c r="L455" s="41" t="s">
        <v>1321</v>
      </c>
      <c r="M455" s="41">
        <v>23</v>
      </c>
      <c r="N455" s="41" t="s">
        <v>2378</v>
      </c>
      <c r="O455" s="41" t="s">
        <v>2383</v>
      </c>
      <c r="P455" s="41" t="s">
        <v>68</v>
      </c>
      <c r="Q455" s="41" t="s">
        <v>191</v>
      </c>
      <c r="R455" s="41" t="s">
        <v>132</v>
      </c>
      <c r="S455" s="41" t="s">
        <v>40</v>
      </c>
      <c r="T455" s="41" t="s">
        <v>40</v>
      </c>
      <c r="U455" s="41" t="s">
        <v>40</v>
      </c>
    </row>
    <row r="456" spans="1:21">
      <c r="A456" s="41">
        <v>2494</v>
      </c>
      <c r="B456" s="41" t="s">
        <v>2384</v>
      </c>
      <c r="D456" s="41">
        <v>5745</v>
      </c>
      <c r="E456" s="41" t="s">
        <v>1351</v>
      </c>
      <c r="F456" s="41" t="s">
        <v>53</v>
      </c>
      <c r="G456" s="41" t="s">
        <v>54</v>
      </c>
      <c r="I456" s="41">
        <v>0</v>
      </c>
      <c r="J456" s="41" t="s">
        <v>672</v>
      </c>
      <c r="K456" s="42"/>
      <c r="L456" s="41" t="s">
        <v>1321</v>
      </c>
      <c r="M456" s="41">
        <v>23</v>
      </c>
      <c r="N456" s="41" t="s">
        <v>2378</v>
      </c>
      <c r="O456" s="41" t="s">
        <v>2385</v>
      </c>
      <c r="P456" s="41" t="s">
        <v>68</v>
      </c>
      <c r="Q456" s="41" t="s">
        <v>191</v>
      </c>
      <c r="R456" s="41" t="s">
        <v>132</v>
      </c>
      <c r="S456" s="41" t="s">
        <v>40</v>
      </c>
      <c r="T456" s="41" t="s">
        <v>40</v>
      </c>
      <c r="U456" s="41" t="s">
        <v>40</v>
      </c>
    </row>
    <row r="457" spans="1:21">
      <c r="A457" s="41">
        <v>2493</v>
      </c>
      <c r="B457" s="41" t="s">
        <v>2386</v>
      </c>
      <c r="D457" s="41">
        <v>5737</v>
      </c>
      <c r="E457" s="41" t="s">
        <v>1286</v>
      </c>
      <c r="F457" s="41" t="s">
        <v>42</v>
      </c>
      <c r="G457" s="41" t="s">
        <v>1564</v>
      </c>
      <c r="I457" s="41">
        <v>0</v>
      </c>
      <c r="J457" s="41" t="s">
        <v>32</v>
      </c>
      <c r="K457" s="42"/>
      <c r="L457" s="41" t="s">
        <v>2387</v>
      </c>
      <c r="M457" s="41">
        <v>33</v>
      </c>
      <c r="N457" s="41" t="s">
        <v>2299</v>
      </c>
      <c r="O457" s="41" t="s">
        <v>2299</v>
      </c>
      <c r="P457" s="41" t="s">
        <v>98</v>
      </c>
      <c r="Q457" s="41" t="s">
        <v>116</v>
      </c>
      <c r="R457" s="41" t="s">
        <v>39</v>
      </c>
      <c r="S457" s="41" t="s">
        <v>40</v>
      </c>
      <c r="T457" s="41" t="s">
        <v>40</v>
      </c>
      <c r="U457" s="41" t="s">
        <v>40</v>
      </c>
    </row>
    <row r="458" spans="1:21">
      <c r="A458" s="41">
        <v>2492</v>
      </c>
      <c r="B458" s="41" t="s">
        <v>1441</v>
      </c>
      <c r="D458" s="41">
        <v>5738</v>
      </c>
      <c r="E458" s="41" t="s">
        <v>1442</v>
      </c>
      <c r="F458" s="41" t="s">
        <v>42</v>
      </c>
      <c r="G458" s="41" t="s">
        <v>1175</v>
      </c>
      <c r="I458" s="41">
        <v>0</v>
      </c>
      <c r="J458" s="41" t="s">
        <v>32</v>
      </c>
      <c r="K458" s="42"/>
      <c r="L458" s="41" t="s">
        <v>1444</v>
      </c>
      <c r="M458" s="41">
        <v>22</v>
      </c>
      <c r="N458" s="41" t="s">
        <v>1026</v>
      </c>
      <c r="O458" s="41" t="s">
        <v>36</v>
      </c>
      <c r="P458" s="41" t="s">
        <v>179</v>
      </c>
      <c r="Q458" s="41" t="s">
        <v>532</v>
      </c>
      <c r="R458" s="41" t="s">
        <v>39</v>
      </c>
      <c r="S458" s="41" t="s">
        <v>40</v>
      </c>
      <c r="T458" s="41" t="s">
        <v>40</v>
      </c>
      <c r="U458" s="41" t="s">
        <v>40</v>
      </c>
    </row>
    <row r="459" spans="1:21">
      <c r="A459" s="41">
        <v>2491</v>
      </c>
      <c r="B459" s="41" t="s">
        <v>2388</v>
      </c>
      <c r="D459" s="41">
        <v>5724</v>
      </c>
      <c r="E459" s="41" t="s">
        <v>1286</v>
      </c>
      <c r="F459" s="41" t="s">
        <v>28</v>
      </c>
      <c r="G459" s="41" t="s">
        <v>301</v>
      </c>
      <c r="I459" s="41">
        <v>0</v>
      </c>
      <c r="J459" s="41" t="s">
        <v>32</v>
      </c>
      <c r="K459" s="42"/>
      <c r="L459" s="41" t="s">
        <v>2389</v>
      </c>
      <c r="M459" s="41">
        <v>220</v>
      </c>
      <c r="N459" s="41" t="s">
        <v>2390</v>
      </c>
      <c r="O459" s="41" t="s">
        <v>2391</v>
      </c>
      <c r="P459" s="41" t="s">
        <v>153</v>
      </c>
      <c r="Q459" s="41" t="s">
        <v>2004</v>
      </c>
      <c r="R459" s="41" t="s">
        <v>39</v>
      </c>
      <c r="S459" s="41" t="s">
        <v>2392</v>
      </c>
      <c r="T459" s="41" t="s">
        <v>2187</v>
      </c>
      <c r="U459" s="41" t="s">
        <v>40</v>
      </c>
    </row>
    <row r="460" spans="1:21">
      <c r="A460" s="41">
        <v>2490</v>
      </c>
      <c r="B460" s="41" t="s">
        <v>2393</v>
      </c>
      <c r="D460" s="41">
        <v>5723</v>
      </c>
      <c r="E460" s="41" t="s">
        <v>1385</v>
      </c>
      <c r="F460" s="41" t="s">
        <v>53</v>
      </c>
      <c r="G460" s="41" t="s">
        <v>760</v>
      </c>
      <c r="I460" s="41">
        <v>0</v>
      </c>
      <c r="J460" s="41" t="s">
        <v>32</v>
      </c>
      <c r="K460" s="42"/>
      <c r="L460" s="41" t="s">
        <v>2394</v>
      </c>
      <c r="M460" s="41">
        <v>220</v>
      </c>
      <c r="N460" s="41" t="s">
        <v>2395</v>
      </c>
      <c r="O460" s="41" t="s">
        <v>2396</v>
      </c>
      <c r="P460" s="41" t="s">
        <v>153</v>
      </c>
      <c r="Q460" s="41" t="s">
        <v>2397</v>
      </c>
      <c r="R460" s="41" t="s">
        <v>62</v>
      </c>
      <c r="S460" s="41" t="s">
        <v>40</v>
      </c>
      <c r="T460" s="41" t="s">
        <v>40</v>
      </c>
      <c r="U460" s="41" t="s">
        <v>40</v>
      </c>
    </row>
    <row r="461" spans="1:21">
      <c r="A461" s="41">
        <v>2489</v>
      </c>
      <c r="B461" s="41" t="s">
        <v>2398</v>
      </c>
      <c r="D461" s="41">
        <v>5722</v>
      </c>
      <c r="E461" s="41" t="s">
        <v>1385</v>
      </c>
      <c r="F461" s="41" t="s">
        <v>53</v>
      </c>
      <c r="G461" s="41" t="s">
        <v>760</v>
      </c>
      <c r="I461" s="41">
        <v>0</v>
      </c>
      <c r="J461" s="41" t="s">
        <v>32</v>
      </c>
      <c r="K461" s="42"/>
      <c r="L461" s="41" t="s">
        <v>2399</v>
      </c>
      <c r="M461" s="41">
        <v>220</v>
      </c>
      <c r="N461" s="41" t="s">
        <v>2309</v>
      </c>
      <c r="O461" s="41" t="s">
        <v>2400</v>
      </c>
      <c r="P461" s="41" t="s">
        <v>153</v>
      </c>
      <c r="Q461" s="41" t="s">
        <v>2397</v>
      </c>
      <c r="R461" s="41" t="s">
        <v>62</v>
      </c>
      <c r="S461" s="41" t="s">
        <v>40</v>
      </c>
      <c r="T461" s="41" t="s">
        <v>40</v>
      </c>
      <c r="U461" s="41" t="s">
        <v>40</v>
      </c>
    </row>
    <row r="462" spans="1:21">
      <c r="A462" s="41">
        <v>2488</v>
      </c>
      <c r="B462" s="41" t="s">
        <v>2401</v>
      </c>
      <c r="D462" s="41">
        <v>5721</v>
      </c>
      <c r="E462" s="41" t="s">
        <v>1385</v>
      </c>
      <c r="F462" s="41" t="s">
        <v>53</v>
      </c>
      <c r="G462" s="41" t="s">
        <v>760</v>
      </c>
      <c r="I462" s="41">
        <v>0</v>
      </c>
      <c r="J462" s="41" t="s">
        <v>32</v>
      </c>
      <c r="K462" s="42"/>
      <c r="L462" s="41" t="s">
        <v>2402</v>
      </c>
      <c r="M462" s="41">
        <v>220</v>
      </c>
      <c r="N462" s="41" t="s">
        <v>2309</v>
      </c>
      <c r="O462" s="41" t="s">
        <v>2403</v>
      </c>
      <c r="P462" s="41" t="s">
        <v>153</v>
      </c>
      <c r="Q462" s="41" t="s">
        <v>2397</v>
      </c>
      <c r="R462" s="41" t="s">
        <v>62</v>
      </c>
      <c r="S462" s="41" t="s">
        <v>40</v>
      </c>
      <c r="T462" s="41" t="s">
        <v>40</v>
      </c>
      <c r="U462" s="41" t="s">
        <v>40</v>
      </c>
    </row>
    <row r="463" spans="1:21">
      <c r="A463" s="41">
        <v>2487</v>
      </c>
      <c r="B463" s="41" t="s">
        <v>2404</v>
      </c>
      <c r="D463" s="41">
        <v>5720</v>
      </c>
      <c r="E463" s="41" t="s">
        <v>2405</v>
      </c>
      <c r="F463" s="41" t="s">
        <v>28</v>
      </c>
      <c r="G463" s="41" t="s">
        <v>301</v>
      </c>
      <c r="I463" s="41">
        <v>0</v>
      </c>
      <c r="J463" s="41" t="s">
        <v>32</v>
      </c>
      <c r="K463" s="42"/>
      <c r="L463" s="41" t="s">
        <v>2406</v>
      </c>
      <c r="M463" s="41">
        <v>110</v>
      </c>
      <c r="N463" s="41" t="s">
        <v>962</v>
      </c>
      <c r="O463" s="41" t="s">
        <v>77</v>
      </c>
      <c r="P463" s="41" t="s">
        <v>78</v>
      </c>
      <c r="Q463" s="41" t="s">
        <v>2407</v>
      </c>
      <c r="R463" s="41" t="s">
        <v>39</v>
      </c>
      <c r="S463" s="41" t="s">
        <v>2408</v>
      </c>
      <c r="T463" s="41" t="s">
        <v>2187</v>
      </c>
      <c r="U463" s="41" t="s">
        <v>40</v>
      </c>
    </row>
    <row r="464" spans="1:21">
      <c r="A464" s="41">
        <v>2486</v>
      </c>
      <c r="B464" s="41" t="s">
        <v>2409</v>
      </c>
      <c r="E464" s="41" t="s">
        <v>2410</v>
      </c>
      <c r="F464" s="41" t="s">
        <v>53</v>
      </c>
      <c r="G464" s="41" t="s">
        <v>43</v>
      </c>
      <c r="I464" s="41" t="s">
        <v>102</v>
      </c>
      <c r="J464" s="41" t="s">
        <v>32</v>
      </c>
      <c r="K464" s="42"/>
      <c r="L464" s="41" t="s">
        <v>2411</v>
      </c>
      <c r="M464" s="41">
        <v>220</v>
      </c>
      <c r="N464" s="41" t="s">
        <v>2412</v>
      </c>
      <c r="O464" s="41" t="s">
        <v>2413</v>
      </c>
      <c r="P464" s="41" t="s">
        <v>98</v>
      </c>
      <c r="Q464" s="41" t="s">
        <v>204</v>
      </c>
      <c r="R464" s="41" t="s">
        <v>62</v>
      </c>
      <c r="S464" s="41" t="s">
        <v>40</v>
      </c>
      <c r="T464" s="41" t="s">
        <v>40</v>
      </c>
      <c r="U464" s="41" t="s">
        <v>40</v>
      </c>
    </row>
    <row r="465" spans="1:21">
      <c r="A465" s="41">
        <v>2485</v>
      </c>
      <c r="B465" s="41" t="s">
        <v>2414</v>
      </c>
      <c r="D465" s="41">
        <v>5716</v>
      </c>
      <c r="E465" s="41" t="s">
        <v>2415</v>
      </c>
      <c r="F465" s="41" t="s">
        <v>53</v>
      </c>
      <c r="G465" s="41" t="s">
        <v>64</v>
      </c>
      <c r="I465" s="41">
        <v>0</v>
      </c>
      <c r="J465" s="41" t="s">
        <v>32</v>
      </c>
      <c r="K465" s="42"/>
      <c r="L465" s="41" t="s">
        <v>2416</v>
      </c>
      <c r="M465" s="41">
        <v>23</v>
      </c>
      <c r="N465" s="41" t="s">
        <v>1052</v>
      </c>
      <c r="O465" s="41" t="s">
        <v>291</v>
      </c>
      <c r="P465" s="41" t="s">
        <v>78</v>
      </c>
      <c r="Q465" s="41" t="s">
        <v>1065</v>
      </c>
      <c r="R465" s="41" t="s">
        <v>132</v>
      </c>
      <c r="S465" s="41" t="s">
        <v>40</v>
      </c>
      <c r="T465" s="41" t="s">
        <v>40</v>
      </c>
      <c r="U465" s="41" t="s">
        <v>40</v>
      </c>
    </row>
    <row r="466" spans="1:21">
      <c r="A466" s="41">
        <v>2484</v>
      </c>
      <c r="B466" s="41" t="s">
        <v>2417</v>
      </c>
      <c r="D466" s="41">
        <v>5715</v>
      </c>
      <c r="E466" s="41" t="s">
        <v>2415</v>
      </c>
      <c r="F466" s="41" t="s">
        <v>53</v>
      </c>
      <c r="G466" s="41" t="s">
        <v>141</v>
      </c>
      <c r="I466" s="41" t="s">
        <v>149</v>
      </c>
      <c r="J466" s="41" t="s">
        <v>32</v>
      </c>
      <c r="K466" s="42"/>
      <c r="L466" s="41" t="s">
        <v>2418</v>
      </c>
      <c r="M466" s="41">
        <v>66</v>
      </c>
      <c r="N466" s="41" t="s">
        <v>1006</v>
      </c>
      <c r="O466" s="41" t="s">
        <v>1151</v>
      </c>
      <c r="P466" s="41" t="s">
        <v>172</v>
      </c>
      <c r="Q466" s="41" t="s">
        <v>1803</v>
      </c>
      <c r="R466" s="41" t="s">
        <v>132</v>
      </c>
      <c r="S466" s="41" t="s">
        <v>2419</v>
      </c>
      <c r="T466" s="41" t="s">
        <v>1172</v>
      </c>
      <c r="U466" s="41" t="s">
        <v>40</v>
      </c>
    </row>
    <row r="467" spans="1:21">
      <c r="A467" s="41">
        <v>2483</v>
      </c>
      <c r="B467" s="41" t="s">
        <v>2420</v>
      </c>
      <c r="E467" s="41" t="s">
        <v>1882</v>
      </c>
      <c r="F467" s="41" t="s">
        <v>42</v>
      </c>
      <c r="G467" s="41" t="s">
        <v>993</v>
      </c>
      <c r="I467" s="41" t="s">
        <v>149</v>
      </c>
      <c r="J467" s="41" t="s">
        <v>295</v>
      </c>
      <c r="K467" s="42"/>
      <c r="L467" s="41" t="s">
        <v>2421</v>
      </c>
      <c r="M467" s="41">
        <v>36</v>
      </c>
      <c r="N467" s="41" t="s">
        <v>2422</v>
      </c>
      <c r="O467" s="41" t="s">
        <v>77</v>
      </c>
      <c r="P467" s="41" t="s">
        <v>172</v>
      </c>
      <c r="Q467" s="41" t="s">
        <v>197</v>
      </c>
      <c r="R467" s="41" t="s">
        <v>39</v>
      </c>
      <c r="S467" s="41" t="s">
        <v>40</v>
      </c>
      <c r="T467" s="41" t="s">
        <v>40</v>
      </c>
      <c r="U467" s="41" t="s">
        <v>40</v>
      </c>
    </row>
    <row r="468" spans="1:21">
      <c r="A468" s="41">
        <v>2482</v>
      </c>
      <c r="B468" s="41" t="s">
        <v>2423</v>
      </c>
      <c r="D468" s="41">
        <v>5712</v>
      </c>
      <c r="E468" s="41" t="s">
        <v>2354</v>
      </c>
      <c r="F468" s="41" t="s">
        <v>28</v>
      </c>
      <c r="G468" s="41" t="s">
        <v>1300</v>
      </c>
      <c r="I468" s="41">
        <v>0</v>
      </c>
      <c r="J468" s="41" t="s">
        <v>32</v>
      </c>
      <c r="K468" s="42"/>
      <c r="L468" s="41" t="s">
        <v>2424</v>
      </c>
      <c r="M468" s="41">
        <v>220</v>
      </c>
      <c r="N468" s="41" t="s">
        <v>362</v>
      </c>
      <c r="O468" s="41" t="s">
        <v>311</v>
      </c>
      <c r="P468" s="41" t="s">
        <v>37</v>
      </c>
      <c r="Q468" s="41" t="s">
        <v>38</v>
      </c>
      <c r="R468" s="41" t="s">
        <v>39</v>
      </c>
      <c r="S468" s="41" t="s">
        <v>40</v>
      </c>
      <c r="T468" s="41" t="s">
        <v>40</v>
      </c>
      <c r="U468" s="41" t="s">
        <v>40</v>
      </c>
    </row>
    <row r="469" spans="1:21">
      <c r="A469" s="41">
        <v>2481</v>
      </c>
      <c r="B469" s="41" t="s">
        <v>2425</v>
      </c>
      <c r="D469" s="41">
        <v>5708</v>
      </c>
      <c r="E469" s="41" t="s">
        <v>2426</v>
      </c>
      <c r="F469" s="41" t="s">
        <v>53</v>
      </c>
      <c r="G469" s="41" t="s">
        <v>54</v>
      </c>
      <c r="I469" s="41">
        <v>0</v>
      </c>
      <c r="J469" s="41" t="s">
        <v>32</v>
      </c>
      <c r="K469" s="42"/>
      <c r="L469" s="41" t="s">
        <v>2427</v>
      </c>
      <c r="M469" s="41">
        <v>220</v>
      </c>
      <c r="N469" s="41" t="s">
        <v>2428</v>
      </c>
      <c r="O469" s="41" t="s">
        <v>1379</v>
      </c>
      <c r="P469" s="41" t="s">
        <v>78</v>
      </c>
      <c r="Q469" s="41" t="s">
        <v>278</v>
      </c>
      <c r="R469" s="41" t="s">
        <v>132</v>
      </c>
      <c r="S469" s="41" t="s">
        <v>40</v>
      </c>
      <c r="T469" s="41" t="s">
        <v>40</v>
      </c>
      <c r="U469" s="41" t="s">
        <v>40</v>
      </c>
    </row>
    <row r="470" spans="1:21">
      <c r="A470" s="41">
        <v>2480</v>
      </c>
      <c r="B470" s="41" t="s">
        <v>2429</v>
      </c>
      <c r="D470" s="41">
        <v>5714</v>
      </c>
      <c r="E470" s="41" t="s">
        <v>2430</v>
      </c>
      <c r="F470" s="41" t="s">
        <v>53</v>
      </c>
      <c r="G470" s="41" t="s">
        <v>796</v>
      </c>
      <c r="I470" s="41">
        <v>0</v>
      </c>
      <c r="J470" s="41" t="s">
        <v>32</v>
      </c>
      <c r="K470" s="42"/>
      <c r="L470" s="41" t="s">
        <v>2431</v>
      </c>
      <c r="M470" s="41">
        <v>220</v>
      </c>
      <c r="N470" s="41" t="s">
        <v>2432</v>
      </c>
      <c r="O470" s="41" t="s">
        <v>2433</v>
      </c>
      <c r="P470" s="41" t="s">
        <v>37</v>
      </c>
      <c r="Q470" s="41" t="s">
        <v>264</v>
      </c>
      <c r="R470" s="41" t="s">
        <v>62</v>
      </c>
      <c r="S470" s="41" t="s">
        <v>40</v>
      </c>
      <c r="T470" s="41" t="s">
        <v>40</v>
      </c>
      <c r="U470" s="41" t="s">
        <v>40</v>
      </c>
    </row>
    <row r="471" spans="1:21">
      <c r="A471" s="41">
        <v>2479</v>
      </c>
      <c r="B471" s="41" t="s">
        <v>2429</v>
      </c>
      <c r="E471" s="41" t="s">
        <v>2434</v>
      </c>
      <c r="F471" s="41" t="s">
        <v>53</v>
      </c>
      <c r="G471" s="41" t="s">
        <v>43</v>
      </c>
      <c r="I471" s="41" t="s">
        <v>56</v>
      </c>
      <c r="J471" s="41" t="s">
        <v>32</v>
      </c>
      <c r="K471" s="42"/>
      <c r="L471" s="41" t="s">
        <v>2435</v>
      </c>
      <c r="M471" s="41">
        <v>220</v>
      </c>
      <c r="N471" s="41" t="s">
        <v>2432</v>
      </c>
      <c r="O471" s="41" t="s">
        <v>1376</v>
      </c>
      <c r="P471" s="41" t="s">
        <v>37</v>
      </c>
      <c r="Q471" s="41" t="s">
        <v>264</v>
      </c>
      <c r="R471" s="41" t="s">
        <v>62</v>
      </c>
      <c r="S471" s="41" t="s">
        <v>40</v>
      </c>
      <c r="T471" s="41" t="s">
        <v>40</v>
      </c>
      <c r="U471" s="41" t="s">
        <v>40</v>
      </c>
    </row>
    <row r="472" spans="1:21">
      <c r="A472" s="41">
        <v>2478</v>
      </c>
      <c r="B472" s="41" t="s">
        <v>2436</v>
      </c>
      <c r="D472" s="41">
        <v>5710</v>
      </c>
      <c r="E472" s="41" t="s">
        <v>2437</v>
      </c>
      <c r="F472" s="41" t="s">
        <v>42</v>
      </c>
      <c r="G472" s="41" t="s">
        <v>141</v>
      </c>
      <c r="I472" s="41">
        <v>0</v>
      </c>
      <c r="J472" s="41" t="s">
        <v>32</v>
      </c>
      <c r="K472" s="42"/>
      <c r="L472" s="41" t="s">
        <v>2438</v>
      </c>
      <c r="M472" s="41">
        <v>220</v>
      </c>
      <c r="N472" s="41" t="s">
        <v>67</v>
      </c>
      <c r="O472" s="41" t="s">
        <v>2439</v>
      </c>
      <c r="P472" s="41" t="s">
        <v>68</v>
      </c>
      <c r="Q472" s="41" t="s">
        <v>2440</v>
      </c>
      <c r="R472" s="41" t="s">
        <v>39</v>
      </c>
      <c r="S472" s="41" t="s">
        <v>40</v>
      </c>
      <c r="T472" s="41" t="s">
        <v>2246</v>
      </c>
      <c r="U472" s="41" t="s">
        <v>40</v>
      </c>
    </row>
    <row r="473" spans="1:21">
      <c r="A473" s="41">
        <v>2477</v>
      </c>
      <c r="B473" s="41" t="s">
        <v>2441</v>
      </c>
      <c r="D473" s="41">
        <v>5698</v>
      </c>
      <c r="E473" s="41" t="s">
        <v>1395</v>
      </c>
      <c r="F473" s="41" t="s">
        <v>28</v>
      </c>
      <c r="G473" s="41" t="s">
        <v>301</v>
      </c>
      <c r="I473" s="41">
        <v>0</v>
      </c>
      <c r="J473" s="41" t="s">
        <v>32</v>
      </c>
      <c r="K473" s="42"/>
      <c r="L473" s="41" t="s">
        <v>2442</v>
      </c>
      <c r="M473" s="41">
        <v>33</v>
      </c>
      <c r="N473" s="41" t="s">
        <v>1980</v>
      </c>
      <c r="O473" s="41" t="s">
        <v>2443</v>
      </c>
      <c r="P473" s="41" t="s">
        <v>68</v>
      </c>
      <c r="Q473" s="41" t="s">
        <v>69</v>
      </c>
      <c r="R473" s="41" t="s">
        <v>39</v>
      </c>
      <c r="S473" s="41" t="s">
        <v>2444</v>
      </c>
      <c r="T473" s="41" t="s">
        <v>1289</v>
      </c>
      <c r="U473" s="41" t="s">
        <v>40</v>
      </c>
    </row>
    <row r="474" spans="1:21">
      <c r="A474" s="41">
        <v>2476</v>
      </c>
      <c r="B474" s="41" t="s">
        <v>2441</v>
      </c>
      <c r="D474" s="41">
        <v>5699</v>
      </c>
      <c r="E474" s="41" t="s">
        <v>1395</v>
      </c>
      <c r="F474" s="41" t="s">
        <v>42</v>
      </c>
      <c r="G474" s="41" t="s">
        <v>1175</v>
      </c>
      <c r="I474" s="41">
        <v>0</v>
      </c>
      <c r="J474" s="41" t="s">
        <v>32</v>
      </c>
      <c r="K474" s="42"/>
      <c r="L474" s="41" t="s">
        <v>2442</v>
      </c>
      <c r="M474" s="41">
        <v>33</v>
      </c>
      <c r="N474" s="41" t="s">
        <v>1980</v>
      </c>
      <c r="O474" s="41" t="s">
        <v>2443</v>
      </c>
      <c r="P474" s="41" t="s">
        <v>68</v>
      </c>
      <c r="Q474" s="41" t="s">
        <v>69</v>
      </c>
      <c r="R474" s="41" t="s">
        <v>39</v>
      </c>
      <c r="S474" s="41" t="s">
        <v>40</v>
      </c>
      <c r="T474" s="41" t="s">
        <v>40</v>
      </c>
      <c r="U474" s="41" t="s">
        <v>40</v>
      </c>
    </row>
    <row r="475" spans="1:21">
      <c r="A475" s="41">
        <v>2475</v>
      </c>
      <c r="B475" s="41" t="s">
        <v>2445</v>
      </c>
      <c r="D475" s="41">
        <v>5697</v>
      </c>
      <c r="E475" s="41" t="s">
        <v>2446</v>
      </c>
      <c r="F475" s="41" t="s">
        <v>42</v>
      </c>
      <c r="G475" s="41" t="s">
        <v>121</v>
      </c>
      <c r="I475" s="41">
        <v>0</v>
      </c>
      <c r="J475" s="41" t="s">
        <v>32</v>
      </c>
      <c r="K475" s="42"/>
      <c r="L475" s="41" t="s">
        <v>2447</v>
      </c>
      <c r="M475" s="41">
        <v>23</v>
      </c>
      <c r="N475" s="41" t="s">
        <v>2448</v>
      </c>
      <c r="O475" s="41" t="s">
        <v>2449</v>
      </c>
      <c r="P475" s="41" t="s">
        <v>172</v>
      </c>
      <c r="Q475" s="41" t="s">
        <v>253</v>
      </c>
      <c r="R475" s="41" t="s">
        <v>39</v>
      </c>
      <c r="S475" s="41" t="s">
        <v>40</v>
      </c>
      <c r="T475" s="41" t="s">
        <v>1773</v>
      </c>
      <c r="U475" s="41" t="s">
        <v>40</v>
      </c>
    </row>
    <row r="476" spans="1:21">
      <c r="A476" s="41">
        <v>2474</v>
      </c>
      <c r="B476" s="41" t="s">
        <v>2450</v>
      </c>
      <c r="D476" s="41">
        <v>5695</v>
      </c>
      <c r="E476" s="41" t="s">
        <v>1227</v>
      </c>
      <c r="F476" s="41" t="s">
        <v>53</v>
      </c>
      <c r="G476" s="41" t="s">
        <v>64</v>
      </c>
      <c r="I476" s="41">
        <v>0</v>
      </c>
      <c r="J476" s="41" t="s">
        <v>32</v>
      </c>
      <c r="K476" s="42"/>
      <c r="L476" s="41" t="s">
        <v>2451</v>
      </c>
      <c r="M476" s="41">
        <v>500</v>
      </c>
      <c r="N476" s="41" t="s">
        <v>1335</v>
      </c>
      <c r="O476" s="41" t="s">
        <v>2452</v>
      </c>
      <c r="P476" s="41" t="s">
        <v>98</v>
      </c>
      <c r="Q476" s="41" t="s">
        <v>116</v>
      </c>
      <c r="R476" s="41" t="s">
        <v>62</v>
      </c>
      <c r="S476" s="41" t="s">
        <v>40</v>
      </c>
      <c r="T476" s="41" t="s">
        <v>40</v>
      </c>
      <c r="U476" s="41" t="s">
        <v>40</v>
      </c>
    </row>
    <row r="477" spans="1:21">
      <c r="A477" s="41">
        <v>2473</v>
      </c>
      <c r="B477" s="41" t="s">
        <v>2453</v>
      </c>
      <c r="D477" s="41">
        <v>5696</v>
      </c>
      <c r="E477" s="41" t="s">
        <v>1385</v>
      </c>
      <c r="F477" s="41" t="s">
        <v>28</v>
      </c>
      <c r="G477" s="41" t="s">
        <v>64</v>
      </c>
      <c r="I477" s="41" t="s">
        <v>2454</v>
      </c>
      <c r="J477" s="41" t="s">
        <v>380</v>
      </c>
      <c r="K477" s="42"/>
      <c r="L477" s="41" t="s">
        <v>2455</v>
      </c>
      <c r="M477" s="41">
        <v>220</v>
      </c>
      <c r="N477" s="41" t="s">
        <v>311</v>
      </c>
      <c r="O477" s="41" t="s">
        <v>311</v>
      </c>
      <c r="P477" s="41" t="s">
        <v>83</v>
      </c>
      <c r="Q477" s="41" t="s">
        <v>2456</v>
      </c>
      <c r="R477" s="41" t="s">
        <v>39</v>
      </c>
      <c r="S477" s="41" t="s">
        <v>40</v>
      </c>
      <c r="T477" s="41" t="s">
        <v>40</v>
      </c>
      <c r="U477" s="41" t="s">
        <v>40</v>
      </c>
    </row>
    <row r="478" spans="1:21">
      <c r="A478" s="41">
        <v>2472</v>
      </c>
      <c r="B478" s="41" t="s">
        <v>2457</v>
      </c>
      <c r="D478" s="41">
        <v>5693</v>
      </c>
      <c r="E478" s="41" t="s">
        <v>2458</v>
      </c>
      <c r="F478" s="41" t="s">
        <v>53</v>
      </c>
      <c r="G478" s="41" t="s">
        <v>141</v>
      </c>
      <c r="I478" s="41">
        <v>0</v>
      </c>
      <c r="J478" s="41" t="s">
        <v>672</v>
      </c>
      <c r="K478" s="42"/>
      <c r="L478" s="41" t="s">
        <v>2459</v>
      </c>
      <c r="M478" s="41">
        <v>12</v>
      </c>
      <c r="N478" s="41" t="s">
        <v>2460</v>
      </c>
      <c r="O478" s="41" t="s">
        <v>402</v>
      </c>
      <c r="P478" s="41" t="s">
        <v>78</v>
      </c>
      <c r="Q478" s="41" t="s">
        <v>2407</v>
      </c>
      <c r="R478" s="41" t="s">
        <v>132</v>
      </c>
      <c r="S478" s="41" t="s">
        <v>2461</v>
      </c>
      <c r="T478" s="41" t="s">
        <v>2145</v>
      </c>
      <c r="U478" s="41" t="s">
        <v>40</v>
      </c>
    </row>
    <row r="479" spans="1:21">
      <c r="A479" s="41">
        <v>2471</v>
      </c>
      <c r="B479" s="41" t="s">
        <v>2462</v>
      </c>
      <c r="D479" s="41">
        <v>5692</v>
      </c>
      <c r="E479" s="41" t="s">
        <v>2463</v>
      </c>
      <c r="F479" s="41" t="s">
        <v>42</v>
      </c>
      <c r="G479" s="41" t="s">
        <v>121</v>
      </c>
      <c r="I479" s="41">
        <v>0</v>
      </c>
      <c r="J479" s="41" t="s">
        <v>295</v>
      </c>
      <c r="K479" s="42"/>
      <c r="L479" s="41" t="s">
        <v>2464</v>
      </c>
      <c r="M479" s="41">
        <v>33</v>
      </c>
      <c r="N479" s="41" t="s">
        <v>2465</v>
      </c>
      <c r="O479" s="41" t="s">
        <v>36</v>
      </c>
      <c r="P479" s="41" t="s">
        <v>60</v>
      </c>
      <c r="Q479" s="41" t="s">
        <v>608</v>
      </c>
      <c r="R479" s="41" t="s">
        <v>39</v>
      </c>
      <c r="S479" s="41" t="s">
        <v>40</v>
      </c>
      <c r="T479" s="41" t="s">
        <v>1773</v>
      </c>
      <c r="U479" s="41" t="s">
        <v>40</v>
      </c>
    </row>
    <row r="480" spans="1:21">
      <c r="A480" s="41">
        <v>2470</v>
      </c>
      <c r="B480" s="41" t="s">
        <v>2466</v>
      </c>
      <c r="D480" s="41">
        <v>5688</v>
      </c>
      <c r="E480" s="41" t="s">
        <v>1227</v>
      </c>
      <c r="F480" s="41" t="s">
        <v>53</v>
      </c>
      <c r="G480" s="41" t="s">
        <v>141</v>
      </c>
      <c r="I480" s="41">
        <v>0</v>
      </c>
      <c r="J480" s="41" t="s">
        <v>32</v>
      </c>
      <c r="K480" s="42"/>
      <c r="L480" s="41" t="s">
        <v>2467</v>
      </c>
      <c r="M480" s="41">
        <v>154</v>
      </c>
      <c r="N480" s="41" t="s">
        <v>67</v>
      </c>
      <c r="O480" s="41" t="s">
        <v>2468</v>
      </c>
      <c r="P480" s="41" t="s">
        <v>334</v>
      </c>
      <c r="Q480" s="41" t="s">
        <v>2469</v>
      </c>
      <c r="R480" s="41" t="s">
        <v>132</v>
      </c>
      <c r="S480" s="41" t="s">
        <v>2470</v>
      </c>
      <c r="T480" s="41" t="s">
        <v>1890</v>
      </c>
      <c r="U480" s="41" t="s">
        <v>40</v>
      </c>
    </row>
    <row r="481" spans="1:21">
      <c r="A481" s="41">
        <v>2469</v>
      </c>
      <c r="B481" s="41" t="s">
        <v>2471</v>
      </c>
      <c r="D481" s="41">
        <v>5687</v>
      </c>
      <c r="E481" s="41" t="s">
        <v>998</v>
      </c>
      <c r="F481" s="41" t="s">
        <v>53</v>
      </c>
      <c r="G481" s="41" t="s">
        <v>1071</v>
      </c>
      <c r="I481" s="41">
        <v>0</v>
      </c>
      <c r="J481" s="41" t="s">
        <v>672</v>
      </c>
      <c r="K481" s="42"/>
      <c r="L481" s="41" t="s">
        <v>2472</v>
      </c>
      <c r="M481" s="41">
        <v>23</v>
      </c>
      <c r="N481" s="41" t="s">
        <v>1009</v>
      </c>
      <c r="O481" s="41" t="s">
        <v>2473</v>
      </c>
      <c r="P481" s="41" t="s">
        <v>68</v>
      </c>
      <c r="Q481" s="41" t="s">
        <v>1750</v>
      </c>
      <c r="R481" s="41" t="s">
        <v>132</v>
      </c>
      <c r="S481" s="41" t="s">
        <v>40</v>
      </c>
      <c r="T481" s="41" t="s">
        <v>40</v>
      </c>
      <c r="U481" s="41" t="s">
        <v>40</v>
      </c>
    </row>
    <row r="482" spans="1:21">
      <c r="A482" s="41">
        <v>2468</v>
      </c>
      <c r="B482" s="41" t="s">
        <v>2474</v>
      </c>
      <c r="D482" s="41">
        <v>5686</v>
      </c>
      <c r="E482" s="41" t="s">
        <v>998</v>
      </c>
      <c r="F482" s="41" t="s">
        <v>53</v>
      </c>
      <c r="G482" s="41" t="s">
        <v>1071</v>
      </c>
      <c r="I482" s="41">
        <v>0</v>
      </c>
      <c r="J482" s="41" t="s">
        <v>672</v>
      </c>
      <c r="K482" s="42"/>
      <c r="L482" s="41" t="s">
        <v>2472</v>
      </c>
      <c r="M482" s="41">
        <v>23</v>
      </c>
      <c r="N482" s="41" t="s">
        <v>1009</v>
      </c>
      <c r="O482" s="41" t="s">
        <v>2475</v>
      </c>
      <c r="P482" s="41" t="s">
        <v>68</v>
      </c>
      <c r="Q482" s="41" t="s">
        <v>1750</v>
      </c>
      <c r="R482" s="41" t="s">
        <v>132</v>
      </c>
      <c r="S482" s="41" t="s">
        <v>40</v>
      </c>
      <c r="T482" s="41" t="s">
        <v>40</v>
      </c>
      <c r="U482" s="41" t="s">
        <v>40</v>
      </c>
    </row>
    <row r="483" spans="1:21">
      <c r="A483" s="41">
        <v>2467</v>
      </c>
      <c r="B483" s="41" t="s">
        <v>2476</v>
      </c>
      <c r="D483" s="41">
        <v>5685</v>
      </c>
      <c r="E483" s="41" t="s">
        <v>998</v>
      </c>
      <c r="F483" s="41" t="s">
        <v>53</v>
      </c>
      <c r="G483" s="41" t="s">
        <v>1071</v>
      </c>
      <c r="I483" s="41" t="s">
        <v>2477</v>
      </c>
      <c r="J483" s="41" t="s">
        <v>672</v>
      </c>
      <c r="K483" s="42"/>
      <c r="L483" s="41" t="s">
        <v>2472</v>
      </c>
      <c r="M483" s="41">
        <v>23</v>
      </c>
      <c r="N483" s="41" t="s">
        <v>1009</v>
      </c>
      <c r="O483" s="41" t="s">
        <v>2478</v>
      </c>
      <c r="P483" s="41" t="s">
        <v>68</v>
      </c>
      <c r="Q483" s="41" t="s">
        <v>1750</v>
      </c>
      <c r="R483" s="41" t="s">
        <v>132</v>
      </c>
      <c r="S483" s="41" t="s">
        <v>40</v>
      </c>
      <c r="T483" s="41" t="s">
        <v>40</v>
      </c>
      <c r="U483" s="41" t="s">
        <v>40</v>
      </c>
    </row>
    <row r="484" spans="1:21">
      <c r="A484" s="41">
        <v>2466</v>
      </c>
      <c r="B484" s="41" t="s">
        <v>2479</v>
      </c>
      <c r="D484" s="41">
        <v>5683</v>
      </c>
      <c r="E484" s="41" t="s">
        <v>1106</v>
      </c>
      <c r="F484" s="41" t="s">
        <v>53</v>
      </c>
      <c r="G484" s="41" t="s">
        <v>64</v>
      </c>
      <c r="I484" s="41">
        <v>0</v>
      </c>
      <c r="J484" s="41" t="s">
        <v>32</v>
      </c>
      <c r="K484" s="42"/>
      <c r="L484" s="41" t="s">
        <v>2480</v>
      </c>
      <c r="M484" s="41">
        <v>66</v>
      </c>
      <c r="N484" s="41" t="s">
        <v>1052</v>
      </c>
      <c r="O484" s="41" t="s">
        <v>1151</v>
      </c>
      <c r="P484" s="41" t="s">
        <v>334</v>
      </c>
      <c r="Q484" s="41" t="s">
        <v>1591</v>
      </c>
      <c r="R484" s="41" t="s">
        <v>132</v>
      </c>
      <c r="S484" s="41" t="s">
        <v>40</v>
      </c>
      <c r="T484" s="41" t="s">
        <v>40</v>
      </c>
      <c r="U484" s="41" t="s">
        <v>40</v>
      </c>
    </row>
    <row r="485" spans="1:21">
      <c r="A485" s="41">
        <v>2465</v>
      </c>
      <c r="B485" s="41" t="s">
        <v>2481</v>
      </c>
      <c r="D485" s="41">
        <v>5684</v>
      </c>
      <c r="E485" s="41" t="s">
        <v>1248</v>
      </c>
      <c r="F485" s="41" t="s">
        <v>53</v>
      </c>
      <c r="G485" s="41" t="s">
        <v>1071</v>
      </c>
      <c r="I485" s="41">
        <v>0</v>
      </c>
      <c r="J485" s="41" t="s">
        <v>672</v>
      </c>
      <c r="K485" s="42"/>
      <c r="L485" s="41" t="s">
        <v>2482</v>
      </c>
      <c r="M485" s="41">
        <v>23</v>
      </c>
      <c r="N485" s="41" t="s">
        <v>2014</v>
      </c>
      <c r="O485" s="41" t="s">
        <v>2483</v>
      </c>
      <c r="P485" s="41" t="s">
        <v>83</v>
      </c>
      <c r="Q485" s="41" t="s">
        <v>84</v>
      </c>
      <c r="R485" s="41" t="s">
        <v>132</v>
      </c>
      <c r="S485" s="41" t="s">
        <v>40</v>
      </c>
      <c r="T485" s="41" t="s">
        <v>40</v>
      </c>
      <c r="U485" s="41" t="s">
        <v>40</v>
      </c>
    </row>
    <row r="486" spans="1:21">
      <c r="A486" s="41">
        <v>2464</v>
      </c>
      <c r="B486" s="41" t="s">
        <v>2484</v>
      </c>
      <c r="D486" s="41">
        <v>5682</v>
      </c>
      <c r="E486" s="41" t="s">
        <v>1354</v>
      </c>
      <c r="F486" s="41" t="s">
        <v>28</v>
      </c>
      <c r="G486" s="41" t="s">
        <v>1300</v>
      </c>
      <c r="I486" s="41" t="s">
        <v>1520</v>
      </c>
      <c r="J486" s="41" t="s">
        <v>32</v>
      </c>
      <c r="K486" s="42"/>
      <c r="L486" s="41" t="s">
        <v>2485</v>
      </c>
      <c r="M486" s="41">
        <v>220</v>
      </c>
      <c r="N486" s="41" t="s">
        <v>67</v>
      </c>
      <c r="O486" s="41" t="s">
        <v>620</v>
      </c>
      <c r="P486" s="41" t="s">
        <v>68</v>
      </c>
      <c r="Q486" s="41" t="s">
        <v>699</v>
      </c>
      <c r="R486" s="41" t="s">
        <v>39</v>
      </c>
      <c r="S486" s="41" t="s">
        <v>40</v>
      </c>
      <c r="T486" s="41" t="s">
        <v>40</v>
      </c>
      <c r="U486" s="41" t="s">
        <v>40</v>
      </c>
    </row>
    <row r="487" spans="1:21">
      <c r="A487" s="41">
        <v>2463</v>
      </c>
      <c r="B487" s="41" t="s">
        <v>2486</v>
      </c>
      <c r="D487" s="41">
        <v>5680</v>
      </c>
      <c r="E487" s="41" t="s">
        <v>2487</v>
      </c>
      <c r="F487" s="41" t="s">
        <v>53</v>
      </c>
      <c r="G487" s="41" t="s">
        <v>141</v>
      </c>
      <c r="I487" s="41" t="s">
        <v>149</v>
      </c>
      <c r="J487" s="41" t="s">
        <v>32</v>
      </c>
      <c r="K487" s="42"/>
      <c r="L487" s="41" t="s">
        <v>2488</v>
      </c>
      <c r="M487" s="41">
        <v>13</v>
      </c>
      <c r="N487" s="41" t="s">
        <v>1052</v>
      </c>
      <c r="O487" s="41" t="s">
        <v>2275</v>
      </c>
      <c r="P487" s="41" t="s">
        <v>153</v>
      </c>
      <c r="Q487" s="41" t="s">
        <v>2489</v>
      </c>
      <c r="R487" s="41" t="s">
        <v>132</v>
      </c>
      <c r="S487" s="41" t="s">
        <v>2490</v>
      </c>
      <c r="T487" s="41" t="s">
        <v>2187</v>
      </c>
      <c r="U487" s="41" t="s">
        <v>40</v>
      </c>
    </row>
    <row r="488" spans="1:21">
      <c r="A488" s="41">
        <v>2462</v>
      </c>
      <c r="B488" s="41" t="s">
        <v>2491</v>
      </c>
      <c r="D488" s="41">
        <v>5681</v>
      </c>
      <c r="E488" s="41" t="s">
        <v>965</v>
      </c>
      <c r="F488" s="41" t="s">
        <v>53</v>
      </c>
      <c r="G488" s="41" t="s">
        <v>141</v>
      </c>
      <c r="I488" s="41" t="s">
        <v>411</v>
      </c>
      <c r="J488" s="41" t="s">
        <v>32</v>
      </c>
      <c r="K488" s="42"/>
      <c r="L488" s="41" t="s">
        <v>2492</v>
      </c>
      <c r="M488" s="41">
        <v>66</v>
      </c>
      <c r="N488" s="41" t="s">
        <v>1193</v>
      </c>
      <c r="O488" s="41" t="s">
        <v>482</v>
      </c>
      <c r="P488" s="41" t="s">
        <v>37</v>
      </c>
      <c r="Q488" s="41" t="s">
        <v>1125</v>
      </c>
      <c r="R488" s="41" t="s">
        <v>132</v>
      </c>
      <c r="S488" s="41" t="s">
        <v>2493</v>
      </c>
      <c r="T488" s="41" t="s">
        <v>1890</v>
      </c>
      <c r="U488" s="41" t="s">
        <v>40</v>
      </c>
    </row>
    <row r="489" spans="1:21">
      <c r="A489" s="41">
        <v>2461</v>
      </c>
      <c r="B489" s="41" t="s">
        <v>2494</v>
      </c>
      <c r="D489" s="41">
        <v>5666</v>
      </c>
      <c r="E489" s="41" t="s">
        <v>2495</v>
      </c>
      <c r="F489" s="41" t="s">
        <v>42</v>
      </c>
      <c r="G489" s="41" t="s">
        <v>141</v>
      </c>
      <c r="I489" s="41">
        <v>0</v>
      </c>
      <c r="J489" s="41" t="s">
        <v>295</v>
      </c>
      <c r="K489" s="42"/>
      <c r="L489" s="41" t="s">
        <v>2496</v>
      </c>
      <c r="M489" s="41">
        <v>33</v>
      </c>
      <c r="N489" s="41" t="s">
        <v>2497</v>
      </c>
      <c r="O489" s="41" t="s">
        <v>2498</v>
      </c>
      <c r="P489" s="41" t="s">
        <v>98</v>
      </c>
      <c r="Q489" s="41" t="s">
        <v>99</v>
      </c>
      <c r="R489" s="41" t="s">
        <v>39</v>
      </c>
      <c r="S489" s="41" t="s">
        <v>40</v>
      </c>
      <c r="T489" s="41" t="s">
        <v>1289</v>
      </c>
      <c r="U489" s="41" t="s">
        <v>40</v>
      </c>
    </row>
    <row r="490" spans="1:21">
      <c r="A490" s="41">
        <v>2460</v>
      </c>
      <c r="B490" s="41" t="s">
        <v>2499</v>
      </c>
      <c r="D490" s="41">
        <v>5665</v>
      </c>
      <c r="E490" s="41" t="s">
        <v>2495</v>
      </c>
      <c r="F490" s="41" t="s">
        <v>42</v>
      </c>
      <c r="G490" s="41" t="s">
        <v>141</v>
      </c>
      <c r="I490" s="41">
        <v>0</v>
      </c>
      <c r="J490" s="41" t="s">
        <v>32</v>
      </c>
      <c r="K490" s="42"/>
      <c r="L490" s="41" t="s">
        <v>2496</v>
      </c>
      <c r="M490" s="41">
        <v>220</v>
      </c>
      <c r="N490" s="41" t="s">
        <v>1693</v>
      </c>
      <c r="O490" s="41" t="s">
        <v>1225</v>
      </c>
      <c r="P490" s="41" t="s">
        <v>98</v>
      </c>
      <c r="Q490" s="41" t="s">
        <v>99</v>
      </c>
      <c r="R490" s="41" t="s">
        <v>39</v>
      </c>
      <c r="S490" s="41" t="s">
        <v>40</v>
      </c>
      <c r="T490" s="41" t="s">
        <v>1894</v>
      </c>
      <c r="U490" s="41" t="s">
        <v>40</v>
      </c>
    </row>
    <row r="491" spans="1:21">
      <c r="A491" s="41">
        <v>2459</v>
      </c>
      <c r="B491" s="41" t="s">
        <v>2500</v>
      </c>
      <c r="D491" s="41">
        <v>5679</v>
      </c>
      <c r="E491" s="41" t="s">
        <v>2501</v>
      </c>
      <c r="F491" s="41" t="s">
        <v>53</v>
      </c>
      <c r="G491" s="41" t="s">
        <v>64</v>
      </c>
      <c r="I491" s="41" t="s">
        <v>56</v>
      </c>
      <c r="J491" s="41" t="s">
        <v>672</v>
      </c>
      <c r="K491" s="42"/>
      <c r="L491" s="41" t="s">
        <v>2502</v>
      </c>
      <c r="M491" s="41">
        <v>220</v>
      </c>
      <c r="N491" s="41" t="s">
        <v>2503</v>
      </c>
      <c r="O491" s="41" t="s">
        <v>2504</v>
      </c>
      <c r="P491" s="41" t="s">
        <v>83</v>
      </c>
      <c r="Q491" s="41" t="s">
        <v>1206</v>
      </c>
      <c r="R491" s="41" t="s">
        <v>62</v>
      </c>
      <c r="S491" s="41" t="s">
        <v>40</v>
      </c>
      <c r="T491" s="41" t="s">
        <v>40</v>
      </c>
      <c r="U491" s="41" t="s">
        <v>40</v>
      </c>
    </row>
    <row r="492" spans="1:21">
      <c r="A492" s="41">
        <v>2458</v>
      </c>
      <c r="B492" s="41" t="s">
        <v>2505</v>
      </c>
      <c r="D492" s="41">
        <v>5653</v>
      </c>
      <c r="E492" s="41" t="s">
        <v>1091</v>
      </c>
      <c r="F492" s="41" t="s">
        <v>53</v>
      </c>
      <c r="G492" s="41" t="s">
        <v>141</v>
      </c>
      <c r="I492" s="41" t="s">
        <v>1092</v>
      </c>
      <c r="J492" s="41" t="s">
        <v>672</v>
      </c>
      <c r="K492" s="42"/>
      <c r="L492" s="41" t="s">
        <v>2160</v>
      </c>
      <c r="M492" s="41">
        <v>12</v>
      </c>
      <c r="N492" s="41" t="s">
        <v>2506</v>
      </c>
      <c r="O492" s="41" t="s">
        <v>2507</v>
      </c>
      <c r="P492" s="41" t="s">
        <v>68</v>
      </c>
      <c r="Q492" s="41" t="s">
        <v>2163</v>
      </c>
      <c r="R492" s="41" t="s">
        <v>132</v>
      </c>
      <c r="S492" s="41" t="s">
        <v>2508</v>
      </c>
      <c r="T492" s="41" t="s">
        <v>1699</v>
      </c>
      <c r="U492" s="41" t="s">
        <v>40</v>
      </c>
    </row>
    <row r="493" spans="1:21">
      <c r="A493" s="41">
        <v>2457</v>
      </c>
      <c r="B493" s="41" t="s">
        <v>2509</v>
      </c>
      <c r="D493" s="41">
        <v>5654</v>
      </c>
      <c r="E493" s="41" t="s">
        <v>1106</v>
      </c>
      <c r="F493" s="41" t="s">
        <v>53</v>
      </c>
      <c r="G493" s="41" t="s">
        <v>307</v>
      </c>
      <c r="I493" s="41" t="s">
        <v>1966</v>
      </c>
      <c r="J493" s="41" t="s">
        <v>32</v>
      </c>
      <c r="K493" s="42"/>
      <c r="L493" s="41" t="s">
        <v>2510</v>
      </c>
      <c r="M493" s="41">
        <v>23</v>
      </c>
      <c r="N493" s="41" t="s">
        <v>1052</v>
      </c>
      <c r="O493" s="41" t="s">
        <v>1194</v>
      </c>
      <c r="P493" s="41" t="s">
        <v>334</v>
      </c>
      <c r="Q493" s="41" t="s">
        <v>1591</v>
      </c>
      <c r="R493" s="41" t="s">
        <v>132</v>
      </c>
      <c r="S493" s="41" t="s">
        <v>2511</v>
      </c>
      <c r="T493" s="41" t="s">
        <v>2512</v>
      </c>
      <c r="U493" s="41" t="s">
        <v>40</v>
      </c>
    </row>
    <row r="494" spans="1:21">
      <c r="A494" s="41">
        <v>2456</v>
      </c>
      <c r="B494" s="41" t="s">
        <v>2513</v>
      </c>
      <c r="D494" s="41">
        <v>5655</v>
      </c>
      <c r="E494" s="41" t="s">
        <v>2501</v>
      </c>
      <c r="F494" s="41" t="s">
        <v>53</v>
      </c>
      <c r="G494" s="41" t="s">
        <v>64</v>
      </c>
      <c r="I494" s="41" t="s">
        <v>149</v>
      </c>
      <c r="J494" s="41" t="s">
        <v>32</v>
      </c>
      <c r="K494" s="42"/>
      <c r="L494" s="41" t="s">
        <v>2514</v>
      </c>
      <c r="M494" s="41">
        <v>110</v>
      </c>
      <c r="N494" s="41" t="s">
        <v>59</v>
      </c>
      <c r="O494" s="41" t="s">
        <v>178</v>
      </c>
      <c r="P494" s="41" t="s">
        <v>83</v>
      </c>
      <c r="Q494" s="41" t="s">
        <v>1206</v>
      </c>
      <c r="R494" s="41" t="s">
        <v>132</v>
      </c>
      <c r="S494" s="41" t="s">
        <v>40</v>
      </c>
      <c r="T494" s="41" t="s">
        <v>40</v>
      </c>
      <c r="U494" s="41" t="s">
        <v>40</v>
      </c>
    </row>
    <row r="495" spans="1:21">
      <c r="A495" s="41">
        <v>2455</v>
      </c>
      <c r="B495" s="41" t="s">
        <v>2515</v>
      </c>
      <c r="D495" s="41">
        <v>5656</v>
      </c>
      <c r="E495" s="41" t="s">
        <v>1270</v>
      </c>
      <c r="F495" s="41" t="s">
        <v>53</v>
      </c>
      <c r="G495" s="41" t="s">
        <v>141</v>
      </c>
      <c r="I495" s="41" t="s">
        <v>399</v>
      </c>
      <c r="J495" s="41" t="s">
        <v>32</v>
      </c>
      <c r="K495" s="42"/>
      <c r="L495" s="41" t="s">
        <v>2516</v>
      </c>
      <c r="M495" s="41">
        <v>13</v>
      </c>
      <c r="N495" s="41" t="s">
        <v>2517</v>
      </c>
      <c r="O495" s="41" t="s">
        <v>2518</v>
      </c>
      <c r="P495" s="41" t="s">
        <v>179</v>
      </c>
      <c r="Q495" s="41" t="s">
        <v>1116</v>
      </c>
      <c r="R495" s="41" t="s">
        <v>62</v>
      </c>
      <c r="S495" s="41" t="s">
        <v>2519</v>
      </c>
      <c r="T495" s="41" t="s">
        <v>1890</v>
      </c>
      <c r="U495" s="41" t="s">
        <v>40</v>
      </c>
    </row>
    <row r="496" spans="1:21">
      <c r="A496" s="41">
        <v>2454</v>
      </c>
      <c r="B496" s="41" t="s">
        <v>2520</v>
      </c>
      <c r="D496" s="41">
        <v>5661</v>
      </c>
      <c r="E496" s="41" t="s">
        <v>2521</v>
      </c>
      <c r="F496" s="41" t="s">
        <v>28</v>
      </c>
      <c r="G496" s="41" t="s">
        <v>301</v>
      </c>
      <c r="I496" s="41" t="s">
        <v>406</v>
      </c>
      <c r="J496" s="41" t="s">
        <v>672</v>
      </c>
      <c r="K496" s="42"/>
      <c r="L496" s="41" t="s">
        <v>2522</v>
      </c>
      <c r="M496" s="41">
        <v>23</v>
      </c>
      <c r="N496" s="41" t="s">
        <v>1026</v>
      </c>
      <c r="O496" s="41" t="s">
        <v>2523</v>
      </c>
      <c r="P496" s="41" t="s">
        <v>98</v>
      </c>
      <c r="Q496" s="41" t="s">
        <v>98</v>
      </c>
      <c r="R496" s="41" t="s">
        <v>39</v>
      </c>
      <c r="S496" s="41" t="s">
        <v>2524</v>
      </c>
      <c r="T496" s="41" t="s">
        <v>1773</v>
      </c>
      <c r="U496" s="41" t="s">
        <v>40</v>
      </c>
    </row>
    <row r="497" spans="1:21">
      <c r="A497" s="41">
        <v>2453</v>
      </c>
      <c r="B497" s="41" t="s">
        <v>2525</v>
      </c>
      <c r="D497" s="41">
        <v>5657</v>
      </c>
      <c r="E497" s="41" t="s">
        <v>2526</v>
      </c>
      <c r="F497" s="41" t="s">
        <v>53</v>
      </c>
      <c r="G497" s="41" t="s">
        <v>760</v>
      </c>
      <c r="I497" s="41" t="s">
        <v>194</v>
      </c>
      <c r="J497" s="41" t="s">
        <v>32</v>
      </c>
      <c r="K497" s="42"/>
      <c r="L497" s="41" t="s">
        <v>2527</v>
      </c>
      <c r="M497" s="41">
        <v>13</v>
      </c>
      <c r="N497" s="41" t="s">
        <v>2528</v>
      </c>
      <c r="O497" s="41" t="s">
        <v>2529</v>
      </c>
      <c r="P497" s="41" t="s">
        <v>153</v>
      </c>
      <c r="Q497" s="41" t="s">
        <v>153</v>
      </c>
      <c r="R497" s="41" t="s">
        <v>62</v>
      </c>
      <c r="S497" s="41" t="s">
        <v>40</v>
      </c>
      <c r="T497" s="41" t="s">
        <v>40</v>
      </c>
      <c r="U497" s="41" t="s">
        <v>40</v>
      </c>
    </row>
    <row r="498" spans="1:21">
      <c r="A498" s="41">
        <v>2452</v>
      </c>
      <c r="B498" s="41" t="s">
        <v>2530</v>
      </c>
      <c r="D498" s="41">
        <v>5658</v>
      </c>
      <c r="E498" s="41" t="s">
        <v>2531</v>
      </c>
      <c r="F498" s="41" t="s">
        <v>53</v>
      </c>
      <c r="G498" s="41" t="s">
        <v>54</v>
      </c>
      <c r="I498" s="41" t="s">
        <v>194</v>
      </c>
      <c r="J498" s="41" t="s">
        <v>32</v>
      </c>
      <c r="K498" s="42"/>
      <c r="L498" s="41" t="s">
        <v>2532</v>
      </c>
      <c r="M498" s="41">
        <v>15</v>
      </c>
      <c r="N498" s="41" t="s">
        <v>59</v>
      </c>
      <c r="O498" s="41" t="s">
        <v>402</v>
      </c>
      <c r="P498" s="41" t="s">
        <v>60</v>
      </c>
      <c r="Q498" s="41" t="s">
        <v>1344</v>
      </c>
      <c r="R498" s="41" t="s">
        <v>132</v>
      </c>
      <c r="S498" s="41" t="s">
        <v>40</v>
      </c>
      <c r="T498" s="41" t="s">
        <v>40</v>
      </c>
      <c r="U498" s="41" t="s">
        <v>40</v>
      </c>
    </row>
    <row r="499" spans="1:21">
      <c r="A499" s="41">
        <v>2451</v>
      </c>
      <c r="B499" s="41" t="s">
        <v>2533</v>
      </c>
      <c r="D499" s="41">
        <v>5662</v>
      </c>
      <c r="E499" s="41" t="s">
        <v>2534</v>
      </c>
      <c r="F499" s="41" t="s">
        <v>42</v>
      </c>
      <c r="G499" s="41" t="s">
        <v>1197</v>
      </c>
      <c r="I499" s="41">
        <v>0</v>
      </c>
      <c r="J499" s="41" t="s">
        <v>32</v>
      </c>
      <c r="K499" s="42"/>
      <c r="L499" s="41" t="s">
        <v>2535</v>
      </c>
      <c r="M499" s="41">
        <v>33</v>
      </c>
      <c r="N499" s="41" t="s">
        <v>1052</v>
      </c>
      <c r="O499" s="41" t="s">
        <v>36</v>
      </c>
      <c r="P499" s="41" t="s">
        <v>98</v>
      </c>
      <c r="Q499" s="41" t="s">
        <v>569</v>
      </c>
      <c r="R499" s="41" t="s">
        <v>39</v>
      </c>
      <c r="S499" s="41" t="s">
        <v>40</v>
      </c>
      <c r="T499" s="41" t="s">
        <v>40</v>
      </c>
      <c r="U499" s="41" t="s">
        <v>40</v>
      </c>
    </row>
    <row r="500" spans="1:21">
      <c r="A500" s="41">
        <v>2450</v>
      </c>
      <c r="B500" s="41" t="s">
        <v>2536</v>
      </c>
      <c r="D500" s="41">
        <v>5663</v>
      </c>
      <c r="E500" s="41" t="s">
        <v>1354</v>
      </c>
      <c r="F500" s="41" t="s">
        <v>42</v>
      </c>
      <c r="G500" s="41" t="s">
        <v>1175</v>
      </c>
      <c r="I500" s="41" t="s">
        <v>1480</v>
      </c>
      <c r="J500" s="41" t="s">
        <v>32</v>
      </c>
      <c r="K500" s="42"/>
      <c r="L500" s="41" t="s">
        <v>2537</v>
      </c>
      <c r="M500" s="41">
        <v>23</v>
      </c>
      <c r="N500" s="41" t="s">
        <v>290</v>
      </c>
      <c r="O500" s="41" t="s">
        <v>36</v>
      </c>
      <c r="P500" s="41" t="s">
        <v>153</v>
      </c>
      <c r="Q500" s="41" t="s">
        <v>1567</v>
      </c>
      <c r="R500" s="41" t="s">
        <v>39</v>
      </c>
      <c r="S500" s="41" t="s">
        <v>40</v>
      </c>
      <c r="T500" s="41" t="s">
        <v>40</v>
      </c>
      <c r="U500" s="41" t="s">
        <v>40</v>
      </c>
    </row>
    <row r="501" spans="1:21">
      <c r="A501" s="41">
        <v>2449</v>
      </c>
      <c r="B501" s="41" t="s">
        <v>2409</v>
      </c>
      <c r="D501" s="41">
        <v>5659</v>
      </c>
      <c r="E501" s="41" t="s">
        <v>2410</v>
      </c>
      <c r="F501" s="41" t="s">
        <v>53</v>
      </c>
      <c r="G501" s="41" t="s">
        <v>141</v>
      </c>
      <c r="I501" s="41" t="s">
        <v>102</v>
      </c>
      <c r="J501" s="41" t="s">
        <v>32</v>
      </c>
      <c r="K501" s="42"/>
      <c r="L501" s="41" t="s">
        <v>2411</v>
      </c>
      <c r="M501" s="41">
        <v>220</v>
      </c>
      <c r="N501" s="41" t="s">
        <v>2412</v>
      </c>
      <c r="O501" s="41" t="s">
        <v>2413</v>
      </c>
      <c r="P501" s="41" t="s">
        <v>98</v>
      </c>
      <c r="Q501" s="41" t="s">
        <v>204</v>
      </c>
      <c r="R501" s="41" t="s">
        <v>62</v>
      </c>
      <c r="S501" s="41" t="s">
        <v>2538</v>
      </c>
      <c r="T501" s="41" t="s">
        <v>2539</v>
      </c>
      <c r="U501" s="41" t="s">
        <v>40</v>
      </c>
    </row>
    <row r="502" spans="1:21">
      <c r="A502" s="41">
        <v>2448</v>
      </c>
      <c r="B502" s="41" t="s">
        <v>2540</v>
      </c>
      <c r="D502" s="41">
        <v>5664</v>
      </c>
      <c r="E502" s="41" t="s">
        <v>1118</v>
      </c>
      <c r="F502" s="41" t="s">
        <v>42</v>
      </c>
      <c r="G502" s="41" t="s">
        <v>121</v>
      </c>
      <c r="I502" s="41" t="s">
        <v>2541</v>
      </c>
      <c r="J502" s="41" t="s">
        <v>672</v>
      </c>
      <c r="K502" s="42"/>
      <c r="L502" s="41" t="s">
        <v>2542</v>
      </c>
      <c r="M502" s="41">
        <v>34</v>
      </c>
      <c r="N502" s="41" t="s">
        <v>67</v>
      </c>
      <c r="O502" s="41" t="s">
        <v>36</v>
      </c>
      <c r="P502" s="41" t="s">
        <v>98</v>
      </c>
      <c r="Q502" s="41" t="s">
        <v>569</v>
      </c>
      <c r="R502" s="41" t="s">
        <v>39</v>
      </c>
      <c r="S502" s="41" t="s">
        <v>2543</v>
      </c>
      <c r="T502" s="41" t="s">
        <v>770</v>
      </c>
      <c r="U502" s="41" t="s">
        <v>40</v>
      </c>
    </row>
    <row r="503" spans="1:21">
      <c r="A503" s="41">
        <v>2447</v>
      </c>
      <c r="B503" s="41" t="s">
        <v>2544</v>
      </c>
      <c r="D503" s="41">
        <v>5647</v>
      </c>
      <c r="E503" s="41" t="s">
        <v>1286</v>
      </c>
      <c r="F503" s="41" t="s">
        <v>28</v>
      </c>
      <c r="G503" s="41" t="s">
        <v>307</v>
      </c>
      <c r="I503" s="41" t="s">
        <v>45</v>
      </c>
      <c r="J503" s="41" t="s">
        <v>32</v>
      </c>
      <c r="K503" s="42"/>
      <c r="L503" s="41" t="s">
        <v>2545</v>
      </c>
      <c r="M503" s="41">
        <v>33</v>
      </c>
      <c r="N503" s="41" t="s">
        <v>2299</v>
      </c>
      <c r="O503" s="41" t="s">
        <v>2299</v>
      </c>
      <c r="P503" s="41" t="s">
        <v>98</v>
      </c>
      <c r="Q503" s="41" t="s">
        <v>204</v>
      </c>
      <c r="R503" s="41" t="s">
        <v>39</v>
      </c>
      <c r="S503" s="41" t="s">
        <v>2546</v>
      </c>
      <c r="T503" s="41" t="s">
        <v>1699</v>
      </c>
      <c r="U503" s="41" t="s">
        <v>40</v>
      </c>
    </row>
    <row r="504" spans="1:21">
      <c r="A504" s="41">
        <v>2446</v>
      </c>
      <c r="B504" s="41" t="s">
        <v>2544</v>
      </c>
      <c r="D504" s="41">
        <v>5646</v>
      </c>
      <c r="E504" s="41" t="s">
        <v>1286</v>
      </c>
      <c r="F504" s="41" t="s">
        <v>42</v>
      </c>
      <c r="G504" s="41" t="s">
        <v>43</v>
      </c>
      <c r="I504" s="41" t="s">
        <v>45</v>
      </c>
      <c r="J504" s="41" t="s">
        <v>32</v>
      </c>
      <c r="K504" s="42"/>
      <c r="L504" s="41" t="s">
        <v>2545</v>
      </c>
      <c r="M504" s="41">
        <v>33</v>
      </c>
      <c r="N504" s="41" t="s">
        <v>2299</v>
      </c>
      <c r="O504" s="41" t="s">
        <v>2299</v>
      </c>
      <c r="P504" s="41" t="s">
        <v>98</v>
      </c>
      <c r="Q504" s="41" t="s">
        <v>204</v>
      </c>
      <c r="R504" s="41" t="s">
        <v>39</v>
      </c>
      <c r="S504" s="41" t="s">
        <v>40</v>
      </c>
      <c r="T504" s="41" t="s">
        <v>40</v>
      </c>
      <c r="U504" s="41" t="s">
        <v>40</v>
      </c>
    </row>
    <row r="505" spans="1:21">
      <c r="A505" s="41">
        <v>2445</v>
      </c>
      <c r="B505" s="41" t="s">
        <v>2547</v>
      </c>
      <c r="D505" s="41">
        <v>5581</v>
      </c>
      <c r="E505" s="41" t="s">
        <v>1354</v>
      </c>
      <c r="F505" s="41" t="s">
        <v>42</v>
      </c>
      <c r="G505" s="41" t="s">
        <v>141</v>
      </c>
      <c r="I505" s="41" t="s">
        <v>2548</v>
      </c>
      <c r="J505" s="41" t="s">
        <v>32</v>
      </c>
      <c r="K505" s="42"/>
      <c r="L505" s="41" t="s">
        <v>2549</v>
      </c>
      <c r="M505" s="41">
        <v>220</v>
      </c>
      <c r="N505" s="41" t="s">
        <v>2550</v>
      </c>
      <c r="O505" s="41" t="s">
        <v>36</v>
      </c>
      <c r="P505" s="41" t="s">
        <v>382</v>
      </c>
      <c r="Q505" s="41" t="s">
        <v>446</v>
      </c>
      <c r="R505" s="41" t="s">
        <v>39</v>
      </c>
      <c r="S505" s="41" t="s">
        <v>40</v>
      </c>
      <c r="T505" s="41" t="s">
        <v>2101</v>
      </c>
      <c r="U505" s="41" t="s">
        <v>40</v>
      </c>
    </row>
    <row r="506" spans="1:21">
      <c r="A506" s="41">
        <v>2444</v>
      </c>
      <c r="B506" s="41" t="s">
        <v>2551</v>
      </c>
      <c r="D506" s="41">
        <v>5582</v>
      </c>
      <c r="E506" s="41" t="s">
        <v>1354</v>
      </c>
      <c r="F506" s="41" t="s">
        <v>42</v>
      </c>
      <c r="G506" s="41" t="s">
        <v>141</v>
      </c>
      <c r="I506" s="41" t="s">
        <v>1061</v>
      </c>
      <c r="J506" s="41" t="s">
        <v>32</v>
      </c>
      <c r="K506" s="42"/>
      <c r="L506" s="41" t="s">
        <v>2552</v>
      </c>
      <c r="M506" s="41">
        <v>23</v>
      </c>
      <c r="N506" s="41" t="s">
        <v>290</v>
      </c>
      <c r="O506" s="41" t="s">
        <v>36</v>
      </c>
      <c r="P506" s="41" t="s">
        <v>60</v>
      </c>
      <c r="Q506" s="41" t="s">
        <v>963</v>
      </c>
      <c r="R506" s="41" t="s">
        <v>39</v>
      </c>
      <c r="S506" s="41" t="s">
        <v>40</v>
      </c>
      <c r="T506" s="41" t="s">
        <v>2101</v>
      </c>
      <c r="U506" s="41" t="s">
        <v>40</v>
      </c>
    </row>
    <row r="507" spans="1:21">
      <c r="A507" s="41">
        <v>2443</v>
      </c>
      <c r="B507" s="41" t="s">
        <v>795</v>
      </c>
      <c r="C507" s="43">
        <v>1</v>
      </c>
      <c r="D507" s="41">
        <v>5570</v>
      </c>
      <c r="E507" s="41" t="s">
        <v>786</v>
      </c>
      <c r="F507" s="41" t="s">
        <v>53</v>
      </c>
      <c r="G507" s="41" t="s">
        <v>64</v>
      </c>
      <c r="I507" s="41" t="s">
        <v>45</v>
      </c>
      <c r="J507" s="41" t="s">
        <v>672</v>
      </c>
      <c r="K507" s="42"/>
      <c r="L507" s="41" t="s">
        <v>798</v>
      </c>
      <c r="M507" s="41">
        <v>220</v>
      </c>
      <c r="N507" s="41" t="s">
        <v>799</v>
      </c>
      <c r="O507" s="41" t="s">
        <v>757</v>
      </c>
      <c r="P507" s="41" t="s">
        <v>68</v>
      </c>
      <c r="Q507" s="41" t="s">
        <v>159</v>
      </c>
      <c r="R507" s="41" t="s">
        <v>62</v>
      </c>
      <c r="S507" s="41" t="s">
        <v>40</v>
      </c>
      <c r="T507" s="41" t="s">
        <v>40</v>
      </c>
      <c r="U507" s="41" t="s">
        <v>40</v>
      </c>
    </row>
    <row r="508" spans="1:21">
      <c r="A508" s="41">
        <v>2442</v>
      </c>
      <c r="B508" s="41" t="s">
        <v>2553</v>
      </c>
      <c r="D508" s="41">
        <v>5571</v>
      </c>
      <c r="E508" s="41" t="s">
        <v>2554</v>
      </c>
      <c r="F508" s="41" t="s">
        <v>53</v>
      </c>
      <c r="G508" s="41" t="s">
        <v>141</v>
      </c>
      <c r="I508" s="41" t="s">
        <v>2555</v>
      </c>
      <c r="J508" s="41" t="s">
        <v>32</v>
      </c>
      <c r="K508" s="42"/>
      <c r="L508" s="41" t="s">
        <v>2556</v>
      </c>
      <c r="M508" s="41">
        <v>220</v>
      </c>
      <c r="N508" s="41" t="s">
        <v>805</v>
      </c>
      <c r="O508" s="41" t="s">
        <v>2557</v>
      </c>
      <c r="P508" s="41" t="s">
        <v>98</v>
      </c>
      <c r="Q508" s="41" t="s">
        <v>98</v>
      </c>
      <c r="R508" s="41" t="s">
        <v>62</v>
      </c>
      <c r="S508" s="41" t="s">
        <v>2558</v>
      </c>
      <c r="T508" s="41" t="s">
        <v>186</v>
      </c>
      <c r="U508" s="41" t="s">
        <v>40</v>
      </c>
    </row>
    <row r="509" spans="1:21">
      <c r="A509" s="41">
        <v>2441</v>
      </c>
      <c r="B509" s="41" t="s">
        <v>2559</v>
      </c>
      <c r="D509" s="41">
        <v>5558</v>
      </c>
      <c r="E509" s="41" t="s">
        <v>1106</v>
      </c>
      <c r="F509" s="41" t="s">
        <v>53</v>
      </c>
      <c r="G509" s="41" t="s">
        <v>64</v>
      </c>
      <c r="I509" s="41" t="s">
        <v>1188</v>
      </c>
      <c r="J509" s="41" t="s">
        <v>32</v>
      </c>
      <c r="K509" s="42"/>
      <c r="L509" s="41" t="s">
        <v>2560</v>
      </c>
      <c r="M509" s="41">
        <v>220</v>
      </c>
      <c r="N509" s="41" t="s">
        <v>67</v>
      </c>
      <c r="O509" s="41" t="s">
        <v>2561</v>
      </c>
      <c r="P509" s="41" t="s">
        <v>68</v>
      </c>
      <c r="Q509" s="41" t="s">
        <v>677</v>
      </c>
      <c r="R509" s="41" t="s">
        <v>62</v>
      </c>
      <c r="S509" s="41" t="s">
        <v>40</v>
      </c>
      <c r="T509" s="41" t="s">
        <v>40</v>
      </c>
      <c r="U509" s="41" t="s">
        <v>40</v>
      </c>
    </row>
    <row r="510" spans="1:21">
      <c r="A510" s="41">
        <v>2440</v>
      </c>
      <c r="B510" s="41" t="s">
        <v>2562</v>
      </c>
      <c r="D510" s="41">
        <v>5539</v>
      </c>
      <c r="E510" s="41" t="s">
        <v>2563</v>
      </c>
      <c r="F510" s="41" t="s">
        <v>53</v>
      </c>
      <c r="G510" s="41" t="s">
        <v>64</v>
      </c>
      <c r="I510" s="41" t="s">
        <v>45</v>
      </c>
      <c r="J510" s="41" t="s">
        <v>32</v>
      </c>
      <c r="K510" s="42"/>
      <c r="L510" s="41" t="s">
        <v>2564</v>
      </c>
      <c r="M510" s="41">
        <v>220</v>
      </c>
      <c r="N510" s="41" t="s">
        <v>2565</v>
      </c>
      <c r="O510" s="41" t="s">
        <v>2566</v>
      </c>
      <c r="P510" s="41" t="s">
        <v>68</v>
      </c>
      <c r="Q510" s="41" t="s">
        <v>69</v>
      </c>
      <c r="R510" s="41" t="s">
        <v>62</v>
      </c>
      <c r="S510" s="41" t="s">
        <v>40</v>
      </c>
      <c r="T510" s="41" t="s">
        <v>40</v>
      </c>
      <c r="U510" s="41" t="s">
        <v>40</v>
      </c>
    </row>
    <row r="511" spans="1:21">
      <c r="A511" s="41">
        <v>2439</v>
      </c>
      <c r="B511" s="41" t="s">
        <v>2567</v>
      </c>
      <c r="D511" s="41">
        <v>5527</v>
      </c>
      <c r="E511" s="41" t="s">
        <v>1227</v>
      </c>
      <c r="F511" s="41" t="s">
        <v>53</v>
      </c>
      <c r="G511" s="41" t="s">
        <v>54</v>
      </c>
      <c r="I511" s="41" t="s">
        <v>45</v>
      </c>
      <c r="J511" s="41" t="s">
        <v>32</v>
      </c>
      <c r="K511" s="42"/>
      <c r="L511" s="41" t="s">
        <v>2568</v>
      </c>
      <c r="M511" s="41">
        <v>220</v>
      </c>
      <c r="N511" s="41" t="s">
        <v>2569</v>
      </c>
      <c r="O511" s="41" t="s">
        <v>396</v>
      </c>
      <c r="P511" s="41" t="s">
        <v>68</v>
      </c>
      <c r="Q511" s="41" t="s">
        <v>69</v>
      </c>
      <c r="R511" s="41" t="s">
        <v>62</v>
      </c>
      <c r="S511" s="41" t="s">
        <v>40</v>
      </c>
      <c r="T511" s="41" t="s">
        <v>40</v>
      </c>
      <c r="U511" s="41" t="s">
        <v>40</v>
      </c>
    </row>
    <row r="512" spans="1:21">
      <c r="A512" s="41">
        <v>2438</v>
      </c>
      <c r="B512" s="41" t="s">
        <v>2570</v>
      </c>
      <c r="E512" s="41" t="s">
        <v>2571</v>
      </c>
      <c r="F512" s="41" t="s">
        <v>53</v>
      </c>
      <c r="G512" s="41" t="s">
        <v>43</v>
      </c>
      <c r="I512" s="41" t="s">
        <v>2572</v>
      </c>
      <c r="J512" s="41" t="s">
        <v>32</v>
      </c>
      <c r="K512" s="42"/>
      <c r="L512" s="41" t="s">
        <v>2573</v>
      </c>
      <c r="M512" s="41">
        <v>220</v>
      </c>
      <c r="N512" s="41" t="s">
        <v>697</v>
      </c>
      <c r="O512" s="41" t="s">
        <v>1772</v>
      </c>
      <c r="P512" s="41" t="s">
        <v>68</v>
      </c>
      <c r="Q512" s="41" t="s">
        <v>69</v>
      </c>
      <c r="R512" s="41" t="s">
        <v>62</v>
      </c>
      <c r="S512" s="41" t="s">
        <v>40</v>
      </c>
      <c r="T512" s="41" t="s">
        <v>40</v>
      </c>
      <c r="U512" s="41" t="s">
        <v>40</v>
      </c>
    </row>
    <row r="513" spans="1:21">
      <c r="A513" s="41">
        <v>2437</v>
      </c>
      <c r="B513" s="41" t="s">
        <v>2574</v>
      </c>
      <c r="D513" s="41">
        <v>5560</v>
      </c>
      <c r="E513" s="41" t="s">
        <v>1191</v>
      </c>
      <c r="F513" s="41" t="s">
        <v>53</v>
      </c>
      <c r="G513" s="41" t="s">
        <v>64</v>
      </c>
      <c r="I513" s="41" t="s">
        <v>201</v>
      </c>
      <c r="J513" s="41" t="s">
        <v>295</v>
      </c>
      <c r="K513" s="42"/>
      <c r="L513" s="41" t="s">
        <v>2575</v>
      </c>
      <c r="M513" s="41">
        <v>154</v>
      </c>
      <c r="N513" s="41" t="s">
        <v>67</v>
      </c>
      <c r="O513" s="41" t="s">
        <v>2576</v>
      </c>
      <c r="P513" s="41" t="s">
        <v>60</v>
      </c>
      <c r="Q513" s="41" t="s">
        <v>61</v>
      </c>
      <c r="R513" s="41" t="s">
        <v>132</v>
      </c>
      <c r="S513" s="41" t="s">
        <v>40</v>
      </c>
      <c r="T513" s="41" t="s">
        <v>40</v>
      </c>
      <c r="U513" s="41" t="s">
        <v>40</v>
      </c>
    </row>
    <row r="514" spans="1:21">
      <c r="A514" s="41">
        <v>2435</v>
      </c>
      <c r="B514" s="41" t="s">
        <v>2577</v>
      </c>
      <c r="D514" s="41">
        <v>5549</v>
      </c>
      <c r="E514" s="41" t="s">
        <v>1213</v>
      </c>
      <c r="F514" s="41" t="s">
        <v>53</v>
      </c>
      <c r="G514" s="41" t="s">
        <v>54</v>
      </c>
      <c r="I514" s="41" t="s">
        <v>325</v>
      </c>
      <c r="J514" s="41" t="s">
        <v>32</v>
      </c>
      <c r="K514" s="42"/>
      <c r="L514" s="41" t="s">
        <v>2578</v>
      </c>
      <c r="M514" s="41">
        <v>110</v>
      </c>
      <c r="N514" s="41" t="s">
        <v>1333</v>
      </c>
      <c r="O514" s="41" t="s">
        <v>747</v>
      </c>
      <c r="P514" s="41" t="s">
        <v>68</v>
      </c>
      <c r="Q514" s="41" t="s">
        <v>1165</v>
      </c>
      <c r="R514" s="41" t="s">
        <v>132</v>
      </c>
      <c r="S514" s="41" t="s">
        <v>40</v>
      </c>
      <c r="T514" s="41" t="s">
        <v>40</v>
      </c>
      <c r="U514" s="41" t="s">
        <v>40</v>
      </c>
    </row>
    <row r="515" spans="1:21">
      <c r="A515" s="41">
        <v>2434</v>
      </c>
      <c r="B515" s="41" t="s">
        <v>2579</v>
      </c>
      <c r="D515" s="41">
        <v>5537</v>
      </c>
      <c r="E515" s="41" t="s">
        <v>2563</v>
      </c>
      <c r="F515" s="41" t="s">
        <v>53</v>
      </c>
      <c r="G515" s="41" t="s">
        <v>64</v>
      </c>
      <c r="I515" s="41" t="s">
        <v>2580</v>
      </c>
      <c r="J515" s="41" t="s">
        <v>295</v>
      </c>
      <c r="K515" s="42"/>
      <c r="L515" s="41" t="s">
        <v>2581</v>
      </c>
      <c r="M515" s="41">
        <v>220</v>
      </c>
      <c r="N515" s="41" t="s">
        <v>2582</v>
      </c>
      <c r="O515" s="41" t="s">
        <v>2583</v>
      </c>
      <c r="P515" s="41" t="s">
        <v>78</v>
      </c>
      <c r="Q515" s="41" t="s">
        <v>278</v>
      </c>
      <c r="R515" s="41" t="s">
        <v>62</v>
      </c>
      <c r="S515" s="41" t="s">
        <v>40</v>
      </c>
      <c r="T515" s="41" t="s">
        <v>40</v>
      </c>
      <c r="U515" s="41" t="s">
        <v>40</v>
      </c>
    </row>
    <row r="516" spans="1:21">
      <c r="A516" s="41">
        <v>2433</v>
      </c>
      <c r="B516" s="41" t="s">
        <v>2584</v>
      </c>
      <c r="D516" s="41">
        <v>5528</v>
      </c>
      <c r="E516" s="41" t="s">
        <v>2585</v>
      </c>
      <c r="F516" s="41" t="s">
        <v>53</v>
      </c>
      <c r="G516" s="41" t="s">
        <v>54</v>
      </c>
      <c r="I516" s="41" t="s">
        <v>45</v>
      </c>
      <c r="J516" s="41" t="s">
        <v>32</v>
      </c>
      <c r="K516" s="42"/>
      <c r="L516" s="41" t="s">
        <v>2573</v>
      </c>
      <c r="M516" s="41">
        <v>220</v>
      </c>
      <c r="N516" s="41" t="s">
        <v>2586</v>
      </c>
      <c r="O516" s="41" t="s">
        <v>2566</v>
      </c>
      <c r="P516" s="41" t="s">
        <v>68</v>
      </c>
      <c r="Q516" s="41" t="s">
        <v>69</v>
      </c>
      <c r="R516" s="41" t="s">
        <v>62</v>
      </c>
      <c r="S516" s="41" t="s">
        <v>40</v>
      </c>
      <c r="T516" s="41" t="s">
        <v>40</v>
      </c>
      <c r="U516" s="41" t="s">
        <v>40</v>
      </c>
    </row>
    <row r="517" spans="1:21">
      <c r="A517" s="41">
        <v>2432</v>
      </c>
      <c r="B517" s="41" t="s">
        <v>2587</v>
      </c>
      <c r="E517" s="41" t="s">
        <v>1475</v>
      </c>
      <c r="F517" s="41" t="s">
        <v>53</v>
      </c>
      <c r="G517" s="41" t="s">
        <v>43</v>
      </c>
      <c r="I517" s="41" t="s">
        <v>149</v>
      </c>
      <c r="J517" s="41" t="s">
        <v>672</v>
      </c>
      <c r="K517" s="42"/>
      <c r="L517" s="41" t="s">
        <v>2588</v>
      </c>
      <c r="M517" s="41">
        <v>220</v>
      </c>
      <c r="N517" s="41" t="s">
        <v>1653</v>
      </c>
      <c r="O517" s="41" t="s">
        <v>271</v>
      </c>
      <c r="P517" s="41" t="s">
        <v>68</v>
      </c>
      <c r="Q517" s="41" t="s">
        <v>191</v>
      </c>
      <c r="R517" s="41" t="s">
        <v>62</v>
      </c>
      <c r="S517" s="41" t="s">
        <v>40</v>
      </c>
      <c r="T517" s="41" t="s">
        <v>40</v>
      </c>
      <c r="U517" s="41" t="s">
        <v>40</v>
      </c>
    </row>
    <row r="518" spans="1:21">
      <c r="A518" s="41">
        <v>2430</v>
      </c>
      <c r="B518" s="41" t="s">
        <v>2589</v>
      </c>
      <c r="D518" s="41">
        <v>5553</v>
      </c>
      <c r="E518" s="41" t="s">
        <v>1213</v>
      </c>
      <c r="F518" s="41" t="s">
        <v>53</v>
      </c>
      <c r="G518" s="41" t="s">
        <v>54</v>
      </c>
      <c r="I518" s="41" t="s">
        <v>325</v>
      </c>
      <c r="J518" s="41" t="s">
        <v>32</v>
      </c>
      <c r="K518" s="42"/>
      <c r="L518" s="41" t="s">
        <v>2590</v>
      </c>
      <c r="M518" s="41">
        <v>110</v>
      </c>
      <c r="N518" s="41" t="s">
        <v>1333</v>
      </c>
      <c r="O518" s="41" t="s">
        <v>1473</v>
      </c>
      <c r="P518" s="41" t="s">
        <v>78</v>
      </c>
      <c r="Q518" s="41" t="s">
        <v>79</v>
      </c>
      <c r="R518" s="41" t="s">
        <v>132</v>
      </c>
      <c r="S518" s="41" t="s">
        <v>40</v>
      </c>
      <c r="T518" s="41" t="s">
        <v>40</v>
      </c>
      <c r="U518" s="41" t="s">
        <v>40</v>
      </c>
    </row>
    <row r="519" spans="1:21">
      <c r="A519" s="41">
        <v>2429</v>
      </c>
      <c r="B519" s="41" t="s">
        <v>2591</v>
      </c>
      <c r="D519" s="41">
        <v>5531</v>
      </c>
      <c r="E519" s="41" t="s">
        <v>1475</v>
      </c>
      <c r="F519" s="41" t="s">
        <v>53</v>
      </c>
      <c r="G519" s="41" t="s">
        <v>43</v>
      </c>
      <c r="I519" s="41" t="s">
        <v>149</v>
      </c>
      <c r="J519" s="41" t="s">
        <v>672</v>
      </c>
      <c r="K519" s="42"/>
      <c r="L519" s="41" t="s">
        <v>2588</v>
      </c>
      <c r="M519" s="41">
        <v>220</v>
      </c>
      <c r="N519" s="41" t="s">
        <v>1335</v>
      </c>
      <c r="O519" s="41" t="s">
        <v>396</v>
      </c>
      <c r="P519" s="41" t="s">
        <v>68</v>
      </c>
      <c r="Q519" s="41" t="s">
        <v>191</v>
      </c>
      <c r="R519" s="41" t="s">
        <v>62</v>
      </c>
      <c r="S519" s="41" t="s">
        <v>40</v>
      </c>
      <c r="T519" s="41" t="s">
        <v>40</v>
      </c>
      <c r="U519" s="41" t="s">
        <v>40</v>
      </c>
    </row>
    <row r="520" spans="1:21">
      <c r="A520" s="41">
        <v>2428</v>
      </c>
      <c r="B520" s="41" t="s">
        <v>2592</v>
      </c>
      <c r="D520" s="41">
        <v>5530</v>
      </c>
      <c r="E520" s="41" t="s">
        <v>1475</v>
      </c>
      <c r="F520" s="41" t="s">
        <v>53</v>
      </c>
      <c r="G520" s="41" t="s">
        <v>54</v>
      </c>
      <c r="I520" s="41" t="s">
        <v>149</v>
      </c>
      <c r="J520" s="41" t="s">
        <v>32</v>
      </c>
      <c r="K520" s="42"/>
      <c r="L520" s="41" t="s">
        <v>2593</v>
      </c>
      <c r="M520" s="41">
        <v>220</v>
      </c>
      <c r="N520" s="41" t="s">
        <v>1653</v>
      </c>
      <c r="O520" s="41" t="s">
        <v>271</v>
      </c>
      <c r="P520" s="41" t="s">
        <v>68</v>
      </c>
      <c r="Q520" s="41" t="s">
        <v>69</v>
      </c>
      <c r="R520" s="41" t="s">
        <v>62</v>
      </c>
      <c r="S520" s="41" t="s">
        <v>40</v>
      </c>
      <c r="T520" s="41" t="s">
        <v>40</v>
      </c>
      <c r="U520" s="41" t="s">
        <v>40</v>
      </c>
    </row>
    <row r="521" spans="1:21">
      <c r="A521" s="41">
        <v>2427</v>
      </c>
      <c r="B521" s="41" t="s">
        <v>2594</v>
      </c>
      <c r="D521" s="41">
        <v>5548</v>
      </c>
      <c r="E521" s="41" t="s">
        <v>1213</v>
      </c>
      <c r="F521" s="41" t="s">
        <v>53</v>
      </c>
      <c r="G521" s="41" t="s">
        <v>64</v>
      </c>
      <c r="I521" s="41" t="s">
        <v>45</v>
      </c>
      <c r="J521" s="41" t="s">
        <v>32</v>
      </c>
      <c r="K521" s="42"/>
      <c r="L521" s="41" t="s">
        <v>2595</v>
      </c>
      <c r="M521" s="41">
        <v>220</v>
      </c>
      <c r="N521" s="41" t="s">
        <v>2596</v>
      </c>
      <c r="O521" s="41" t="s">
        <v>2597</v>
      </c>
      <c r="P521" s="41" t="s">
        <v>68</v>
      </c>
      <c r="Q521" s="41" t="s">
        <v>69</v>
      </c>
      <c r="R521" s="41" t="s">
        <v>62</v>
      </c>
      <c r="S521" s="41" t="s">
        <v>40</v>
      </c>
      <c r="T521" s="41" t="s">
        <v>40</v>
      </c>
      <c r="U521" s="41" t="s">
        <v>40</v>
      </c>
    </row>
    <row r="522" spans="1:21">
      <c r="A522" s="41">
        <v>2426</v>
      </c>
      <c r="B522" s="41" t="s">
        <v>2598</v>
      </c>
      <c r="D522" s="41">
        <v>5529</v>
      </c>
      <c r="E522" s="41" t="s">
        <v>2599</v>
      </c>
      <c r="F522" s="41" t="s">
        <v>53</v>
      </c>
      <c r="G522" s="41" t="s">
        <v>54</v>
      </c>
      <c r="I522" s="41" t="s">
        <v>149</v>
      </c>
      <c r="J522" s="41" t="s">
        <v>32</v>
      </c>
      <c r="K522" s="42"/>
      <c r="L522" s="41" t="s">
        <v>2595</v>
      </c>
      <c r="M522" s="41">
        <v>220</v>
      </c>
      <c r="N522" s="41" t="s">
        <v>1653</v>
      </c>
      <c r="O522" s="41" t="s">
        <v>396</v>
      </c>
      <c r="P522" s="41" t="s">
        <v>68</v>
      </c>
      <c r="Q522" s="41" t="s">
        <v>69</v>
      </c>
      <c r="R522" s="41" t="s">
        <v>62</v>
      </c>
      <c r="S522" s="41" t="s">
        <v>40</v>
      </c>
      <c r="T522" s="41" t="s">
        <v>40</v>
      </c>
      <c r="U522" s="41" t="s">
        <v>40</v>
      </c>
    </row>
    <row r="523" spans="1:21">
      <c r="A523" s="41">
        <v>2425</v>
      </c>
      <c r="B523" s="41" t="s">
        <v>2600</v>
      </c>
      <c r="D523" s="41">
        <v>5541</v>
      </c>
      <c r="E523" s="41" t="s">
        <v>2601</v>
      </c>
      <c r="F523" s="41" t="s">
        <v>53</v>
      </c>
      <c r="G523" s="41" t="s">
        <v>54</v>
      </c>
      <c r="I523" s="41" t="s">
        <v>162</v>
      </c>
      <c r="J523" s="41" t="s">
        <v>32</v>
      </c>
      <c r="K523" s="42"/>
      <c r="L523" s="41" t="s">
        <v>2602</v>
      </c>
      <c r="M523" s="41">
        <v>110</v>
      </c>
      <c r="N523" s="41" t="s">
        <v>719</v>
      </c>
      <c r="O523" s="41" t="s">
        <v>1473</v>
      </c>
      <c r="P523" s="41" t="s">
        <v>78</v>
      </c>
      <c r="Q523" s="41" t="s">
        <v>79</v>
      </c>
      <c r="R523" s="41" t="s">
        <v>132</v>
      </c>
      <c r="S523" s="41" t="s">
        <v>40</v>
      </c>
      <c r="T523" s="41" t="s">
        <v>40</v>
      </c>
      <c r="U523" s="41" t="s">
        <v>40</v>
      </c>
    </row>
    <row r="524" spans="1:21">
      <c r="A524" s="41">
        <v>2424</v>
      </c>
      <c r="B524" s="41" t="s">
        <v>52</v>
      </c>
      <c r="D524" s="41">
        <v>5534</v>
      </c>
      <c r="E524" s="41" t="s">
        <v>27</v>
      </c>
      <c r="F524" s="41" t="s">
        <v>53</v>
      </c>
      <c r="G524" s="41" t="s">
        <v>54</v>
      </c>
      <c r="I524" s="41" t="s">
        <v>56</v>
      </c>
      <c r="J524" s="41" t="s">
        <v>32</v>
      </c>
      <c r="K524" s="42"/>
      <c r="L524" s="41" t="s">
        <v>58</v>
      </c>
      <c r="M524" s="41">
        <v>154</v>
      </c>
      <c r="N524" s="41" t="s">
        <v>59</v>
      </c>
      <c r="O524" s="41" t="s">
        <v>36</v>
      </c>
      <c r="P524" s="41" t="s">
        <v>60</v>
      </c>
      <c r="Q524" s="41" t="s">
        <v>61</v>
      </c>
      <c r="R524" s="41" t="s">
        <v>62</v>
      </c>
      <c r="S524" s="41" t="s">
        <v>40</v>
      </c>
      <c r="T524" s="41" t="s">
        <v>40</v>
      </c>
      <c r="U524" s="41" t="s">
        <v>40</v>
      </c>
    </row>
    <row r="525" spans="1:21">
      <c r="A525" s="41">
        <v>2423</v>
      </c>
      <c r="B525" s="41" t="s">
        <v>2603</v>
      </c>
      <c r="D525" s="41">
        <v>5552</v>
      </c>
      <c r="E525" s="41" t="s">
        <v>1921</v>
      </c>
      <c r="F525" s="41" t="s">
        <v>53</v>
      </c>
      <c r="G525" s="41" t="s">
        <v>64</v>
      </c>
      <c r="I525" s="41" t="s">
        <v>392</v>
      </c>
      <c r="J525" s="41" t="s">
        <v>32</v>
      </c>
      <c r="K525" s="42"/>
      <c r="L525" s="41" t="s">
        <v>2604</v>
      </c>
      <c r="M525" s="41">
        <v>220</v>
      </c>
      <c r="N525" s="41" t="s">
        <v>395</v>
      </c>
      <c r="O525" s="41" t="s">
        <v>2605</v>
      </c>
      <c r="P525" s="41" t="s">
        <v>68</v>
      </c>
      <c r="Q525" s="41" t="s">
        <v>69</v>
      </c>
      <c r="R525" s="41" t="s">
        <v>62</v>
      </c>
      <c r="S525" s="41" t="s">
        <v>40</v>
      </c>
      <c r="T525" s="41" t="s">
        <v>40</v>
      </c>
      <c r="U525" s="41" t="s">
        <v>40</v>
      </c>
    </row>
    <row r="526" spans="1:21">
      <c r="A526" s="41">
        <v>2422</v>
      </c>
      <c r="B526" s="41" t="s">
        <v>2606</v>
      </c>
      <c r="D526" s="41">
        <v>5562</v>
      </c>
      <c r="E526" s="41" t="s">
        <v>2607</v>
      </c>
      <c r="F526" s="41" t="s">
        <v>53</v>
      </c>
      <c r="G526" s="41" t="s">
        <v>64</v>
      </c>
      <c r="I526" s="41" t="s">
        <v>325</v>
      </c>
      <c r="J526" s="41" t="s">
        <v>32</v>
      </c>
      <c r="K526" s="42"/>
      <c r="L526" s="41" t="s">
        <v>2608</v>
      </c>
      <c r="M526" s="41">
        <v>110</v>
      </c>
      <c r="N526" s="41" t="s">
        <v>2609</v>
      </c>
      <c r="O526" s="41" t="s">
        <v>77</v>
      </c>
      <c r="P526" s="41" t="s">
        <v>78</v>
      </c>
      <c r="Q526" s="41" t="s">
        <v>79</v>
      </c>
      <c r="R526" s="41" t="s">
        <v>132</v>
      </c>
      <c r="S526" s="41" t="s">
        <v>40</v>
      </c>
      <c r="T526" s="41" t="s">
        <v>40</v>
      </c>
      <c r="U526" s="41" t="s">
        <v>40</v>
      </c>
    </row>
    <row r="527" spans="1:21">
      <c r="A527" s="41">
        <v>2421</v>
      </c>
      <c r="B527" s="41" t="s">
        <v>63</v>
      </c>
      <c r="D527" s="41">
        <v>5546</v>
      </c>
      <c r="E527" s="41" t="s">
        <v>27</v>
      </c>
      <c r="F527" s="41" t="s">
        <v>53</v>
      </c>
      <c r="G527" s="41" t="s">
        <v>64</v>
      </c>
      <c r="I527" s="41" t="s">
        <v>45</v>
      </c>
      <c r="J527" s="41" t="s">
        <v>32</v>
      </c>
      <c r="K527" s="42"/>
      <c r="L527" s="41" t="s">
        <v>66</v>
      </c>
      <c r="M527" s="41">
        <v>220</v>
      </c>
      <c r="N527" s="41" t="s">
        <v>67</v>
      </c>
      <c r="O527" s="41" t="s">
        <v>36</v>
      </c>
      <c r="P527" s="41" t="s">
        <v>68</v>
      </c>
      <c r="Q527" s="41" t="s">
        <v>69</v>
      </c>
      <c r="R527" s="41" t="s">
        <v>62</v>
      </c>
      <c r="S527" s="41" t="s">
        <v>40</v>
      </c>
      <c r="T527" s="41" t="s">
        <v>40</v>
      </c>
      <c r="U527" s="41" t="s">
        <v>40</v>
      </c>
    </row>
    <row r="528" spans="1:21">
      <c r="A528" s="41">
        <v>2420</v>
      </c>
      <c r="B528" s="41" t="s">
        <v>2610</v>
      </c>
      <c r="D528" s="41">
        <v>5551</v>
      </c>
      <c r="E528" s="41" t="s">
        <v>2611</v>
      </c>
      <c r="F528" s="41" t="s">
        <v>53</v>
      </c>
      <c r="G528" s="41" t="s">
        <v>43</v>
      </c>
      <c r="I528" s="41" t="s">
        <v>392</v>
      </c>
      <c r="J528" s="41" t="s">
        <v>32</v>
      </c>
      <c r="K528" s="42"/>
      <c r="L528" s="41" t="s">
        <v>2573</v>
      </c>
      <c r="M528" s="41">
        <v>220</v>
      </c>
      <c r="N528" s="41" t="s">
        <v>805</v>
      </c>
      <c r="O528" s="41" t="s">
        <v>2041</v>
      </c>
      <c r="P528" s="41" t="s">
        <v>68</v>
      </c>
      <c r="Q528" s="41" t="s">
        <v>69</v>
      </c>
      <c r="R528" s="41" t="s">
        <v>62</v>
      </c>
      <c r="S528" s="41" t="s">
        <v>40</v>
      </c>
      <c r="T528" s="41" t="s">
        <v>40</v>
      </c>
      <c r="U528" s="41" t="s">
        <v>40</v>
      </c>
    </row>
    <row r="529" spans="1:21">
      <c r="A529" s="41">
        <v>2418</v>
      </c>
      <c r="B529" s="41" t="s">
        <v>70</v>
      </c>
      <c r="D529" s="41">
        <v>5544</v>
      </c>
      <c r="E529" s="41" t="s">
        <v>27</v>
      </c>
      <c r="F529" s="41" t="s">
        <v>53</v>
      </c>
      <c r="G529" s="41" t="s">
        <v>64</v>
      </c>
      <c r="I529" s="41" t="s">
        <v>45</v>
      </c>
      <c r="J529" s="41" t="s">
        <v>32</v>
      </c>
      <c r="K529" s="42"/>
      <c r="L529" s="41" t="s">
        <v>73</v>
      </c>
      <c r="M529" s="41">
        <v>220</v>
      </c>
      <c r="N529" s="41" t="s">
        <v>67</v>
      </c>
      <c r="O529" s="41" t="s">
        <v>36</v>
      </c>
      <c r="P529" s="41" t="s">
        <v>68</v>
      </c>
      <c r="Q529" s="41" t="s">
        <v>69</v>
      </c>
      <c r="R529" s="41" t="s">
        <v>62</v>
      </c>
      <c r="S529" s="41" t="s">
        <v>40</v>
      </c>
      <c r="T529" s="41" t="s">
        <v>40</v>
      </c>
      <c r="U529" s="41" t="s">
        <v>40</v>
      </c>
    </row>
    <row r="530" spans="1:21">
      <c r="A530" s="41">
        <v>2416</v>
      </c>
      <c r="B530" s="41" t="s">
        <v>74</v>
      </c>
      <c r="D530" s="41">
        <v>5536</v>
      </c>
      <c r="E530" s="41" t="s">
        <v>27</v>
      </c>
      <c r="F530" s="41" t="s">
        <v>53</v>
      </c>
      <c r="G530" s="41" t="s">
        <v>54</v>
      </c>
      <c r="I530" s="41" t="s">
        <v>56</v>
      </c>
      <c r="J530" s="41" t="s">
        <v>32</v>
      </c>
      <c r="K530" s="42"/>
      <c r="L530" s="41" t="s">
        <v>76</v>
      </c>
      <c r="M530" s="41">
        <v>110</v>
      </c>
      <c r="N530" s="41" t="s">
        <v>67</v>
      </c>
      <c r="O530" s="41" t="s">
        <v>77</v>
      </c>
      <c r="P530" s="41" t="s">
        <v>78</v>
      </c>
      <c r="Q530" s="41" t="s">
        <v>79</v>
      </c>
      <c r="R530" s="41" t="s">
        <v>62</v>
      </c>
      <c r="S530" s="41" t="s">
        <v>40</v>
      </c>
      <c r="T530" s="41" t="s">
        <v>40</v>
      </c>
      <c r="U530" s="41" t="s">
        <v>40</v>
      </c>
    </row>
    <row r="531" spans="1:21">
      <c r="A531" s="41">
        <v>2415</v>
      </c>
      <c r="B531" s="41" t="s">
        <v>80</v>
      </c>
      <c r="D531" s="41">
        <v>5545</v>
      </c>
      <c r="E531" s="41" t="s">
        <v>27</v>
      </c>
      <c r="F531" s="41" t="s">
        <v>53</v>
      </c>
      <c r="G531" s="41" t="s">
        <v>54</v>
      </c>
      <c r="I531" s="41" t="s">
        <v>56</v>
      </c>
      <c r="J531" s="41" t="s">
        <v>32</v>
      </c>
      <c r="K531" s="42"/>
      <c r="L531" s="41" t="s">
        <v>82</v>
      </c>
      <c r="M531" s="41">
        <v>110</v>
      </c>
      <c r="N531" s="41" t="s">
        <v>67</v>
      </c>
      <c r="O531" s="41" t="s">
        <v>77</v>
      </c>
      <c r="P531" s="41" t="s">
        <v>83</v>
      </c>
      <c r="Q531" s="41" t="s">
        <v>84</v>
      </c>
      <c r="R531" s="41" t="s">
        <v>62</v>
      </c>
      <c r="S531" s="41" t="s">
        <v>40</v>
      </c>
      <c r="T531" s="41" t="s">
        <v>40</v>
      </c>
      <c r="U531" s="41" t="s">
        <v>40</v>
      </c>
    </row>
    <row r="532" spans="1:21">
      <c r="A532" s="41">
        <v>2414</v>
      </c>
      <c r="B532" s="41" t="s">
        <v>85</v>
      </c>
      <c r="D532" s="41">
        <v>5547</v>
      </c>
      <c r="E532" s="41" t="s">
        <v>27</v>
      </c>
      <c r="F532" s="41" t="s">
        <v>53</v>
      </c>
      <c r="G532" s="41" t="s">
        <v>54</v>
      </c>
      <c r="I532" s="41" t="s">
        <v>56</v>
      </c>
      <c r="J532" s="41" t="s">
        <v>32</v>
      </c>
      <c r="K532" s="42"/>
      <c r="L532" s="41" t="s">
        <v>87</v>
      </c>
      <c r="M532" s="41">
        <v>66</v>
      </c>
      <c r="N532" s="41" t="s">
        <v>67</v>
      </c>
      <c r="O532" s="41" t="s">
        <v>36</v>
      </c>
      <c r="P532" s="41" t="s">
        <v>60</v>
      </c>
      <c r="Q532" s="41" t="s">
        <v>61</v>
      </c>
      <c r="R532" s="41" t="s">
        <v>62</v>
      </c>
      <c r="S532" s="41" t="s">
        <v>40</v>
      </c>
      <c r="T532" s="41" t="s">
        <v>40</v>
      </c>
      <c r="U532" s="41" t="s">
        <v>40</v>
      </c>
    </row>
    <row r="533" spans="1:21">
      <c r="A533" s="41">
        <v>2413</v>
      </c>
      <c r="B533" s="41" t="s">
        <v>2612</v>
      </c>
      <c r="D533" s="41">
        <v>5543</v>
      </c>
      <c r="E533" s="41" t="s">
        <v>1136</v>
      </c>
      <c r="F533" s="41" t="s">
        <v>53</v>
      </c>
      <c r="G533" s="41" t="s">
        <v>54</v>
      </c>
      <c r="I533" s="41" t="s">
        <v>1137</v>
      </c>
      <c r="J533" s="41" t="s">
        <v>32</v>
      </c>
      <c r="K533" s="42"/>
      <c r="L533" s="41" t="s">
        <v>2613</v>
      </c>
      <c r="M533" s="41">
        <v>110</v>
      </c>
      <c r="N533" s="41" t="s">
        <v>2614</v>
      </c>
      <c r="O533" s="41" t="s">
        <v>328</v>
      </c>
      <c r="P533" s="41" t="s">
        <v>68</v>
      </c>
      <c r="Q533" s="41" t="s">
        <v>91</v>
      </c>
      <c r="R533" s="41" t="s">
        <v>132</v>
      </c>
      <c r="S533" s="41" t="s">
        <v>40</v>
      </c>
      <c r="T533" s="41" t="s">
        <v>40</v>
      </c>
      <c r="U533" s="41" t="s">
        <v>40</v>
      </c>
    </row>
    <row r="534" spans="1:21">
      <c r="A534" s="41">
        <v>2412</v>
      </c>
      <c r="B534" s="41" t="s">
        <v>2615</v>
      </c>
      <c r="D534" s="41">
        <v>5563</v>
      </c>
      <c r="E534" s="41" t="s">
        <v>1613</v>
      </c>
      <c r="F534" s="41" t="s">
        <v>53</v>
      </c>
      <c r="G534" s="41" t="s">
        <v>64</v>
      </c>
      <c r="I534" s="41" t="s">
        <v>1018</v>
      </c>
      <c r="J534" s="41" t="s">
        <v>295</v>
      </c>
      <c r="K534" s="42"/>
      <c r="L534" s="41" t="s">
        <v>2602</v>
      </c>
      <c r="M534" s="41">
        <v>110</v>
      </c>
      <c r="N534" s="41" t="s">
        <v>67</v>
      </c>
      <c r="O534" s="41" t="s">
        <v>36</v>
      </c>
      <c r="P534" s="41" t="s">
        <v>78</v>
      </c>
      <c r="Q534" s="41" t="s">
        <v>79</v>
      </c>
      <c r="R534" s="41" t="s">
        <v>132</v>
      </c>
      <c r="S534" s="41" t="s">
        <v>40</v>
      </c>
      <c r="T534" s="41" t="s">
        <v>40</v>
      </c>
      <c r="U534" s="41" t="s">
        <v>40</v>
      </c>
    </row>
    <row r="535" spans="1:21">
      <c r="A535" s="41">
        <v>2411</v>
      </c>
      <c r="B535" s="41" t="s">
        <v>2616</v>
      </c>
      <c r="D535" s="41">
        <v>5555</v>
      </c>
      <c r="E535" s="41" t="s">
        <v>2617</v>
      </c>
      <c r="F535" s="41" t="s">
        <v>53</v>
      </c>
      <c r="G535" s="41" t="s">
        <v>64</v>
      </c>
      <c r="I535" s="41" t="s">
        <v>325</v>
      </c>
      <c r="J535" s="41" t="s">
        <v>32</v>
      </c>
      <c r="K535" s="42"/>
      <c r="L535" s="41" t="s">
        <v>2618</v>
      </c>
      <c r="M535" s="41">
        <v>110</v>
      </c>
      <c r="N535" s="41" t="s">
        <v>2619</v>
      </c>
      <c r="O535" s="41" t="s">
        <v>1956</v>
      </c>
      <c r="P535" s="41" t="s">
        <v>78</v>
      </c>
      <c r="Q535" s="41" t="s">
        <v>79</v>
      </c>
      <c r="R535" s="41" t="s">
        <v>132</v>
      </c>
      <c r="S535" s="41" t="s">
        <v>40</v>
      </c>
      <c r="T535" s="41" t="s">
        <v>40</v>
      </c>
      <c r="U535" s="41" t="s">
        <v>40</v>
      </c>
    </row>
    <row r="536" spans="1:21">
      <c r="A536" s="41">
        <v>2410</v>
      </c>
      <c r="B536" s="41" t="s">
        <v>2620</v>
      </c>
      <c r="D536" s="41">
        <v>5538</v>
      </c>
      <c r="E536" s="41" t="s">
        <v>2601</v>
      </c>
      <c r="F536" s="41" t="s">
        <v>53</v>
      </c>
      <c r="G536" s="41" t="s">
        <v>64</v>
      </c>
      <c r="I536" s="41" t="s">
        <v>162</v>
      </c>
      <c r="J536" s="41" t="s">
        <v>32</v>
      </c>
      <c r="K536" s="42"/>
      <c r="L536" s="41" t="s">
        <v>2621</v>
      </c>
      <c r="M536" s="41">
        <v>220</v>
      </c>
      <c r="N536" s="41" t="s">
        <v>719</v>
      </c>
      <c r="O536" s="41" t="s">
        <v>2041</v>
      </c>
      <c r="P536" s="41" t="s">
        <v>68</v>
      </c>
      <c r="Q536" s="41" t="s">
        <v>69</v>
      </c>
      <c r="R536" s="41" t="s">
        <v>62</v>
      </c>
      <c r="S536" s="41" t="s">
        <v>40</v>
      </c>
      <c r="T536" s="41" t="s">
        <v>40</v>
      </c>
      <c r="U536" s="41" t="s">
        <v>40</v>
      </c>
    </row>
    <row r="537" spans="1:21">
      <c r="A537" s="41">
        <v>2409</v>
      </c>
      <c r="B537" s="41" t="s">
        <v>2622</v>
      </c>
      <c r="D537" s="41">
        <v>5559</v>
      </c>
      <c r="E537" s="41" t="s">
        <v>1882</v>
      </c>
      <c r="F537" s="41" t="s">
        <v>53</v>
      </c>
      <c r="G537" s="41" t="s">
        <v>64</v>
      </c>
      <c r="I537" s="41" t="s">
        <v>392</v>
      </c>
      <c r="J537" s="41" t="s">
        <v>32</v>
      </c>
      <c r="K537" s="42"/>
      <c r="L537" s="41" t="s">
        <v>2623</v>
      </c>
      <c r="M537" s="41">
        <v>220</v>
      </c>
      <c r="N537" s="41" t="s">
        <v>395</v>
      </c>
      <c r="O537" s="41" t="s">
        <v>2041</v>
      </c>
      <c r="P537" s="41" t="s">
        <v>68</v>
      </c>
      <c r="Q537" s="41" t="s">
        <v>69</v>
      </c>
      <c r="R537" s="41" t="s">
        <v>62</v>
      </c>
      <c r="S537" s="41" t="s">
        <v>40</v>
      </c>
      <c r="T537" s="41" t="s">
        <v>40</v>
      </c>
      <c r="U537" s="41" t="s">
        <v>40</v>
      </c>
    </row>
    <row r="538" spans="1:21">
      <c r="A538" s="41">
        <v>2408</v>
      </c>
      <c r="B538" s="41" t="s">
        <v>2624</v>
      </c>
      <c r="D538" s="41">
        <v>5557</v>
      </c>
      <c r="E538" s="41" t="s">
        <v>1465</v>
      </c>
      <c r="F538" s="41" t="s">
        <v>53</v>
      </c>
      <c r="G538" s="41" t="s">
        <v>54</v>
      </c>
      <c r="I538" s="41" t="s">
        <v>56</v>
      </c>
      <c r="J538" s="41" t="s">
        <v>32</v>
      </c>
      <c r="K538" s="42"/>
      <c r="L538" s="41" t="s">
        <v>2625</v>
      </c>
      <c r="M538" s="41">
        <v>154</v>
      </c>
      <c r="N538" s="41" t="s">
        <v>1482</v>
      </c>
      <c r="O538" s="41" t="s">
        <v>2626</v>
      </c>
      <c r="P538" s="41" t="s">
        <v>60</v>
      </c>
      <c r="Q538" s="41" t="s">
        <v>61</v>
      </c>
      <c r="R538" s="41" t="s">
        <v>132</v>
      </c>
      <c r="S538" s="41" t="s">
        <v>40</v>
      </c>
      <c r="T538" s="41" t="s">
        <v>40</v>
      </c>
      <c r="U538" s="41" t="s">
        <v>40</v>
      </c>
    </row>
    <row r="539" spans="1:21">
      <c r="A539" s="41">
        <v>2407</v>
      </c>
      <c r="B539" s="41" t="s">
        <v>2627</v>
      </c>
      <c r="D539" s="41">
        <v>5556</v>
      </c>
      <c r="E539" s="41" t="s">
        <v>1465</v>
      </c>
      <c r="F539" s="41" t="s">
        <v>53</v>
      </c>
      <c r="G539" s="41" t="s">
        <v>64</v>
      </c>
      <c r="I539" s="41" t="s">
        <v>56</v>
      </c>
      <c r="J539" s="41" t="s">
        <v>32</v>
      </c>
      <c r="K539" s="42"/>
      <c r="L539" s="41" t="s">
        <v>2628</v>
      </c>
      <c r="M539" s="41">
        <v>220</v>
      </c>
      <c r="N539" s="41" t="s">
        <v>805</v>
      </c>
      <c r="O539" s="41" t="s">
        <v>2629</v>
      </c>
      <c r="P539" s="41" t="s">
        <v>68</v>
      </c>
      <c r="Q539" s="41" t="s">
        <v>69</v>
      </c>
      <c r="R539" s="41" t="s">
        <v>62</v>
      </c>
      <c r="S539" s="41" t="s">
        <v>40</v>
      </c>
      <c r="T539" s="41" t="s">
        <v>40</v>
      </c>
      <c r="U539" s="41" t="s">
        <v>40</v>
      </c>
    </row>
    <row r="540" spans="1:21">
      <c r="A540" s="41">
        <v>2406</v>
      </c>
      <c r="B540" s="41" t="s">
        <v>2630</v>
      </c>
      <c r="D540" s="41">
        <v>5535</v>
      </c>
      <c r="E540" s="41" t="s">
        <v>2631</v>
      </c>
      <c r="F540" s="41" t="s">
        <v>53</v>
      </c>
      <c r="G540" s="41" t="s">
        <v>64</v>
      </c>
      <c r="I540" s="41" t="s">
        <v>45</v>
      </c>
      <c r="J540" s="41" t="s">
        <v>32</v>
      </c>
      <c r="K540" s="42"/>
      <c r="L540" s="41" t="s">
        <v>2568</v>
      </c>
      <c r="M540" s="41">
        <v>220</v>
      </c>
      <c r="N540" s="41" t="s">
        <v>2632</v>
      </c>
      <c r="O540" s="41" t="s">
        <v>2633</v>
      </c>
      <c r="P540" s="41" t="s">
        <v>68</v>
      </c>
      <c r="Q540" s="41" t="s">
        <v>69</v>
      </c>
      <c r="R540" s="41" t="s">
        <v>62</v>
      </c>
      <c r="S540" s="41" t="s">
        <v>40</v>
      </c>
      <c r="T540" s="41" t="s">
        <v>40</v>
      </c>
      <c r="U540" s="41" t="s">
        <v>40</v>
      </c>
    </row>
    <row r="541" spans="1:21">
      <c r="A541" s="41">
        <v>2405</v>
      </c>
      <c r="B541" s="41" t="s">
        <v>88</v>
      </c>
      <c r="D541" s="41">
        <v>5550</v>
      </c>
      <c r="E541" s="41" t="s">
        <v>27</v>
      </c>
      <c r="F541" s="41" t="s">
        <v>53</v>
      </c>
      <c r="G541" s="41" t="s">
        <v>54</v>
      </c>
      <c r="I541" s="41" t="s">
        <v>56</v>
      </c>
      <c r="J541" s="41" t="s">
        <v>32</v>
      </c>
      <c r="K541" s="42"/>
      <c r="L541" s="41" t="s">
        <v>90</v>
      </c>
      <c r="M541" s="41">
        <v>110</v>
      </c>
      <c r="N541" s="41" t="s">
        <v>59</v>
      </c>
      <c r="O541" s="41" t="s">
        <v>77</v>
      </c>
      <c r="P541" s="41" t="s">
        <v>68</v>
      </c>
      <c r="Q541" s="41" t="s">
        <v>91</v>
      </c>
      <c r="R541" s="41" t="s">
        <v>62</v>
      </c>
      <c r="S541" s="41" t="s">
        <v>40</v>
      </c>
      <c r="T541" s="41" t="s">
        <v>40</v>
      </c>
      <c r="U541" s="41" t="s">
        <v>40</v>
      </c>
    </row>
    <row r="542" spans="1:21">
      <c r="A542" s="41">
        <v>2401</v>
      </c>
      <c r="B542" s="41" t="s">
        <v>2634</v>
      </c>
      <c r="D542" s="41">
        <v>5564</v>
      </c>
      <c r="E542" s="41" t="s">
        <v>1638</v>
      </c>
      <c r="F542" s="41" t="s">
        <v>53</v>
      </c>
      <c r="G542" s="41" t="s">
        <v>64</v>
      </c>
      <c r="I542" s="41" t="s">
        <v>56</v>
      </c>
      <c r="J542" s="41" t="s">
        <v>32</v>
      </c>
      <c r="K542" s="42"/>
      <c r="L542" s="41" t="s">
        <v>2635</v>
      </c>
      <c r="M542" s="41">
        <v>154</v>
      </c>
      <c r="N542" s="41" t="s">
        <v>67</v>
      </c>
      <c r="O542" s="41" t="s">
        <v>2576</v>
      </c>
      <c r="P542" s="41" t="s">
        <v>60</v>
      </c>
      <c r="Q542" s="41" t="s">
        <v>61</v>
      </c>
      <c r="R542" s="41" t="s">
        <v>132</v>
      </c>
      <c r="S542" s="41" t="s">
        <v>40</v>
      </c>
      <c r="T542" s="41" t="s">
        <v>40</v>
      </c>
      <c r="U542" s="41" t="s">
        <v>40</v>
      </c>
    </row>
    <row r="543" spans="1:21">
      <c r="A543" s="41">
        <v>2402</v>
      </c>
      <c r="B543" s="41" t="s">
        <v>2636</v>
      </c>
      <c r="D543" s="41">
        <v>5561</v>
      </c>
      <c r="E543" s="41" t="s">
        <v>1638</v>
      </c>
      <c r="F543" s="41" t="s">
        <v>53</v>
      </c>
      <c r="G543" s="41" t="s">
        <v>64</v>
      </c>
      <c r="I543" s="41" t="s">
        <v>162</v>
      </c>
      <c r="J543" s="41" t="s">
        <v>32</v>
      </c>
      <c r="K543" s="42"/>
      <c r="L543" s="41" t="s">
        <v>2637</v>
      </c>
      <c r="M543" s="41">
        <v>110</v>
      </c>
      <c r="N543" s="41" t="s">
        <v>1026</v>
      </c>
      <c r="O543" s="41" t="s">
        <v>1473</v>
      </c>
      <c r="P543" s="41" t="s">
        <v>78</v>
      </c>
      <c r="Q543" s="41" t="s">
        <v>79</v>
      </c>
      <c r="R543" s="41" t="s">
        <v>132</v>
      </c>
      <c r="S543" s="41" t="s">
        <v>40</v>
      </c>
      <c r="T543" s="41" t="s">
        <v>40</v>
      </c>
      <c r="U543" s="41" t="s">
        <v>40</v>
      </c>
    </row>
    <row r="544" spans="1:21">
      <c r="A544" s="41">
        <v>2400</v>
      </c>
      <c r="B544" s="41" t="s">
        <v>2638</v>
      </c>
      <c r="D544" s="41">
        <v>5542</v>
      </c>
      <c r="E544" s="41" t="s">
        <v>2639</v>
      </c>
      <c r="F544" s="41" t="s">
        <v>53</v>
      </c>
      <c r="G544" s="41" t="s">
        <v>64</v>
      </c>
      <c r="I544" s="41" t="s">
        <v>149</v>
      </c>
      <c r="J544" s="41" t="s">
        <v>32</v>
      </c>
      <c r="K544" s="42"/>
      <c r="L544" s="41" t="s">
        <v>2593</v>
      </c>
      <c r="M544" s="41">
        <v>220</v>
      </c>
      <c r="N544" s="41" t="s">
        <v>1241</v>
      </c>
      <c r="O544" s="41" t="s">
        <v>2640</v>
      </c>
      <c r="P544" s="41" t="s">
        <v>68</v>
      </c>
      <c r="Q544" s="41" t="s">
        <v>69</v>
      </c>
      <c r="R544" s="41" t="s">
        <v>62</v>
      </c>
      <c r="S544" s="41" t="s">
        <v>40</v>
      </c>
      <c r="T544" s="41" t="s">
        <v>40</v>
      </c>
      <c r="U544" s="41" t="s">
        <v>40</v>
      </c>
    </row>
    <row r="545" spans="1:21">
      <c r="A545" s="41">
        <v>2398</v>
      </c>
      <c r="B545" s="41" t="s">
        <v>2641</v>
      </c>
      <c r="D545" s="41">
        <v>5566</v>
      </c>
      <c r="E545" s="41" t="s">
        <v>2642</v>
      </c>
      <c r="F545" s="41" t="s">
        <v>53</v>
      </c>
      <c r="G545" s="41" t="s">
        <v>64</v>
      </c>
      <c r="I545" s="41" t="s">
        <v>56</v>
      </c>
      <c r="J545" s="41" t="s">
        <v>295</v>
      </c>
      <c r="K545" s="42"/>
      <c r="L545" s="41" t="s">
        <v>2604</v>
      </c>
      <c r="M545" s="41">
        <v>220</v>
      </c>
      <c r="N545" s="41" t="s">
        <v>756</v>
      </c>
      <c r="O545" s="41" t="s">
        <v>396</v>
      </c>
      <c r="P545" s="41" t="s">
        <v>68</v>
      </c>
      <c r="Q545" s="41" t="s">
        <v>69</v>
      </c>
      <c r="R545" s="41" t="s">
        <v>62</v>
      </c>
      <c r="S545" s="41" t="s">
        <v>40</v>
      </c>
      <c r="T545" s="41" t="s">
        <v>40</v>
      </c>
      <c r="U545" s="41" t="s">
        <v>40</v>
      </c>
    </row>
    <row r="546" spans="1:21">
      <c r="A546" s="41">
        <v>2397</v>
      </c>
      <c r="B546" s="41" t="s">
        <v>2643</v>
      </c>
      <c r="D546" s="41">
        <v>5583</v>
      </c>
      <c r="E546" s="41" t="s">
        <v>2644</v>
      </c>
      <c r="F546" s="41" t="s">
        <v>42</v>
      </c>
      <c r="G546" s="41" t="s">
        <v>141</v>
      </c>
      <c r="I546" s="41" t="s">
        <v>231</v>
      </c>
      <c r="J546" s="41" t="s">
        <v>672</v>
      </c>
      <c r="K546" s="42"/>
      <c r="L546" s="41" t="s">
        <v>2645</v>
      </c>
      <c r="M546" s="41">
        <v>66</v>
      </c>
      <c r="N546" s="41" t="s">
        <v>67</v>
      </c>
      <c r="O546" s="41" t="s">
        <v>2646</v>
      </c>
      <c r="P546" s="41" t="s">
        <v>37</v>
      </c>
      <c r="Q546" s="41" t="s">
        <v>2647</v>
      </c>
      <c r="R546" s="41" t="s">
        <v>39</v>
      </c>
      <c r="S546" s="41" t="s">
        <v>40</v>
      </c>
      <c r="T546" s="41" t="s">
        <v>1894</v>
      </c>
      <c r="U546" s="41" t="s">
        <v>40</v>
      </c>
    </row>
    <row r="547" spans="1:21">
      <c r="A547" s="41">
        <v>2396</v>
      </c>
      <c r="B547" s="41" t="s">
        <v>2648</v>
      </c>
      <c r="D547" s="41">
        <v>5584</v>
      </c>
      <c r="E547" s="41" t="s">
        <v>2644</v>
      </c>
      <c r="F547" s="41" t="s">
        <v>42</v>
      </c>
      <c r="G547" s="41" t="s">
        <v>64</v>
      </c>
      <c r="I547" s="41" t="s">
        <v>2649</v>
      </c>
      <c r="J547" s="41" t="s">
        <v>672</v>
      </c>
      <c r="K547" s="42"/>
      <c r="L547" s="41" t="s">
        <v>2650</v>
      </c>
      <c r="M547" s="41">
        <v>154</v>
      </c>
      <c r="N547" s="41" t="s">
        <v>2651</v>
      </c>
      <c r="O547" s="41" t="s">
        <v>36</v>
      </c>
      <c r="P547" s="41" t="s">
        <v>37</v>
      </c>
      <c r="Q547" s="41" t="s">
        <v>2647</v>
      </c>
      <c r="R547" s="41" t="s">
        <v>39</v>
      </c>
      <c r="S547" s="41" t="s">
        <v>40</v>
      </c>
      <c r="T547" s="41" t="s">
        <v>40</v>
      </c>
      <c r="U547" s="41" t="s">
        <v>40</v>
      </c>
    </row>
    <row r="548" spans="1:21">
      <c r="A548" s="41">
        <v>2395</v>
      </c>
      <c r="B548" s="41" t="s">
        <v>2652</v>
      </c>
      <c r="D548" s="41">
        <v>5585</v>
      </c>
      <c r="E548" s="41" t="s">
        <v>2644</v>
      </c>
      <c r="F548" s="41" t="s">
        <v>42</v>
      </c>
      <c r="G548" s="41" t="s">
        <v>141</v>
      </c>
      <c r="I548" s="41" t="s">
        <v>2653</v>
      </c>
      <c r="J548" s="41" t="s">
        <v>672</v>
      </c>
      <c r="K548" s="42"/>
      <c r="L548" s="41" t="s">
        <v>2645</v>
      </c>
      <c r="M548" s="41">
        <v>66</v>
      </c>
      <c r="N548" s="41" t="s">
        <v>67</v>
      </c>
      <c r="O548" s="41" t="s">
        <v>2654</v>
      </c>
      <c r="P548" s="41" t="s">
        <v>37</v>
      </c>
      <c r="Q548" s="41" t="s">
        <v>2647</v>
      </c>
      <c r="R548" s="41" t="s">
        <v>39</v>
      </c>
      <c r="S548" s="41" t="s">
        <v>40</v>
      </c>
      <c r="T548" s="41" t="s">
        <v>1894</v>
      </c>
      <c r="U548" s="41" t="s">
        <v>40</v>
      </c>
    </row>
    <row r="549" spans="1:21">
      <c r="A549" s="41">
        <v>2394</v>
      </c>
      <c r="B549" s="41" t="s">
        <v>2655</v>
      </c>
      <c r="D549" s="41">
        <v>5572</v>
      </c>
      <c r="E549" s="41" t="s">
        <v>2656</v>
      </c>
      <c r="F549" s="41" t="s">
        <v>53</v>
      </c>
      <c r="G549" s="41" t="s">
        <v>64</v>
      </c>
      <c r="I549" s="41" t="s">
        <v>1188</v>
      </c>
      <c r="J549" s="41" t="s">
        <v>32</v>
      </c>
      <c r="K549" s="42"/>
      <c r="L549" s="41" t="s">
        <v>2657</v>
      </c>
      <c r="M549" s="41">
        <v>220</v>
      </c>
      <c r="N549" s="41" t="s">
        <v>67</v>
      </c>
      <c r="O549" s="41" t="s">
        <v>1772</v>
      </c>
      <c r="P549" s="41" t="s">
        <v>68</v>
      </c>
      <c r="Q549" s="41" t="s">
        <v>403</v>
      </c>
      <c r="R549" s="41" t="s">
        <v>62</v>
      </c>
      <c r="S549" s="41" t="s">
        <v>40</v>
      </c>
      <c r="T549" s="41" t="s">
        <v>40</v>
      </c>
      <c r="U549" s="41" t="s">
        <v>40</v>
      </c>
    </row>
    <row r="550" spans="1:21">
      <c r="A550" s="41">
        <v>2393</v>
      </c>
      <c r="B550" s="41" t="s">
        <v>2658</v>
      </c>
      <c r="D550" s="41">
        <v>5586</v>
      </c>
      <c r="E550" s="41" t="s">
        <v>2659</v>
      </c>
      <c r="F550" s="41" t="s">
        <v>42</v>
      </c>
      <c r="G550" s="41" t="s">
        <v>1036</v>
      </c>
      <c r="I550" s="41" t="s">
        <v>411</v>
      </c>
      <c r="J550" s="41" t="s">
        <v>32</v>
      </c>
      <c r="K550" s="42"/>
      <c r="L550" s="41" t="s">
        <v>2660</v>
      </c>
      <c r="M550" s="41">
        <v>33</v>
      </c>
      <c r="N550" s="41" t="s">
        <v>2661</v>
      </c>
      <c r="O550" s="41" t="s">
        <v>2662</v>
      </c>
      <c r="P550" s="41" t="s">
        <v>78</v>
      </c>
      <c r="Q550" s="41" t="s">
        <v>79</v>
      </c>
      <c r="S550" s="41" t="s">
        <v>40</v>
      </c>
      <c r="T550" s="41" t="s">
        <v>40</v>
      </c>
      <c r="U550" s="41" t="s">
        <v>40</v>
      </c>
    </row>
    <row r="551" spans="1:21">
      <c r="A551" s="41">
        <v>2392</v>
      </c>
      <c r="B551" s="41" t="s">
        <v>2663</v>
      </c>
      <c r="D551" s="41">
        <v>5579</v>
      </c>
      <c r="E551" s="41" t="s">
        <v>2664</v>
      </c>
      <c r="F551" s="41" t="s">
        <v>28</v>
      </c>
      <c r="G551" s="41" t="s">
        <v>301</v>
      </c>
      <c r="I551" s="41" t="s">
        <v>45</v>
      </c>
      <c r="J551" s="41" t="s">
        <v>672</v>
      </c>
      <c r="K551" s="42"/>
      <c r="L551" s="41" t="s">
        <v>2665</v>
      </c>
      <c r="M551" s="41">
        <v>220</v>
      </c>
      <c r="N551" s="41" t="s">
        <v>2666</v>
      </c>
      <c r="O551" s="41" t="s">
        <v>36</v>
      </c>
      <c r="P551" s="41" t="s">
        <v>98</v>
      </c>
      <c r="Q551" s="41" t="s">
        <v>204</v>
      </c>
      <c r="R551" s="41" t="s">
        <v>39</v>
      </c>
      <c r="S551" s="41" t="s">
        <v>2667</v>
      </c>
      <c r="T551" s="41" t="s">
        <v>2539</v>
      </c>
      <c r="U551" s="41" t="s">
        <v>40</v>
      </c>
    </row>
    <row r="552" spans="1:21">
      <c r="A552" s="41">
        <v>2391</v>
      </c>
      <c r="B552" s="41" t="s">
        <v>2658</v>
      </c>
      <c r="E552" s="41" t="s">
        <v>2571</v>
      </c>
      <c r="F552" s="41" t="s">
        <v>42</v>
      </c>
      <c r="G552" s="41" t="s">
        <v>43</v>
      </c>
      <c r="I552" s="41" t="s">
        <v>411</v>
      </c>
      <c r="J552" s="41" t="s">
        <v>32</v>
      </c>
      <c r="K552" s="42"/>
      <c r="L552" s="41" t="s">
        <v>2660</v>
      </c>
      <c r="M552" s="41">
        <v>33</v>
      </c>
      <c r="N552" s="41" t="s">
        <v>2668</v>
      </c>
      <c r="O552" s="41" t="s">
        <v>2662</v>
      </c>
      <c r="P552" s="41" t="s">
        <v>78</v>
      </c>
      <c r="Q552" s="41" t="s">
        <v>79</v>
      </c>
      <c r="R552" s="41" t="s">
        <v>39</v>
      </c>
      <c r="S552" s="41" t="s">
        <v>40</v>
      </c>
      <c r="T552" s="41" t="s">
        <v>40</v>
      </c>
      <c r="U552" s="41" t="s">
        <v>40</v>
      </c>
    </row>
    <row r="553" spans="1:21">
      <c r="A553" s="41">
        <v>2390</v>
      </c>
      <c r="B553" s="41" t="s">
        <v>2658</v>
      </c>
      <c r="E553" s="41" t="s">
        <v>2659</v>
      </c>
      <c r="F553" s="41" t="s">
        <v>42</v>
      </c>
      <c r="G553" s="41" t="s">
        <v>43</v>
      </c>
      <c r="I553" s="41" t="s">
        <v>411</v>
      </c>
      <c r="J553" s="41" t="s">
        <v>32</v>
      </c>
      <c r="K553" s="42"/>
      <c r="L553" s="41" t="s">
        <v>2669</v>
      </c>
      <c r="M553" s="41">
        <v>110</v>
      </c>
      <c r="N553" s="41" t="s">
        <v>1488</v>
      </c>
      <c r="O553" s="41" t="s">
        <v>741</v>
      </c>
      <c r="P553" s="41" t="s">
        <v>78</v>
      </c>
      <c r="Q553" s="41" t="s">
        <v>79</v>
      </c>
      <c r="R553" s="41" t="s">
        <v>39</v>
      </c>
      <c r="S553" s="41" t="s">
        <v>40</v>
      </c>
      <c r="T553" s="41" t="s">
        <v>40</v>
      </c>
      <c r="U553" s="41" t="s">
        <v>40</v>
      </c>
    </row>
    <row r="554" spans="1:21">
      <c r="A554" s="41">
        <v>2388</v>
      </c>
      <c r="B554" s="41" t="s">
        <v>2670</v>
      </c>
      <c r="D554" s="41">
        <v>5574</v>
      </c>
      <c r="E554" s="41" t="s">
        <v>1080</v>
      </c>
      <c r="F554" s="41" t="s">
        <v>53</v>
      </c>
      <c r="G554" s="41" t="s">
        <v>64</v>
      </c>
      <c r="I554" s="41" t="s">
        <v>1068</v>
      </c>
      <c r="J554" s="41" t="s">
        <v>672</v>
      </c>
      <c r="K554" s="42"/>
      <c r="L554" s="41" t="s">
        <v>1219</v>
      </c>
      <c r="M554" s="41">
        <v>13</v>
      </c>
      <c r="N554" s="41" t="s">
        <v>2671</v>
      </c>
      <c r="O554" s="41" t="s">
        <v>402</v>
      </c>
      <c r="P554" s="41" t="s">
        <v>60</v>
      </c>
      <c r="Q554" s="41" t="s">
        <v>61</v>
      </c>
      <c r="R554" s="41" t="s">
        <v>132</v>
      </c>
      <c r="S554" s="41" t="s">
        <v>40</v>
      </c>
      <c r="T554" s="41" t="s">
        <v>40</v>
      </c>
      <c r="U554" s="41" t="s">
        <v>40</v>
      </c>
    </row>
    <row r="555" spans="1:21">
      <c r="A555" s="41">
        <v>2387</v>
      </c>
      <c r="B555" s="41" t="s">
        <v>2672</v>
      </c>
      <c r="D555" s="41">
        <v>5575</v>
      </c>
      <c r="E555" s="41" t="s">
        <v>1080</v>
      </c>
      <c r="F555" s="41" t="s">
        <v>53</v>
      </c>
      <c r="G555" s="41" t="s">
        <v>1071</v>
      </c>
      <c r="I555" s="41" t="s">
        <v>1068</v>
      </c>
      <c r="J555" s="41" t="s">
        <v>672</v>
      </c>
      <c r="K555" s="42"/>
      <c r="L555" s="41" t="s">
        <v>2673</v>
      </c>
      <c r="M555" s="41">
        <v>13</v>
      </c>
      <c r="N555" s="41" t="s">
        <v>2432</v>
      </c>
      <c r="O555" s="41" t="s">
        <v>663</v>
      </c>
      <c r="P555" s="41" t="s">
        <v>60</v>
      </c>
      <c r="Q555" s="41" t="s">
        <v>1769</v>
      </c>
      <c r="R555" s="41" t="s">
        <v>132</v>
      </c>
      <c r="S555" s="41" t="s">
        <v>40</v>
      </c>
      <c r="T555" s="41" t="s">
        <v>40</v>
      </c>
      <c r="U555" s="41" t="s">
        <v>40</v>
      </c>
    </row>
    <row r="556" spans="1:21">
      <c r="A556" s="41">
        <v>2386</v>
      </c>
      <c r="B556" s="41" t="s">
        <v>2674</v>
      </c>
      <c r="D556" s="41">
        <v>5576</v>
      </c>
      <c r="E556" s="41" t="s">
        <v>2675</v>
      </c>
      <c r="F556" s="41" t="s">
        <v>53</v>
      </c>
      <c r="G556" s="41" t="s">
        <v>141</v>
      </c>
      <c r="I556" s="41" t="s">
        <v>2676</v>
      </c>
      <c r="J556" s="41" t="s">
        <v>32</v>
      </c>
      <c r="K556" s="42"/>
      <c r="L556" s="41" t="s">
        <v>107</v>
      </c>
      <c r="M556" s="41">
        <v>220</v>
      </c>
      <c r="N556" s="41" t="s">
        <v>395</v>
      </c>
      <c r="O556" s="41" t="s">
        <v>2677</v>
      </c>
      <c r="P556" s="41" t="s">
        <v>98</v>
      </c>
      <c r="Q556" s="41" t="s">
        <v>98</v>
      </c>
      <c r="R556" s="41" t="s">
        <v>62</v>
      </c>
      <c r="S556" s="41" t="s">
        <v>2678</v>
      </c>
      <c r="T556" s="41" t="s">
        <v>1890</v>
      </c>
      <c r="U556" s="41" t="s">
        <v>40</v>
      </c>
    </row>
    <row r="557" spans="1:21">
      <c r="A557" s="41">
        <v>2385</v>
      </c>
      <c r="B557" s="41" t="s">
        <v>2679</v>
      </c>
      <c r="D557" s="41">
        <v>5577</v>
      </c>
      <c r="E557" s="41" t="s">
        <v>2680</v>
      </c>
      <c r="F557" s="41" t="s">
        <v>53</v>
      </c>
      <c r="G557" s="41" t="s">
        <v>141</v>
      </c>
      <c r="I557" s="41" t="s">
        <v>2681</v>
      </c>
      <c r="J557" s="41" t="s">
        <v>32</v>
      </c>
      <c r="K557" s="42"/>
      <c r="L557" s="41" t="s">
        <v>2682</v>
      </c>
      <c r="M557" s="41">
        <v>110</v>
      </c>
      <c r="N557" s="41" t="s">
        <v>1596</v>
      </c>
      <c r="O557" s="41" t="s">
        <v>178</v>
      </c>
      <c r="P557" s="41" t="s">
        <v>50</v>
      </c>
      <c r="Q557" s="41" t="s">
        <v>51</v>
      </c>
      <c r="R557" s="41" t="s">
        <v>62</v>
      </c>
      <c r="S557" s="41" t="s">
        <v>2683</v>
      </c>
      <c r="T557" s="41" t="s">
        <v>1289</v>
      </c>
      <c r="U557" s="41" t="s">
        <v>40</v>
      </c>
    </row>
    <row r="558" spans="1:21">
      <c r="A558" s="41">
        <v>2384</v>
      </c>
      <c r="B558" s="41" t="s">
        <v>2684</v>
      </c>
      <c r="D558" s="41">
        <v>5578</v>
      </c>
      <c r="E558" s="41" t="s">
        <v>1213</v>
      </c>
      <c r="F558" s="41" t="s">
        <v>53</v>
      </c>
      <c r="G558" s="41" t="s">
        <v>54</v>
      </c>
      <c r="I558" s="41" t="s">
        <v>45</v>
      </c>
      <c r="J558" s="41" t="s">
        <v>32</v>
      </c>
      <c r="K558" s="42"/>
      <c r="L558" s="41" t="s">
        <v>2685</v>
      </c>
      <c r="M558" s="41">
        <v>220</v>
      </c>
      <c r="N558" s="41" t="s">
        <v>2686</v>
      </c>
      <c r="O558" s="41" t="s">
        <v>2687</v>
      </c>
      <c r="P558" s="41" t="s">
        <v>179</v>
      </c>
      <c r="Q558" s="41" t="s">
        <v>284</v>
      </c>
      <c r="R558" s="41" t="s">
        <v>62</v>
      </c>
      <c r="S558" s="41" t="s">
        <v>40</v>
      </c>
      <c r="T558" s="41" t="s">
        <v>40</v>
      </c>
      <c r="U558" s="41" t="s">
        <v>40</v>
      </c>
    </row>
    <row r="559" spans="1:21">
      <c r="A559" s="41">
        <v>2383</v>
      </c>
      <c r="B559" s="41" t="s">
        <v>2688</v>
      </c>
      <c r="D559" s="41">
        <v>5587</v>
      </c>
      <c r="E559" s="41" t="s">
        <v>1227</v>
      </c>
      <c r="F559" s="41" t="s">
        <v>42</v>
      </c>
      <c r="G559" s="41" t="s">
        <v>141</v>
      </c>
      <c r="I559" s="41" t="s">
        <v>162</v>
      </c>
      <c r="J559" s="41" t="s">
        <v>32</v>
      </c>
      <c r="K559" s="42"/>
      <c r="L559" s="41" t="s">
        <v>2689</v>
      </c>
      <c r="M559" s="41">
        <v>33</v>
      </c>
      <c r="N559" s="41" t="s">
        <v>67</v>
      </c>
      <c r="O559" s="41" t="s">
        <v>36</v>
      </c>
      <c r="P559" s="41" t="s">
        <v>98</v>
      </c>
      <c r="Q559" s="41" t="s">
        <v>99</v>
      </c>
      <c r="R559" s="41" t="s">
        <v>39</v>
      </c>
      <c r="S559" s="41" t="s">
        <v>40</v>
      </c>
      <c r="T559" s="41" t="s">
        <v>2690</v>
      </c>
      <c r="U559" s="41" t="s">
        <v>40</v>
      </c>
    </row>
    <row r="560" spans="1:21">
      <c r="A560" s="41">
        <v>2382</v>
      </c>
      <c r="B560" s="41" t="s">
        <v>2691</v>
      </c>
      <c r="D560" s="41">
        <v>5588</v>
      </c>
      <c r="E560" s="41" t="s">
        <v>1227</v>
      </c>
      <c r="F560" s="41" t="s">
        <v>42</v>
      </c>
      <c r="G560" s="41" t="s">
        <v>43</v>
      </c>
      <c r="I560" s="41" t="s">
        <v>1480</v>
      </c>
      <c r="J560" s="41" t="s">
        <v>32</v>
      </c>
      <c r="K560" s="42"/>
      <c r="L560" s="41" t="s">
        <v>2692</v>
      </c>
      <c r="M560" s="41">
        <v>33</v>
      </c>
      <c r="N560" s="41" t="s">
        <v>67</v>
      </c>
      <c r="O560" s="41" t="s">
        <v>36</v>
      </c>
      <c r="P560" s="41" t="s">
        <v>334</v>
      </c>
      <c r="Q560" s="41" t="s">
        <v>2186</v>
      </c>
      <c r="R560" s="41" t="s">
        <v>39</v>
      </c>
      <c r="S560" s="41" t="s">
        <v>40</v>
      </c>
      <c r="T560" s="41" t="s">
        <v>40</v>
      </c>
      <c r="U560" s="41" t="s">
        <v>40</v>
      </c>
    </row>
    <row r="561" spans="1:21">
      <c r="A561" s="41">
        <v>2381</v>
      </c>
      <c r="B561" s="41" t="s">
        <v>2693</v>
      </c>
      <c r="D561" s="41">
        <v>5589</v>
      </c>
      <c r="E561" s="41" t="s">
        <v>1354</v>
      </c>
      <c r="F561" s="41" t="s">
        <v>42</v>
      </c>
      <c r="G561" s="41" t="s">
        <v>141</v>
      </c>
      <c r="I561" s="41">
        <v>0</v>
      </c>
      <c r="J561" s="41" t="s">
        <v>32</v>
      </c>
      <c r="K561" s="42"/>
      <c r="L561" s="41" t="s">
        <v>2694</v>
      </c>
      <c r="M561" s="41">
        <v>23</v>
      </c>
      <c r="N561" s="41" t="s">
        <v>697</v>
      </c>
      <c r="O561" s="41" t="s">
        <v>36</v>
      </c>
      <c r="P561" s="41" t="s">
        <v>179</v>
      </c>
      <c r="Q561" s="41" t="s">
        <v>524</v>
      </c>
      <c r="R561" s="41" t="s">
        <v>39</v>
      </c>
      <c r="S561" s="41" t="s">
        <v>40</v>
      </c>
      <c r="T561" s="41" t="s">
        <v>210</v>
      </c>
      <c r="U561" s="41" t="s">
        <v>40</v>
      </c>
    </row>
    <row r="562" spans="1:21">
      <c r="A562" s="41">
        <v>2380</v>
      </c>
      <c r="B562" s="41" t="s">
        <v>1540</v>
      </c>
      <c r="D562" s="41">
        <v>5590</v>
      </c>
      <c r="E562" s="41" t="s">
        <v>1354</v>
      </c>
      <c r="F562" s="41" t="s">
        <v>42</v>
      </c>
      <c r="G562" s="41" t="s">
        <v>1175</v>
      </c>
      <c r="I562" s="41" t="s">
        <v>2695</v>
      </c>
      <c r="J562" s="41" t="s">
        <v>32</v>
      </c>
      <c r="K562" s="42"/>
      <c r="L562" s="41" t="s">
        <v>2696</v>
      </c>
      <c r="M562" s="41">
        <v>10</v>
      </c>
      <c r="N562" s="41" t="s">
        <v>697</v>
      </c>
      <c r="O562" s="41" t="s">
        <v>36</v>
      </c>
      <c r="P562" s="41" t="s">
        <v>179</v>
      </c>
      <c r="Q562" s="41" t="s">
        <v>592</v>
      </c>
      <c r="R562" s="41" t="s">
        <v>39</v>
      </c>
      <c r="S562" s="41" t="s">
        <v>40</v>
      </c>
      <c r="T562" s="41" t="s">
        <v>40</v>
      </c>
      <c r="U562" s="41" t="s">
        <v>40</v>
      </c>
    </row>
    <row r="563" spans="1:21">
      <c r="A563" s="41">
        <v>2379</v>
      </c>
      <c r="B563" s="41" t="s">
        <v>2697</v>
      </c>
      <c r="D563" s="41">
        <v>5580</v>
      </c>
      <c r="E563" s="41" t="s">
        <v>2698</v>
      </c>
      <c r="F563" s="41" t="s">
        <v>28</v>
      </c>
      <c r="G563" s="41" t="s">
        <v>301</v>
      </c>
      <c r="I563" s="41" t="s">
        <v>1142</v>
      </c>
      <c r="J563" s="41" t="s">
        <v>32</v>
      </c>
      <c r="K563" s="42"/>
      <c r="L563" s="41" t="s">
        <v>2699</v>
      </c>
      <c r="M563" s="41">
        <v>23</v>
      </c>
      <c r="N563" s="41" t="s">
        <v>2700</v>
      </c>
      <c r="O563" s="41" t="s">
        <v>989</v>
      </c>
      <c r="P563" s="41" t="s">
        <v>153</v>
      </c>
      <c r="Q563" s="41" t="s">
        <v>1567</v>
      </c>
      <c r="R563" s="41" t="s">
        <v>39</v>
      </c>
      <c r="S563" s="41" t="s">
        <v>2701</v>
      </c>
      <c r="T563" s="41" t="s">
        <v>186</v>
      </c>
      <c r="U563" s="41" t="s">
        <v>40</v>
      </c>
    </row>
    <row r="564" spans="1:21">
      <c r="A564" s="41">
        <v>2378</v>
      </c>
      <c r="B564" s="41" t="s">
        <v>792</v>
      </c>
      <c r="C564" s="41">
        <v>1</v>
      </c>
      <c r="D564" s="41">
        <v>5498</v>
      </c>
      <c r="E564" s="41" t="s">
        <v>786</v>
      </c>
      <c r="F564" s="41" t="s">
        <v>53</v>
      </c>
      <c r="G564" s="41" t="s">
        <v>54</v>
      </c>
      <c r="H564" s="42">
        <v>45686</v>
      </c>
      <c r="I564" s="41">
        <v>100</v>
      </c>
      <c r="J564" s="41" t="s">
        <v>672</v>
      </c>
      <c r="K564" s="42">
        <v>46844</v>
      </c>
      <c r="L564" s="41" t="s">
        <v>789</v>
      </c>
      <c r="M564" s="41">
        <v>220</v>
      </c>
      <c r="N564" s="41" t="s">
        <v>790</v>
      </c>
      <c r="O564" s="41" t="s">
        <v>794</v>
      </c>
      <c r="P564" s="41" t="s">
        <v>78</v>
      </c>
      <c r="Q564" s="41" t="s">
        <v>278</v>
      </c>
      <c r="R564" s="41" t="s">
        <v>62</v>
      </c>
      <c r="S564" s="41" t="s">
        <v>40</v>
      </c>
      <c r="T564" s="41" t="s">
        <v>40</v>
      </c>
      <c r="U564" s="41" t="s">
        <v>40</v>
      </c>
    </row>
    <row r="565" spans="1:21">
      <c r="A565" s="41">
        <v>2377</v>
      </c>
      <c r="B565" s="41" t="s">
        <v>785</v>
      </c>
      <c r="C565" s="41">
        <v>1</v>
      </c>
      <c r="D565" s="41">
        <v>5497</v>
      </c>
      <c r="E565" s="41" t="s">
        <v>786</v>
      </c>
      <c r="F565" s="41" t="s">
        <v>53</v>
      </c>
      <c r="G565" s="41" t="s">
        <v>54</v>
      </c>
      <c r="H565" s="42">
        <v>45686</v>
      </c>
      <c r="I565" s="41">
        <v>200</v>
      </c>
      <c r="J565" s="41" t="s">
        <v>672</v>
      </c>
      <c r="K565" s="42">
        <v>46844</v>
      </c>
      <c r="L565" s="41" t="s">
        <v>789</v>
      </c>
      <c r="M565" s="41">
        <v>220</v>
      </c>
      <c r="N565" s="41" t="s">
        <v>790</v>
      </c>
      <c r="O565" s="41" t="s">
        <v>791</v>
      </c>
      <c r="P565" s="41" t="s">
        <v>78</v>
      </c>
      <c r="Q565" s="41" t="s">
        <v>278</v>
      </c>
      <c r="R565" s="41" t="s">
        <v>62</v>
      </c>
      <c r="S565" s="41" t="s">
        <v>40</v>
      </c>
      <c r="T565" s="41" t="s">
        <v>40</v>
      </c>
      <c r="U565" s="41" t="s">
        <v>40</v>
      </c>
    </row>
    <row r="566" spans="1:21">
      <c r="A566" s="41">
        <v>2376</v>
      </c>
      <c r="B566" s="41" t="s">
        <v>2702</v>
      </c>
      <c r="D566" s="41">
        <v>5499</v>
      </c>
      <c r="E566" s="41" t="s">
        <v>2703</v>
      </c>
      <c r="F566" s="41" t="s">
        <v>42</v>
      </c>
      <c r="G566" s="41" t="s">
        <v>121</v>
      </c>
      <c r="I566" s="41" t="s">
        <v>1679</v>
      </c>
      <c r="J566" s="41" t="s">
        <v>32</v>
      </c>
      <c r="K566" s="42"/>
      <c r="L566" s="41" t="s">
        <v>2704</v>
      </c>
      <c r="M566" s="41">
        <v>23</v>
      </c>
      <c r="N566" s="41" t="s">
        <v>2705</v>
      </c>
      <c r="O566" s="41" t="s">
        <v>36</v>
      </c>
      <c r="P566" s="41" t="s">
        <v>179</v>
      </c>
      <c r="Q566" s="41" t="s">
        <v>524</v>
      </c>
      <c r="R566" s="41" t="s">
        <v>39</v>
      </c>
      <c r="S566" s="41" t="s">
        <v>40</v>
      </c>
      <c r="T566" s="41" t="s">
        <v>2246</v>
      </c>
      <c r="U566" s="41" t="s">
        <v>40</v>
      </c>
    </row>
    <row r="567" spans="1:21">
      <c r="A567" s="41">
        <v>2375</v>
      </c>
      <c r="B567" s="41" t="s">
        <v>2293</v>
      </c>
      <c r="D567" s="41">
        <v>5592</v>
      </c>
      <c r="E567" s="41" t="s">
        <v>2294</v>
      </c>
      <c r="F567" s="41" t="s">
        <v>42</v>
      </c>
      <c r="G567" s="41" t="s">
        <v>1175</v>
      </c>
      <c r="I567" s="41" t="s">
        <v>149</v>
      </c>
      <c r="J567" s="41" t="s">
        <v>32</v>
      </c>
      <c r="K567" s="42"/>
      <c r="L567" s="41" t="s">
        <v>2706</v>
      </c>
      <c r="M567" s="41">
        <v>23</v>
      </c>
      <c r="N567" s="41" t="s">
        <v>18</v>
      </c>
      <c r="O567" s="41" t="s">
        <v>36</v>
      </c>
      <c r="P567" s="41" t="s">
        <v>179</v>
      </c>
      <c r="Q567" s="41" t="s">
        <v>592</v>
      </c>
      <c r="R567" s="41" t="s">
        <v>39</v>
      </c>
      <c r="S567" s="41" t="s">
        <v>40</v>
      </c>
      <c r="T567" s="41" t="s">
        <v>40</v>
      </c>
      <c r="U567" s="41" t="s">
        <v>40</v>
      </c>
    </row>
    <row r="568" spans="1:21">
      <c r="A568" s="41">
        <v>2374</v>
      </c>
      <c r="B568" s="41" t="s">
        <v>2707</v>
      </c>
      <c r="D568" s="41">
        <v>5495</v>
      </c>
      <c r="E568" s="41" t="s">
        <v>976</v>
      </c>
      <c r="F568" s="41" t="s">
        <v>53</v>
      </c>
      <c r="G568" s="41" t="s">
        <v>307</v>
      </c>
      <c r="I568" s="41" t="s">
        <v>2653</v>
      </c>
      <c r="J568" s="41" t="s">
        <v>672</v>
      </c>
      <c r="K568" s="42"/>
      <c r="L568" s="41" t="s">
        <v>2708</v>
      </c>
      <c r="M568" s="41">
        <v>110</v>
      </c>
      <c r="N568" s="41" t="s">
        <v>67</v>
      </c>
      <c r="O568" s="41" t="s">
        <v>2709</v>
      </c>
      <c r="P568" s="41" t="s">
        <v>153</v>
      </c>
      <c r="Q568" s="41" t="s">
        <v>2397</v>
      </c>
      <c r="R568" s="41" t="s">
        <v>132</v>
      </c>
      <c r="S568" s="41" t="s">
        <v>2710</v>
      </c>
      <c r="T568" s="41" t="s">
        <v>1773</v>
      </c>
      <c r="U568" s="41" t="s">
        <v>40</v>
      </c>
    </row>
    <row r="569" spans="1:21">
      <c r="A569" s="41">
        <v>2373</v>
      </c>
      <c r="B569" s="41" t="s">
        <v>2711</v>
      </c>
      <c r="D569" s="41">
        <v>5593</v>
      </c>
      <c r="E569" s="41" t="s">
        <v>2356</v>
      </c>
      <c r="F569" s="41" t="s">
        <v>42</v>
      </c>
      <c r="G569" s="41" t="s">
        <v>1175</v>
      </c>
      <c r="I569" s="41" t="s">
        <v>1142</v>
      </c>
      <c r="J569" s="41" t="s">
        <v>1906</v>
      </c>
      <c r="K569" s="42"/>
      <c r="L569" s="41" t="s">
        <v>2712</v>
      </c>
      <c r="M569" s="41">
        <v>23</v>
      </c>
      <c r="N569" s="41" t="s">
        <v>2713</v>
      </c>
      <c r="O569" s="41" t="s">
        <v>2714</v>
      </c>
      <c r="P569" s="41" t="s">
        <v>37</v>
      </c>
      <c r="Q569" s="41" t="s">
        <v>1960</v>
      </c>
      <c r="R569" s="41" t="s">
        <v>39</v>
      </c>
      <c r="S569" s="41" t="s">
        <v>40</v>
      </c>
      <c r="T569" s="41" t="s">
        <v>40</v>
      </c>
      <c r="U569" s="41" t="s">
        <v>40</v>
      </c>
    </row>
    <row r="570" spans="1:21">
      <c r="A570" s="41">
        <v>2372</v>
      </c>
      <c r="B570" s="41" t="s">
        <v>2715</v>
      </c>
      <c r="D570" s="41">
        <v>5492</v>
      </c>
      <c r="E570" s="41" t="s">
        <v>2501</v>
      </c>
      <c r="F570" s="41" t="s">
        <v>53</v>
      </c>
      <c r="G570" s="41" t="s">
        <v>141</v>
      </c>
      <c r="I570" s="41" t="s">
        <v>162</v>
      </c>
      <c r="J570" s="41" t="s">
        <v>32</v>
      </c>
      <c r="K570" s="42"/>
      <c r="L570" s="41" t="s">
        <v>2514</v>
      </c>
      <c r="M570" s="41">
        <v>110</v>
      </c>
      <c r="N570" s="41" t="s">
        <v>2716</v>
      </c>
      <c r="O570" s="41" t="s">
        <v>1473</v>
      </c>
      <c r="P570" s="41" t="s">
        <v>83</v>
      </c>
      <c r="Q570" s="41" t="s">
        <v>1206</v>
      </c>
      <c r="R570" s="41" t="s">
        <v>132</v>
      </c>
      <c r="S570" s="41" t="s">
        <v>2717</v>
      </c>
      <c r="T570" s="41" t="s">
        <v>1621</v>
      </c>
      <c r="U570" s="41" t="s">
        <v>40</v>
      </c>
    </row>
    <row r="571" spans="1:21">
      <c r="A571" s="41">
        <v>2371</v>
      </c>
      <c r="B571" s="41" t="s">
        <v>2718</v>
      </c>
      <c r="D571" s="41">
        <v>5490</v>
      </c>
      <c r="E571" s="41" t="s">
        <v>2719</v>
      </c>
      <c r="F571" s="41" t="s">
        <v>53</v>
      </c>
      <c r="G571" s="41" t="s">
        <v>54</v>
      </c>
      <c r="I571" s="41" t="s">
        <v>231</v>
      </c>
      <c r="J571" s="41" t="s">
        <v>32</v>
      </c>
      <c r="K571" s="42"/>
      <c r="L571" s="41" t="s">
        <v>2720</v>
      </c>
      <c r="M571" s="41">
        <v>66</v>
      </c>
      <c r="N571" s="41" t="s">
        <v>67</v>
      </c>
      <c r="O571" s="41" t="s">
        <v>2721</v>
      </c>
      <c r="P571" s="41" t="s">
        <v>172</v>
      </c>
      <c r="Q571" s="41" t="s">
        <v>1457</v>
      </c>
      <c r="R571" s="41" t="s">
        <v>132</v>
      </c>
      <c r="S571" s="41" t="s">
        <v>40</v>
      </c>
      <c r="T571" s="41" t="s">
        <v>40</v>
      </c>
      <c r="U571" s="41" t="s">
        <v>40</v>
      </c>
    </row>
    <row r="572" spans="1:21">
      <c r="A572" s="41">
        <v>2370</v>
      </c>
      <c r="B572" s="41" t="s">
        <v>2722</v>
      </c>
      <c r="D572" s="41">
        <v>5493</v>
      </c>
      <c r="E572" s="41" t="s">
        <v>1106</v>
      </c>
      <c r="F572" s="41" t="s">
        <v>53</v>
      </c>
      <c r="G572" s="41" t="s">
        <v>64</v>
      </c>
      <c r="I572" s="41" t="s">
        <v>325</v>
      </c>
      <c r="J572" s="41" t="s">
        <v>32</v>
      </c>
      <c r="K572" s="42"/>
      <c r="L572" s="41" t="s">
        <v>2723</v>
      </c>
      <c r="M572" s="41">
        <v>220</v>
      </c>
      <c r="N572" s="41" t="s">
        <v>2724</v>
      </c>
      <c r="O572" s="41" t="s">
        <v>2725</v>
      </c>
      <c r="P572" s="41" t="s">
        <v>68</v>
      </c>
      <c r="Q572" s="41" t="s">
        <v>677</v>
      </c>
      <c r="R572" s="41" t="s">
        <v>62</v>
      </c>
      <c r="S572" s="41" t="s">
        <v>40</v>
      </c>
      <c r="T572" s="41" t="s">
        <v>40</v>
      </c>
      <c r="U572" s="41" t="s">
        <v>40</v>
      </c>
    </row>
    <row r="573" spans="1:21">
      <c r="A573" s="41">
        <v>2369</v>
      </c>
      <c r="B573" s="41" t="s">
        <v>2726</v>
      </c>
      <c r="D573" s="41">
        <v>5489</v>
      </c>
      <c r="E573" s="41" t="s">
        <v>1708</v>
      </c>
      <c r="F573" s="41" t="s">
        <v>53</v>
      </c>
      <c r="G573" s="41" t="s">
        <v>141</v>
      </c>
      <c r="I573" s="41" t="s">
        <v>960</v>
      </c>
      <c r="J573" s="41" t="s">
        <v>32</v>
      </c>
      <c r="K573" s="42"/>
      <c r="L573" s="41" t="s">
        <v>2727</v>
      </c>
      <c r="M573" s="41">
        <v>110</v>
      </c>
      <c r="N573" s="41" t="s">
        <v>2728</v>
      </c>
      <c r="O573" s="41" t="s">
        <v>178</v>
      </c>
      <c r="P573" s="41" t="s">
        <v>153</v>
      </c>
      <c r="Q573" s="41" t="s">
        <v>2397</v>
      </c>
      <c r="R573" s="41" t="s">
        <v>132</v>
      </c>
      <c r="S573" s="41" t="s">
        <v>2729</v>
      </c>
      <c r="T573" s="41" t="s">
        <v>1402</v>
      </c>
      <c r="U573" s="41" t="s">
        <v>40</v>
      </c>
    </row>
    <row r="574" spans="1:21">
      <c r="A574" s="41">
        <v>2368</v>
      </c>
      <c r="B574" s="41" t="s">
        <v>2730</v>
      </c>
      <c r="D574" s="41">
        <v>5494</v>
      </c>
      <c r="E574" s="41" t="s">
        <v>1385</v>
      </c>
      <c r="F574" s="41" t="s">
        <v>28</v>
      </c>
      <c r="G574" s="41" t="s">
        <v>301</v>
      </c>
      <c r="I574" s="41" t="s">
        <v>45</v>
      </c>
      <c r="J574" s="41" t="s">
        <v>380</v>
      </c>
      <c r="K574" s="42"/>
      <c r="L574" s="41" t="s">
        <v>2731</v>
      </c>
      <c r="M574" s="41">
        <v>220</v>
      </c>
      <c r="N574" s="41" t="s">
        <v>2732</v>
      </c>
      <c r="O574" s="41" t="s">
        <v>77</v>
      </c>
      <c r="P574" s="41" t="s">
        <v>37</v>
      </c>
      <c r="Q574" s="41" t="s">
        <v>1535</v>
      </c>
      <c r="R574" s="41" t="s">
        <v>39</v>
      </c>
      <c r="S574" s="41" t="s">
        <v>2733</v>
      </c>
      <c r="T574" s="41" t="s">
        <v>1846</v>
      </c>
      <c r="U574" s="41" t="s">
        <v>40</v>
      </c>
    </row>
    <row r="575" spans="1:21">
      <c r="A575" s="41">
        <v>2367</v>
      </c>
      <c r="B575" s="41" t="s">
        <v>2734</v>
      </c>
      <c r="D575" s="41">
        <v>5491</v>
      </c>
      <c r="E575" s="41" t="s">
        <v>2735</v>
      </c>
      <c r="F575" s="41" t="s">
        <v>53</v>
      </c>
      <c r="G575" s="41" t="s">
        <v>64</v>
      </c>
      <c r="I575" s="41" t="s">
        <v>45</v>
      </c>
      <c r="J575" s="41" t="s">
        <v>32</v>
      </c>
      <c r="K575" s="42"/>
      <c r="L575" s="41" t="s">
        <v>2736</v>
      </c>
      <c r="M575" s="41">
        <v>220</v>
      </c>
      <c r="N575" s="41" t="s">
        <v>67</v>
      </c>
      <c r="O575" s="41" t="s">
        <v>36</v>
      </c>
      <c r="P575" s="41" t="s">
        <v>83</v>
      </c>
      <c r="Q575" s="41" t="s">
        <v>1587</v>
      </c>
      <c r="R575" s="41" t="s">
        <v>62</v>
      </c>
      <c r="S575" s="41" t="s">
        <v>40</v>
      </c>
      <c r="T575" s="41" t="s">
        <v>40</v>
      </c>
      <c r="U575" s="41" t="s">
        <v>40</v>
      </c>
    </row>
    <row r="576" spans="1:21">
      <c r="A576" s="41">
        <v>2366</v>
      </c>
      <c r="B576" s="41" t="s">
        <v>2737</v>
      </c>
      <c r="D576" s="41">
        <v>5481</v>
      </c>
      <c r="E576" s="41" t="s">
        <v>2738</v>
      </c>
      <c r="F576" s="41" t="s">
        <v>42</v>
      </c>
      <c r="G576" s="41" t="s">
        <v>121</v>
      </c>
      <c r="I576" s="41" t="s">
        <v>1024</v>
      </c>
      <c r="J576" s="41" t="s">
        <v>32</v>
      </c>
      <c r="K576" s="42"/>
      <c r="L576" s="41" t="s">
        <v>2739</v>
      </c>
      <c r="M576" s="41">
        <v>220</v>
      </c>
      <c r="N576" s="41" t="s">
        <v>1529</v>
      </c>
      <c r="O576" s="41" t="s">
        <v>757</v>
      </c>
      <c r="P576" s="41" t="s">
        <v>98</v>
      </c>
      <c r="Q576" s="41" t="s">
        <v>116</v>
      </c>
      <c r="R576" s="41" t="s">
        <v>39</v>
      </c>
      <c r="S576" s="41" t="s">
        <v>40</v>
      </c>
      <c r="T576" s="41" t="s">
        <v>1773</v>
      </c>
      <c r="U576" s="41" t="s">
        <v>40</v>
      </c>
    </row>
    <row r="577" spans="1:21">
      <c r="A577" s="41">
        <v>2365</v>
      </c>
      <c r="B577" s="41" t="s">
        <v>2740</v>
      </c>
      <c r="D577" s="41">
        <v>5487</v>
      </c>
      <c r="E577" s="41" t="s">
        <v>992</v>
      </c>
      <c r="F577" s="41" t="s">
        <v>42</v>
      </c>
      <c r="G577" s="41" t="s">
        <v>141</v>
      </c>
      <c r="I577" s="41">
        <v>0</v>
      </c>
      <c r="J577" s="41" t="s">
        <v>32</v>
      </c>
      <c r="K577" s="42"/>
      <c r="L577" s="41" t="s">
        <v>2741</v>
      </c>
      <c r="M577" s="41">
        <v>23</v>
      </c>
      <c r="N577" s="41" t="s">
        <v>2742</v>
      </c>
      <c r="O577" s="41" t="s">
        <v>2743</v>
      </c>
      <c r="P577" s="41" t="s">
        <v>83</v>
      </c>
      <c r="Q577" s="41" t="s">
        <v>467</v>
      </c>
      <c r="R577" s="41" t="s">
        <v>39</v>
      </c>
      <c r="S577" s="41" t="s">
        <v>40</v>
      </c>
      <c r="T577" s="41" t="s">
        <v>210</v>
      </c>
      <c r="U577" s="41" t="s">
        <v>40</v>
      </c>
    </row>
    <row r="578" spans="1:21">
      <c r="A578" s="41">
        <v>2364</v>
      </c>
      <c r="B578" s="41" t="s">
        <v>2744</v>
      </c>
      <c r="D578" s="41">
        <v>5488</v>
      </c>
      <c r="E578" s="41" t="s">
        <v>2745</v>
      </c>
      <c r="F578" s="41" t="s">
        <v>53</v>
      </c>
      <c r="G578" s="41" t="s">
        <v>64</v>
      </c>
      <c r="I578" s="41" t="s">
        <v>1303</v>
      </c>
      <c r="J578" s="41" t="s">
        <v>32</v>
      </c>
      <c r="K578" s="42"/>
      <c r="L578" s="41" t="s">
        <v>2746</v>
      </c>
      <c r="M578" s="41">
        <v>220</v>
      </c>
      <c r="N578" s="41" t="s">
        <v>2747</v>
      </c>
      <c r="O578" s="41" t="s">
        <v>1615</v>
      </c>
      <c r="P578" s="41" t="s">
        <v>153</v>
      </c>
      <c r="Q578" s="41" t="s">
        <v>329</v>
      </c>
      <c r="R578" s="41" t="s">
        <v>62</v>
      </c>
      <c r="S578" s="41" t="s">
        <v>40</v>
      </c>
      <c r="T578" s="41" t="s">
        <v>40</v>
      </c>
      <c r="U578" s="41" t="s">
        <v>40</v>
      </c>
    </row>
    <row r="579" spans="1:21">
      <c r="A579" s="41">
        <v>2363</v>
      </c>
      <c r="B579" s="41" t="s">
        <v>2748</v>
      </c>
      <c r="D579" s="41">
        <v>5486</v>
      </c>
      <c r="E579" s="41" t="s">
        <v>992</v>
      </c>
      <c r="F579" s="41" t="s">
        <v>42</v>
      </c>
      <c r="G579" s="41" t="s">
        <v>1036</v>
      </c>
      <c r="I579" s="41" t="s">
        <v>149</v>
      </c>
      <c r="J579" s="41" t="s">
        <v>32</v>
      </c>
      <c r="K579" s="42"/>
      <c r="L579" s="41" t="s">
        <v>2749</v>
      </c>
      <c r="M579" s="41">
        <v>23</v>
      </c>
      <c r="N579" s="41" t="s">
        <v>2742</v>
      </c>
      <c r="O579" s="41" t="s">
        <v>2750</v>
      </c>
      <c r="P579" s="41" t="s">
        <v>172</v>
      </c>
      <c r="Q579" s="41" t="s">
        <v>2751</v>
      </c>
      <c r="R579" s="41" t="s">
        <v>39</v>
      </c>
      <c r="S579" s="41" t="s">
        <v>40</v>
      </c>
      <c r="T579" s="41" t="s">
        <v>40</v>
      </c>
      <c r="U579" s="41" t="s">
        <v>40</v>
      </c>
    </row>
    <row r="580" spans="1:21">
      <c r="A580" s="41">
        <v>2362</v>
      </c>
      <c r="B580" s="41" t="s">
        <v>2752</v>
      </c>
      <c r="D580" s="41">
        <v>5483</v>
      </c>
      <c r="E580" s="41" t="s">
        <v>992</v>
      </c>
      <c r="F580" s="41" t="s">
        <v>42</v>
      </c>
      <c r="G580" s="41" t="s">
        <v>141</v>
      </c>
      <c r="I580" s="41">
        <v>0</v>
      </c>
      <c r="J580" s="41" t="s">
        <v>32</v>
      </c>
      <c r="K580" s="42"/>
      <c r="L580" s="41" t="s">
        <v>2753</v>
      </c>
      <c r="M580" s="41">
        <v>23</v>
      </c>
      <c r="N580" s="41" t="s">
        <v>2742</v>
      </c>
      <c r="O580" s="41" t="s">
        <v>2754</v>
      </c>
      <c r="P580" s="41" t="s">
        <v>172</v>
      </c>
      <c r="Q580" s="41" t="s">
        <v>1104</v>
      </c>
      <c r="R580" s="41" t="s">
        <v>39</v>
      </c>
      <c r="S580" s="41" t="s">
        <v>40</v>
      </c>
      <c r="T580" s="41" t="s">
        <v>210</v>
      </c>
      <c r="U580" s="41" t="s">
        <v>40</v>
      </c>
    </row>
    <row r="581" spans="1:21">
      <c r="A581" s="41">
        <v>2361</v>
      </c>
      <c r="B581" s="41" t="s">
        <v>986</v>
      </c>
      <c r="D581" s="41">
        <v>5482</v>
      </c>
      <c r="E581" s="41" t="s">
        <v>992</v>
      </c>
      <c r="F581" s="41" t="s">
        <v>42</v>
      </c>
      <c r="G581" s="41" t="s">
        <v>1175</v>
      </c>
      <c r="I581" s="41">
        <v>0</v>
      </c>
      <c r="J581" s="41" t="s">
        <v>32</v>
      </c>
      <c r="K581" s="42"/>
      <c r="L581" s="41" t="s">
        <v>1592</v>
      </c>
      <c r="M581" s="41">
        <v>23</v>
      </c>
      <c r="N581" s="41" t="s">
        <v>2742</v>
      </c>
      <c r="O581" s="41" t="s">
        <v>2755</v>
      </c>
      <c r="P581" s="41" t="s">
        <v>60</v>
      </c>
      <c r="Q581" s="41" t="s">
        <v>990</v>
      </c>
      <c r="R581" s="41" t="s">
        <v>39</v>
      </c>
      <c r="S581" s="41" t="s">
        <v>40</v>
      </c>
      <c r="T581" s="41" t="s">
        <v>40</v>
      </c>
      <c r="U581" s="41" t="s">
        <v>40</v>
      </c>
    </row>
    <row r="582" spans="1:21">
      <c r="A582" s="41">
        <v>2360</v>
      </c>
      <c r="B582" s="41" t="s">
        <v>2756</v>
      </c>
      <c r="D582" s="41">
        <v>5485</v>
      </c>
      <c r="E582" s="41" t="s">
        <v>992</v>
      </c>
      <c r="F582" s="41" t="s">
        <v>42</v>
      </c>
      <c r="G582" s="41" t="s">
        <v>64</v>
      </c>
      <c r="I582" s="41">
        <v>0</v>
      </c>
      <c r="J582" s="41" t="s">
        <v>32</v>
      </c>
      <c r="K582" s="42"/>
      <c r="L582" s="41" t="s">
        <v>2757</v>
      </c>
      <c r="M582" s="41">
        <v>23</v>
      </c>
      <c r="N582" s="41" t="s">
        <v>2742</v>
      </c>
      <c r="O582" s="41" t="s">
        <v>2758</v>
      </c>
      <c r="P582" s="41" t="s">
        <v>60</v>
      </c>
      <c r="Q582" s="41" t="s">
        <v>2759</v>
      </c>
      <c r="R582" s="41" t="s">
        <v>39</v>
      </c>
      <c r="S582" s="41" t="s">
        <v>40</v>
      </c>
      <c r="T582" s="41" t="s">
        <v>40</v>
      </c>
      <c r="U582" s="41" t="s">
        <v>40</v>
      </c>
    </row>
    <row r="583" spans="1:21">
      <c r="A583" s="41">
        <v>2359</v>
      </c>
      <c r="B583" s="41" t="s">
        <v>2760</v>
      </c>
      <c r="D583" s="41">
        <v>5484</v>
      </c>
      <c r="E583" s="41" t="s">
        <v>992</v>
      </c>
      <c r="F583" s="41" t="s">
        <v>42</v>
      </c>
      <c r="G583" s="41" t="s">
        <v>141</v>
      </c>
      <c r="I583" s="41">
        <v>0</v>
      </c>
      <c r="J583" s="41" t="s">
        <v>32</v>
      </c>
      <c r="K583" s="42"/>
      <c r="L583" s="41" t="s">
        <v>2761</v>
      </c>
      <c r="M583" s="41">
        <v>23</v>
      </c>
      <c r="N583" s="41" t="s">
        <v>2742</v>
      </c>
      <c r="O583" s="41" t="s">
        <v>2762</v>
      </c>
      <c r="P583" s="41" t="s">
        <v>1046</v>
      </c>
      <c r="Q583" s="41" t="s">
        <v>2763</v>
      </c>
      <c r="R583" s="41" t="s">
        <v>39</v>
      </c>
      <c r="S583" s="41" t="s">
        <v>40</v>
      </c>
      <c r="T583" s="41" t="s">
        <v>210</v>
      </c>
      <c r="U583" s="41" t="s">
        <v>40</v>
      </c>
    </row>
    <row r="584" spans="1:21">
      <c r="A584" s="41">
        <v>2358</v>
      </c>
      <c r="B584" s="41" t="s">
        <v>1861</v>
      </c>
      <c r="D584" s="41">
        <v>5459</v>
      </c>
      <c r="E584" s="41" t="s">
        <v>1862</v>
      </c>
      <c r="F584" s="41" t="s">
        <v>42</v>
      </c>
      <c r="G584" s="41" t="s">
        <v>141</v>
      </c>
      <c r="I584" s="41" t="s">
        <v>325</v>
      </c>
      <c r="J584" s="41" t="s">
        <v>32</v>
      </c>
      <c r="K584" s="42"/>
      <c r="L584" s="41" t="s">
        <v>2764</v>
      </c>
      <c r="M584" s="41">
        <v>23</v>
      </c>
      <c r="N584" s="41" t="s">
        <v>59</v>
      </c>
      <c r="O584" s="41" t="s">
        <v>396</v>
      </c>
      <c r="P584" s="41" t="s">
        <v>153</v>
      </c>
      <c r="Q584" s="41" t="s">
        <v>1865</v>
      </c>
      <c r="R584" s="41" t="s">
        <v>39</v>
      </c>
      <c r="S584" s="41" t="s">
        <v>40</v>
      </c>
      <c r="T584" s="41" t="s">
        <v>165</v>
      </c>
      <c r="U584" s="41" t="s">
        <v>40</v>
      </c>
    </row>
    <row r="585" spans="1:21">
      <c r="A585" s="41">
        <v>2357</v>
      </c>
      <c r="B585" s="41" t="s">
        <v>1861</v>
      </c>
      <c r="E585" s="41" t="s">
        <v>1862</v>
      </c>
      <c r="F585" s="41" t="s">
        <v>42</v>
      </c>
      <c r="G585" s="41" t="s">
        <v>43</v>
      </c>
      <c r="I585" s="41" t="s">
        <v>325</v>
      </c>
      <c r="J585" s="41" t="s">
        <v>32</v>
      </c>
      <c r="K585" s="42"/>
      <c r="L585" s="41" t="s">
        <v>1863</v>
      </c>
      <c r="M585" s="41">
        <v>23</v>
      </c>
      <c r="N585" s="41" t="s">
        <v>67</v>
      </c>
      <c r="O585" s="41" t="s">
        <v>396</v>
      </c>
      <c r="P585" s="41" t="s">
        <v>153</v>
      </c>
      <c r="Q585" s="41" t="s">
        <v>1865</v>
      </c>
      <c r="R585" s="41" t="s">
        <v>39</v>
      </c>
      <c r="S585" s="41" t="s">
        <v>40</v>
      </c>
      <c r="T585" s="41" t="s">
        <v>40</v>
      </c>
      <c r="U585" s="41" t="s">
        <v>40</v>
      </c>
    </row>
    <row r="586" spans="1:21">
      <c r="A586" s="41">
        <v>2356</v>
      </c>
      <c r="B586" s="41" t="s">
        <v>1861</v>
      </c>
      <c r="E586" s="41" t="s">
        <v>1862</v>
      </c>
      <c r="F586" s="41" t="s">
        <v>42</v>
      </c>
      <c r="G586" s="41" t="s">
        <v>43</v>
      </c>
      <c r="I586" s="41" t="s">
        <v>325</v>
      </c>
      <c r="J586" s="41" t="s">
        <v>32</v>
      </c>
      <c r="K586" s="42"/>
      <c r="L586" s="41" t="s">
        <v>281</v>
      </c>
      <c r="M586" s="41">
        <v>220</v>
      </c>
      <c r="N586" s="41" t="s">
        <v>2765</v>
      </c>
      <c r="O586" s="41" t="s">
        <v>396</v>
      </c>
      <c r="P586" s="41" t="s">
        <v>153</v>
      </c>
      <c r="Q586" s="41" t="s">
        <v>1865</v>
      </c>
      <c r="R586" s="41" t="s">
        <v>39</v>
      </c>
      <c r="S586" s="41" t="s">
        <v>40</v>
      </c>
      <c r="T586" s="41" t="s">
        <v>40</v>
      </c>
      <c r="U586" s="41" t="s">
        <v>40</v>
      </c>
    </row>
    <row r="587" spans="1:21">
      <c r="A587" s="41">
        <v>2355</v>
      </c>
      <c r="B587" s="41" t="s">
        <v>2766</v>
      </c>
      <c r="D587" s="41">
        <v>5458</v>
      </c>
      <c r="E587" s="41" t="s">
        <v>2767</v>
      </c>
      <c r="F587" s="41" t="s">
        <v>28</v>
      </c>
      <c r="G587" s="41" t="s">
        <v>64</v>
      </c>
      <c r="I587" s="41" t="s">
        <v>399</v>
      </c>
      <c r="J587" s="41" t="s">
        <v>32</v>
      </c>
      <c r="K587" s="42"/>
      <c r="L587" s="41" t="s">
        <v>2768</v>
      </c>
      <c r="M587" s="41">
        <v>154</v>
      </c>
      <c r="N587" s="41" t="s">
        <v>59</v>
      </c>
      <c r="O587" s="41" t="s">
        <v>2202</v>
      </c>
      <c r="P587" s="41" t="s">
        <v>37</v>
      </c>
      <c r="Q587" s="41" t="s">
        <v>2769</v>
      </c>
      <c r="R587" s="41" t="s">
        <v>39</v>
      </c>
      <c r="S587" s="41" t="s">
        <v>40</v>
      </c>
      <c r="T587" s="41" t="s">
        <v>40</v>
      </c>
      <c r="U587" s="41" t="s">
        <v>40</v>
      </c>
    </row>
    <row r="588" spans="1:21">
      <c r="A588" s="41">
        <v>2354</v>
      </c>
      <c r="B588" s="41" t="s">
        <v>2770</v>
      </c>
      <c r="D588" s="41">
        <v>5442</v>
      </c>
      <c r="E588" s="41" t="s">
        <v>2771</v>
      </c>
      <c r="F588" s="41" t="s">
        <v>53</v>
      </c>
      <c r="G588" s="41" t="s">
        <v>307</v>
      </c>
      <c r="I588" s="41" t="s">
        <v>458</v>
      </c>
      <c r="J588" s="41" t="s">
        <v>32</v>
      </c>
      <c r="K588" s="42"/>
      <c r="L588" s="41" t="s">
        <v>2772</v>
      </c>
      <c r="M588" s="41">
        <v>154</v>
      </c>
      <c r="N588" s="41" t="s">
        <v>2773</v>
      </c>
      <c r="O588" s="41" t="s">
        <v>36</v>
      </c>
      <c r="P588" s="41" t="s">
        <v>60</v>
      </c>
      <c r="Q588" s="41" t="s">
        <v>608</v>
      </c>
      <c r="R588" s="41" t="s">
        <v>132</v>
      </c>
      <c r="S588" s="41" t="s">
        <v>2774</v>
      </c>
      <c r="T588" s="41" t="s">
        <v>2145</v>
      </c>
      <c r="U588" s="41" t="s">
        <v>40</v>
      </c>
    </row>
    <row r="589" spans="1:21">
      <c r="A589" s="41">
        <v>2353</v>
      </c>
      <c r="B589" s="41" t="s">
        <v>2770</v>
      </c>
      <c r="E589" s="41" t="s">
        <v>2463</v>
      </c>
      <c r="F589" s="41" t="s">
        <v>53</v>
      </c>
      <c r="G589" s="41" t="s">
        <v>43</v>
      </c>
      <c r="I589" s="41" t="s">
        <v>458</v>
      </c>
      <c r="J589" s="41" t="s">
        <v>32</v>
      </c>
      <c r="K589" s="42"/>
      <c r="L589" s="41" t="s">
        <v>2772</v>
      </c>
      <c r="M589" s="41">
        <v>154</v>
      </c>
      <c r="N589" s="41" t="s">
        <v>2773</v>
      </c>
      <c r="O589" s="41" t="s">
        <v>36</v>
      </c>
      <c r="P589" s="41" t="s">
        <v>60</v>
      </c>
      <c r="Q589" s="41" t="s">
        <v>608</v>
      </c>
      <c r="R589" s="41" t="s">
        <v>132</v>
      </c>
      <c r="S589" s="41" t="s">
        <v>40</v>
      </c>
      <c r="T589" s="41" t="s">
        <v>40</v>
      </c>
      <c r="U589" s="41" t="s">
        <v>40</v>
      </c>
    </row>
    <row r="590" spans="1:21">
      <c r="A590" s="41">
        <v>2352</v>
      </c>
      <c r="B590" s="41" t="s">
        <v>2775</v>
      </c>
      <c r="D590" s="41">
        <v>5456</v>
      </c>
      <c r="E590" s="41" t="s">
        <v>987</v>
      </c>
      <c r="F590" s="41" t="s">
        <v>28</v>
      </c>
      <c r="G590" s="41" t="s">
        <v>301</v>
      </c>
      <c r="I590" s="41" t="s">
        <v>411</v>
      </c>
      <c r="J590" s="41" t="s">
        <v>32</v>
      </c>
      <c r="K590" s="42"/>
      <c r="L590" s="41" t="s">
        <v>2776</v>
      </c>
      <c r="M590" s="41">
        <v>66</v>
      </c>
      <c r="N590" s="41" t="s">
        <v>67</v>
      </c>
      <c r="O590" s="41" t="s">
        <v>482</v>
      </c>
      <c r="P590" s="41" t="s">
        <v>1046</v>
      </c>
      <c r="Q590" s="41" t="s">
        <v>1110</v>
      </c>
      <c r="R590" s="41" t="s">
        <v>39</v>
      </c>
      <c r="S590" s="41" t="s">
        <v>2777</v>
      </c>
      <c r="T590" s="41" t="s">
        <v>2690</v>
      </c>
      <c r="U590" s="41" t="s">
        <v>40</v>
      </c>
    </row>
    <row r="591" spans="1:21">
      <c r="A591" s="41">
        <v>2351</v>
      </c>
      <c r="B591" s="41" t="s">
        <v>2775</v>
      </c>
      <c r="E591" s="41" t="s">
        <v>992</v>
      </c>
      <c r="F591" s="41" t="s">
        <v>28</v>
      </c>
      <c r="G591" s="41" t="s">
        <v>43</v>
      </c>
      <c r="I591" s="41" t="s">
        <v>411</v>
      </c>
      <c r="J591" s="41" t="s">
        <v>32</v>
      </c>
      <c r="K591" s="42"/>
      <c r="L591" s="41" t="s">
        <v>2778</v>
      </c>
      <c r="M591" s="41">
        <v>66</v>
      </c>
      <c r="N591" s="41" t="s">
        <v>67</v>
      </c>
      <c r="O591" s="41" t="s">
        <v>482</v>
      </c>
      <c r="P591" s="41" t="s">
        <v>1046</v>
      </c>
      <c r="Q591" s="41" t="s">
        <v>1110</v>
      </c>
      <c r="R591" s="41" t="s">
        <v>39</v>
      </c>
      <c r="S591" s="41" t="s">
        <v>40</v>
      </c>
      <c r="T591" s="41" t="s">
        <v>40</v>
      </c>
      <c r="U591" s="41" t="s">
        <v>40</v>
      </c>
    </row>
    <row r="592" spans="1:21">
      <c r="A592" s="41">
        <v>2350</v>
      </c>
      <c r="B592" s="41" t="s">
        <v>2779</v>
      </c>
      <c r="D592" s="41">
        <v>5455</v>
      </c>
      <c r="E592" s="41" t="s">
        <v>987</v>
      </c>
      <c r="F592" s="41" t="s">
        <v>28</v>
      </c>
      <c r="G592" s="41" t="s">
        <v>64</v>
      </c>
      <c r="I592" s="41" t="s">
        <v>411</v>
      </c>
      <c r="J592" s="41" t="s">
        <v>32</v>
      </c>
      <c r="K592" s="42"/>
      <c r="L592" s="41" t="s">
        <v>2780</v>
      </c>
      <c r="M592" s="41">
        <v>66</v>
      </c>
      <c r="N592" s="41" t="s">
        <v>67</v>
      </c>
      <c r="O592" s="41" t="s">
        <v>482</v>
      </c>
      <c r="P592" s="41" t="s">
        <v>83</v>
      </c>
      <c r="Q592" s="41" t="s">
        <v>461</v>
      </c>
      <c r="R592" s="41" t="s">
        <v>39</v>
      </c>
      <c r="S592" s="41" t="s">
        <v>40</v>
      </c>
      <c r="T592" s="41" t="s">
        <v>40</v>
      </c>
      <c r="U592" s="41" t="s">
        <v>40</v>
      </c>
    </row>
    <row r="593" spans="1:21">
      <c r="A593" s="41">
        <v>2349</v>
      </c>
      <c r="B593" s="41" t="s">
        <v>2781</v>
      </c>
      <c r="D593" s="41">
        <v>5457</v>
      </c>
      <c r="E593" s="41" t="s">
        <v>2782</v>
      </c>
      <c r="F593" s="41" t="s">
        <v>53</v>
      </c>
      <c r="G593" s="41" t="s">
        <v>64</v>
      </c>
      <c r="I593" s="41" t="s">
        <v>162</v>
      </c>
      <c r="J593" s="41" t="s">
        <v>32</v>
      </c>
      <c r="K593" s="42"/>
      <c r="L593" s="41" t="s">
        <v>2783</v>
      </c>
      <c r="M593" s="41">
        <v>110</v>
      </c>
      <c r="N593" s="41" t="s">
        <v>2784</v>
      </c>
      <c r="O593" s="41" t="s">
        <v>747</v>
      </c>
      <c r="P593" s="41" t="s">
        <v>68</v>
      </c>
      <c r="Q593" s="41" t="s">
        <v>1750</v>
      </c>
      <c r="R593" s="41" t="s">
        <v>132</v>
      </c>
      <c r="S593" s="41" t="s">
        <v>40</v>
      </c>
      <c r="T593" s="41" t="s">
        <v>40</v>
      </c>
      <c r="U593" s="41" t="s">
        <v>40</v>
      </c>
    </row>
    <row r="594" spans="1:21">
      <c r="A594" s="41">
        <v>2348</v>
      </c>
      <c r="B594" s="41" t="s">
        <v>2785</v>
      </c>
      <c r="E594" s="41" t="s">
        <v>2786</v>
      </c>
      <c r="F594" s="41" t="s">
        <v>53</v>
      </c>
      <c r="G594" s="41" t="s">
        <v>43</v>
      </c>
      <c r="I594" s="41" t="s">
        <v>162</v>
      </c>
      <c r="J594" s="41" t="s">
        <v>32</v>
      </c>
      <c r="K594" s="42"/>
      <c r="L594" s="41" t="s">
        <v>2787</v>
      </c>
      <c r="M594" s="41">
        <v>110</v>
      </c>
      <c r="N594" s="41" t="s">
        <v>2788</v>
      </c>
      <c r="O594" s="41" t="s">
        <v>747</v>
      </c>
      <c r="P594" s="41" t="s">
        <v>68</v>
      </c>
      <c r="Q594" s="41" t="s">
        <v>1750</v>
      </c>
      <c r="R594" s="41" t="s">
        <v>132</v>
      </c>
      <c r="S594" s="41" t="s">
        <v>40</v>
      </c>
      <c r="T594" s="41" t="s">
        <v>40</v>
      </c>
      <c r="U594" s="41" t="s">
        <v>40</v>
      </c>
    </row>
    <row r="595" spans="1:21">
      <c r="A595" s="41">
        <v>2347</v>
      </c>
      <c r="B595" s="41" t="s">
        <v>2789</v>
      </c>
      <c r="E595" s="41" t="s">
        <v>2221</v>
      </c>
      <c r="F595" s="41" t="s">
        <v>28</v>
      </c>
      <c r="G595" s="41" t="s">
        <v>64</v>
      </c>
      <c r="I595" s="41" t="s">
        <v>2653</v>
      </c>
      <c r="J595" s="41" t="s">
        <v>32</v>
      </c>
      <c r="K595" s="42"/>
      <c r="L595" s="41" t="s">
        <v>2790</v>
      </c>
      <c r="M595" s="41">
        <v>44</v>
      </c>
      <c r="N595" s="41" t="s">
        <v>2791</v>
      </c>
      <c r="O595" s="41" t="s">
        <v>2792</v>
      </c>
      <c r="P595" s="41" t="s">
        <v>68</v>
      </c>
      <c r="Q595" s="41" t="s">
        <v>69</v>
      </c>
      <c r="R595" s="41" t="s">
        <v>39</v>
      </c>
      <c r="S595" s="41" t="s">
        <v>40</v>
      </c>
      <c r="T595" s="41" t="s">
        <v>40</v>
      </c>
      <c r="U595" s="41" t="s">
        <v>40</v>
      </c>
    </row>
    <row r="596" spans="1:21">
      <c r="A596" s="41">
        <v>2346</v>
      </c>
      <c r="B596" s="41" t="s">
        <v>2793</v>
      </c>
      <c r="D596" s="41">
        <v>5451</v>
      </c>
      <c r="E596" s="41" t="s">
        <v>2221</v>
      </c>
      <c r="F596" s="41" t="s">
        <v>28</v>
      </c>
      <c r="G596" s="41" t="s">
        <v>64</v>
      </c>
      <c r="I596" s="41" t="s">
        <v>960</v>
      </c>
      <c r="J596" s="41" t="s">
        <v>32</v>
      </c>
      <c r="K596" s="42"/>
      <c r="L596" s="41" t="s">
        <v>2794</v>
      </c>
      <c r="M596" s="41">
        <v>110</v>
      </c>
      <c r="N596" s="41" t="s">
        <v>2791</v>
      </c>
      <c r="O596" s="41" t="s">
        <v>2791</v>
      </c>
      <c r="P596" s="41" t="s">
        <v>153</v>
      </c>
      <c r="Q596" s="41" t="s">
        <v>2224</v>
      </c>
      <c r="R596" s="41" t="s">
        <v>39</v>
      </c>
      <c r="S596" s="41" t="s">
        <v>40</v>
      </c>
      <c r="T596" s="41" t="s">
        <v>40</v>
      </c>
      <c r="U596" s="41" t="s">
        <v>40</v>
      </c>
    </row>
    <row r="597" spans="1:21">
      <c r="A597" s="41">
        <v>2345</v>
      </c>
      <c r="B597" s="41" t="s">
        <v>2795</v>
      </c>
      <c r="D597" s="41">
        <v>5452</v>
      </c>
      <c r="E597" s="41" t="s">
        <v>2221</v>
      </c>
      <c r="F597" s="41" t="s">
        <v>28</v>
      </c>
      <c r="G597" s="41" t="s">
        <v>64</v>
      </c>
      <c r="I597" s="41" t="s">
        <v>2796</v>
      </c>
      <c r="J597" s="41" t="s">
        <v>32</v>
      </c>
      <c r="K597" s="42"/>
      <c r="L597" s="41" t="s">
        <v>2797</v>
      </c>
      <c r="M597" s="41">
        <v>220</v>
      </c>
      <c r="N597" s="41" t="s">
        <v>2791</v>
      </c>
      <c r="O597" s="41" t="s">
        <v>2791</v>
      </c>
      <c r="P597" s="41" t="s">
        <v>60</v>
      </c>
      <c r="Q597" s="41" t="s">
        <v>1348</v>
      </c>
      <c r="R597" s="41" t="s">
        <v>39</v>
      </c>
      <c r="S597" s="41" t="s">
        <v>40</v>
      </c>
      <c r="T597" s="41" t="s">
        <v>40</v>
      </c>
      <c r="U597" s="41" t="s">
        <v>40</v>
      </c>
    </row>
    <row r="598" spans="1:21">
      <c r="A598" s="41">
        <v>2344</v>
      </c>
      <c r="B598" s="41" t="s">
        <v>2798</v>
      </c>
      <c r="D598" s="41">
        <v>5453</v>
      </c>
      <c r="E598" s="41" t="s">
        <v>2221</v>
      </c>
      <c r="F598" s="41" t="s">
        <v>28</v>
      </c>
      <c r="G598" s="41" t="s">
        <v>64</v>
      </c>
      <c r="I598" s="41" t="s">
        <v>406</v>
      </c>
      <c r="J598" s="41" t="s">
        <v>32</v>
      </c>
      <c r="K598" s="42"/>
      <c r="L598" s="41" t="s">
        <v>2799</v>
      </c>
      <c r="M598" s="41">
        <v>220</v>
      </c>
      <c r="N598" s="41" t="s">
        <v>2791</v>
      </c>
      <c r="O598" s="41" t="s">
        <v>2791</v>
      </c>
      <c r="P598" s="41" t="s">
        <v>172</v>
      </c>
      <c r="Q598" s="41" t="s">
        <v>1104</v>
      </c>
      <c r="R598" s="41" t="s">
        <v>39</v>
      </c>
      <c r="S598" s="41" t="s">
        <v>40</v>
      </c>
      <c r="T598" s="41" t="s">
        <v>40</v>
      </c>
      <c r="U598" s="41" t="s">
        <v>40</v>
      </c>
    </row>
    <row r="599" spans="1:21">
      <c r="A599" s="41">
        <v>2343</v>
      </c>
      <c r="B599" s="41" t="s">
        <v>2800</v>
      </c>
      <c r="D599" s="41">
        <v>5454</v>
      </c>
      <c r="E599" s="41" t="s">
        <v>2221</v>
      </c>
      <c r="F599" s="41" t="s">
        <v>28</v>
      </c>
      <c r="G599" s="41" t="s">
        <v>64</v>
      </c>
      <c r="I599" s="41" t="s">
        <v>2796</v>
      </c>
      <c r="J599" s="41" t="s">
        <v>32</v>
      </c>
      <c r="K599" s="42"/>
      <c r="L599" s="41" t="s">
        <v>2801</v>
      </c>
      <c r="M599" s="41">
        <v>220</v>
      </c>
      <c r="N599" s="41" t="s">
        <v>2791</v>
      </c>
      <c r="O599" s="41" t="s">
        <v>2791</v>
      </c>
      <c r="P599" s="41" t="s">
        <v>37</v>
      </c>
      <c r="Q599" s="41" t="s">
        <v>969</v>
      </c>
      <c r="R599" s="41" t="s">
        <v>39</v>
      </c>
      <c r="S599" s="41" t="s">
        <v>40</v>
      </c>
      <c r="T599" s="41" t="s">
        <v>40</v>
      </c>
      <c r="U599" s="41" t="s">
        <v>40</v>
      </c>
    </row>
    <row r="600" spans="1:21">
      <c r="A600" s="41">
        <v>2342</v>
      </c>
      <c r="B600" s="41" t="s">
        <v>2802</v>
      </c>
      <c r="D600" s="41">
        <v>5449</v>
      </c>
      <c r="E600" s="41" t="s">
        <v>1136</v>
      </c>
      <c r="F600" s="41" t="s">
        <v>28</v>
      </c>
      <c r="G600" s="41" t="s">
        <v>64</v>
      </c>
      <c r="I600" s="41" t="s">
        <v>2803</v>
      </c>
      <c r="J600" s="41" t="s">
        <v>32</v>
      </c>
      <c r="K600" s="42"/>
      <c r="L600" s="41" t="s">
        <v>2804</v>
      </c>
      <c r="M600" s="41">
        <v>220</v>
      </c>
      <c r="N600" s="41" t="s">
        <v>2805</v>
      </c>
      <c r="O600" s="41" t="s">
        <v>757</v>
      </c>
      <c r="P600" s="41" t="s">
        <v>179</v>
      </c>
      <c r="Q600" s="41" t="s">
        <v>538</v>
      </c>
      <c r="R600" s="41" t="s">
        <v>39</v>
      </c>
      <c r="S600" s="41" t="s">
        <v>40</v>
      </c>
      <c r="T600" s="41" t="s">
        <v>40</v>
      </c>
      <c r="U600" s="41" t="s">
        <v>40</v>
      </c>
    </row>
    <row r="601" spans="1:21">
      <c r="A601" s="41">
        <v>2341</v>
      </c>
      <c r="B601" s="41" t="s">
        <v>2806</v>
      </c>
      <c r="D601" s="41">
        <v>5448</v>
      </c>
      <c r="E601" s="41" t="s">
        <v>1617</v>
      </c>
      <c r="F601" s="41" t="s">
        <v>42</v>
      </c>
      <c r="G601" s="41" t="s">
        <v>141</v>
      </c>
      <c r="I601" s="41" t="s">
        <v>325</v>
      </c>
      <c r="J601" s="41" t="s">
        <v>32</v>
      </c>
      <c r="K601" s="42"/>
      <c r="L601" s="41" t="s">
        <v>2807</v>
      </c>
      <c r="M601" s="41">
        <v>220</v>
      </c>
      <c r="N601" s="41" t="s">
        <v>59</v>
      </c>
      <c r="O601" s="41" t="s">
        <v>2808</v>
      </c>
      <c r="P601" s="41" t="s">
        <v>179</v>
      </c>
      <c r="Q601" s="41" t="s">
        <v>592</v>
      </c>
      <c r="R601" s="41" t="s">
        <v>39</v>
      </c>
      <c r="S601" s="41" t="s">
        <v>40</v>
      </c>
      <c r="T601" s="41" t="s">
        <v>1449</v>
      </c>
      <c r="U601" s="41" t="s">
        <v>40</v>
      </c>
    </row>
    <row r="602" spans="1:21">
      <c r="A602" s="41">
        <v>2340</v>
      </c>
      <c r="B602" s="41" t="s">
        <v>2213</v>
      </c>
      <c r="D602" s="41">
        <v>5447</v>
      </c>
      <c r="E602" s="41" t="s">
        <v>1617</v>
      </c>
      <c r="F602" s="41" t="s">
        <v>42</v>
      </c>
      <c r="G602" s="41" t="s">
        <v>1175</v>
      </c>
      <c r="I602" s="41" t="s">
        <v>231</v>
      </c>
      <c r="J602" s="41" t="s">
        <v>32</v>
      </c>
      <c r="K602" s="42"/>
      <c r="L602" s="41" t="s">
        <v>2214</v>
      </c>
      <c r="M602" s="41">
        <v>110</v>
      </c>
      <c r="N602" s="41" t="s">
        <v>1052</v>
      </c>
      <c r="O602" s="41" t="s">
        <v>2809</v>
      </c>
      <c r="P602" s="41" t="s">
        <v>153</v>
      </c>
      <c r="Q602" s="41" t="s">
        <v>153</v>
      </c>
      <c r="R602" s="41" t="s">
        <v>39</v>
      </c>
      <c r="S602" s="41" t="s">
        <v>40</v>
      </c>
      <c r="T602" s="41" t="s">
        <v>40</v>
      </c>
      <c r="U602" s="41" t="s">
        <v>40</v>
      </c>
    </row>
    <row r="603" spans="1:21">
      <c r="A603" s="41">
        <v>2339</v>
      </c>
      <c r="B603" s="41" t="s">
        <v>2810</v>
      </c>
      <c r="D603" s="41">
        <v>5439</v>
      </c>
      <c r="E603" s="41" t="s">
        <v>998</v>
      </c>
      <c r="F603" s="41" t="s">
        <v>53</v>
      </c>
      <c r="G603" s="41" t="s">
        <v>1071</v>
      </c>
      <c r="I603" s="41" t="s">
        <v>2811</v>
      </c>
      <c r="J603" s="41" t="s">
        <v>672</v>
      </c>
      <c r="K603" s="42"/>
      <c r="L603" s="41" t="s">
        <v>2812</v>
      </c>
      <c r="M603" s="41">
        <v>15</v>
      </c>
      <c r="N603" s="41" t="s">
        <v>2813</v>
      </c>
      <c r="O603" s="41" t="s">
        <v>2814</v>
      </c>
      <c r="P603" s="41" t="s">
        <v>334</v>
      </c>
      <c r="Q603" s="41" t="s">
        <v>2815</v>
      </c>
      <c r="R603" s="41" t="s">
        <v>132</v>
      </c>
      <c r="S603" s="41" t="s">
        <v>40</v>
      </c>
      <c r="T603" s="41" t="s">
        <v>40</v>
      </c>
      <c r="U603" s="41" t="s">
        <v>40</v>
      </c>
    </row>
    <row r="604" spans="1:21">
      <c r="A604" s="41">
        <v>2338</v>
      </c>
      <c r="B604" s="41" t="s">
        <v>2810</v>
      </c>
      <c r="E604" s="41" t="s">
        <v>998</v>
      </c>
      <c r="F604" s="41" t="s">
        <v>53</v>
      </c>
      <c r="G604" s="41" t="s">
        <v>43</v>
      </c>
      <c r="I604" s="41" t="s">
        <v>2811</v>
      </c>
      <c r="J604" s="41" t="s">
        <v>672</v>
      </c>
      <c r="K604" s="42"/>
      <c r="L604" s="41" t="s">
        <v>2812</v>
      </c>
      <c r="M604" s="41">
        <v>15</v>
      </c>
      <c r="N604" s="41" t="s">
        <v>2813</v>
      </c>
      <c r="O604" s="41" t="s">
        <v>2814</v>
      </c>
      <c r="P604" s="41" t="s">
        <v>334</v>
      </c>
      <c r="Q604" s="41" t="s">
        <v>2815</v>
      </c>
      <c r="R604" s="41" t="s">
        <v>132</v>
      </c>
      <c r="S604" s="41" t="s">
        <v>40</v>
      </c>
      <c r="T604" s="41" t="s">
        <v>40</v>
      </c>
      <c r="U604" s="41" t="s">
        <v>40</v>
      </c>
    </row>
    <row r="605" spans="1:21">
      <c r="A605" s="41">
        <v>2337</v>
      </c>
      <c r="B605" s="41" t="s">
        <v>2816</v>
      </c>
      <c r="D605" s="41">
        <v>5438</v>
      </c>
      <c r="E605" s="41" t="s">
        <v>998</v>
      </c>
      <c r="F605" s="41" t="s">
        <v>53</v>
      </c>
      <c r="G605" s="41" t="s">
        <v>1071</v>
      </c>
      <c r="I605" s="41" t="s">
        <v>2817</v>
      </c>
      <c r="J605" s="41" t="s">
        <v>672</v>
      </c>
      <c r="K605" s="42"/>
      <c r="L605" s="41" t="s">
        <v>2812</v>
      </c>
      <c r="M605" s="41">
        <v>15</v>
      </c>
      <c r="N605" s="41" t="s">
        <v>2813</v>
      </c>
      <c r="O605" s="41" t="s">
        <v>2818</v>
      </c>
      <c r="P605" s="41" t="s">
        <v>334</v>
      </c>
      <c r="Q605" s="41" t="s">
        <v>2815</v>
      </c>
      <c r="R605" s="41" t="s">
        <v>132</v>
      </c>
      <c r="S605" s="41" t="s">
        <v>40</v>
      </c>
      <c r="T605" s="41" t="s">
        <v>40</v>
      </c>
      <c r="U605" s="41" t="s">
        <v>40</v>
      </c>
    </row>
    <row r="606" spans="1:21">
      <c r="A606" s="41">
        <v>2336</v>
      </c>
      <c r="B606" s="41" t="s">
        <v>2819</v>
      </c>
      <c r="E606" s="41" t="s">
        <v>1656</v>
      </c>
      <c r="F606" s="41" t="s">
        <v>28</v>
      </c>
      <c r="G606" s="41" t="s">
        <v>43</v>
      </c>
      <c r="I606" s="41" t="s">
        <v>2820</v>
      </c>
      <c r="J606" s="41" t="s">
        <v>295</v>
      </c>
      <c r="K606" s="42"/>
      <c r="L606" s="41" t="s">
        <v>2821</v>
      </c>
      <c r="M606" s="41">
        <v>33</v>
      </c>
      <c r="N606" s="41" t="s">
        <v>2822</v>
      </c>
      <c r="O606" s="41" t="s">
        <v>989</v>
      </c>
      <c r="P606" s="41" t="s">
        <v>37</v>
      </c>
      <c r="Q606" s="41" t="s">
        <v>969</v>
      </c>
      <c r="R606" s="41" t="s">
        <v>39</v>
      </c>
      <c r="S606" s="41" t="s">
        <v>40</v>
      </c>
      <c r="T606" s="41" t="s">
        <v>40</v>
      </c>
      <c r="U606" s="41" t="s">
        <v>40</v>
      </c>
    </row>
    <row r="607" spans="1:21">
      <c r="A607" s="41">
        <v>2335</v>
      </c>
      <c r="B607" s="41" t="s">
        <v>2819</v>
      </c>
      <c r="D607" s="41">
        <v>5441</v>
      </c>
      <c r="E607" s="41" t="s">
        <v>1656</v>
      </c>
      <c r="F607" s="41" t="s">
        <v>28</v>
      </c>
      <c r="G607" s="41" t="s">
        <v>43</v>
      </c>
      <c r="I607" s="41" t="s">
        <v>2820</v>
      </c>
      <c r="J607" s="41" t="s">
        <v>295</v>
      </c>
      <c r="K607" s="42"/>
      <c r="L607" s="41" t="s">
        <v>2823</v>
      </c>
      <c r="M607" s="41">
        <v>33</v>
      </c>
      <c r="N607" s="41" t="s">
        <v>1522</v>
      </c>
      <c r="O607" s="41" t="s">
        <v>989</v>
      </c>
      <c r="P607" s="41" t="s">
        <v>37</v>
      </c>
      <c r="Q607" s="41" t="s">
        <v>969</v>
      </c>
      <c r="R607" s="41" t="s">
        <v>39</v>
      </c>
      <c r="S607" s="41" t="s">
        <v>40</v>
      </c>
      <c r="T607" s="41" t="s">
        <v>40</v>
      </c>
      <c r="U607" s="41" t="s">
        <v>40</v>
      </c>
    </row>
    <row r="608" spans="1:21">
      <c r="A608" s="41">
        <v>2334</v>
      </c>
      <c r="B608" s="41" t="s">
        <v>2824</v>
      </c>
      <c r="D608" s="41">
        <v>5432</v>
      </c>
      <c r="E608" s="41" t="s">
        <v>2571</v>
      </c>
      <c r="F608" s="41" t="s">
        <v>42</v>
      </c>
      <c r="G608" s="41" t="s">
        <v>43</v>
      </c>
      <c r="I608" s="41" t="s">
        <v>411</v>
      </c>
      <c r="J608" s="41" t="s">
        <v>32</v>
      </c>
      <c r="K608" s="42"/>
      <c r="L608" s="41" t="s">
        <v>2660</v>
      </c>
      <c r="M608" s="41">
        <v>33</v>
      </c>
      <c r="N608" s="41" t="s">
        <v>2668</v>
      </c>
      <c r="O608" s="41" t="s">
        <v>2662</v>
      </c>
      <c r="P608" s="41" t="s">
        <v>78</v>
      </c>
      <c r="Q608" s="41" t="s">
        <v>79</v>
      </c>
      <c r="R608" s="41" t="s">
        <v>39</v>
      </c>
      <c r="S608" s="41" t="s">
        <v>40</v>
      </c>
      <c r="T608" s="41" t="s">
        <v>40</v>
      </c>
      <c r="U608" s="41" t="s">
        <v>40</v>
      </c>
    </row>
    <row r="609" spans="1:21">
      <c r="A609" s="41">
        <v>2333</v>
      </c>
      <c r="B609" s="41" t="s">
        <v>2825</v>
      </c>
      <c r="D609" s="41">
        <v>5444</v>
      </c>
      <c r="E609" s="41" t="s">
        <v>1954</v>
      </c>
      <c r="F609" s="41" t="s">
        <v>53</v>
      </c>
      <c r="G609" s="41" t="s">
        <v>141</v>
      </c>
      <c r="I609" s="41" t="s">
        <v>231</v>
      </c>
      <c r="J609" s="41" t="s">
        <v>32</v>
      </c>
      <c r="K609" s="42"/>
      <c r="L609" s="41" t="s">
        <v>2826</v>
      </c>
      <c r="M609" s="41">
        <v>44</v>
      </c>
      <c r="N609" s="41" t="s">
        <v>2827</v>
      </c>
      <c r="O609" s="41" t="s">
        <v>2828</v>
      </c>
      <c r="P609" s="41" t="s">
        <v>68</v>
      </c>
      <c r="Q609" s="41" t="s">
        <v>1156</v>
      </c>
      <c r="R609" s="41" t="s">
        <v>132</v>
      </c>
      <c r="S609" s="41" t="s">
        <v>2829</v>
      </c>
      <c r="T609" s="41" t="s">
        <v>1796</v>
      </c>
      <c r="U609" s="41" t="s">
        <v>40</v>
      </c>
    </row>
    <row r="610" spans="1:21">
      <c r="A610" s="41">
        <v>2332</v>
      </c>
      <c r="B610" s="41" t="s">
        <v>2830</v>
      </c>
      <c r="D610" s="41">
        <v>5437</v>
      </c>
      <c r="E610" s="41" t="s">
        <v>2571</v>
      </c>
      <c r="F610" s="41" t="s">
        <v>28</v>
      </c>
      <c r="G610" s="41" t="s">
        <v>301</v>
      </c>
      <c r="I610" s="41" t="s">
        <v>960</v>
      </c>
      <c r="J610" s="41" t="s">
        <v>32</v>
      </c>
      <c r="K610" s="42"/>
      <c r="L610" s="41" t="s">
        <v>2831</v>
      </c>
      <c r="M610" s="41">
        <v>110</v>
      </c>
      <c r="N610" s="41" t="s">
        <v>59</v>
      </c>
      <c r="O610" s="41" t="s">
        <v>741</v>
      </c>
      <c r="P610" s="41" t="s">
        <v>78</v>
      </c>
      <c r="Q610" s="41" t="s">
        <v>79</v>
      </c>
      <c r="R610" s="41" t="s">
        <v>39</v>
      </c>
      <c r="S610" s="41" t="s">
        <v>2832</v>
      </c>
      <c r="T610" s="41" t="s">
        <v>2690</v>
      </c>
      <c r="U610" s="41" t="s">
        <v>40</v>
      </c>
    </row>
    <row r="611" spans="1:21">
      <c r="A611" s="41">
        <v>2331</v>
      </c>
      <c r="B611" s="41" t="s">
        <v>2833</v>
      </c>
      <c r="D611" s="41">
        <v>5445</v>
      </c>
      <c r="E611" s="41" t="s">
        <v>2834</v>
      </c>
      <c r="F611" s="41" t="s">
        <v>53</v>
      </c>
      <c r="G611" s="41" t="s">
        <v>54</v>
      </c>
      <c r="I611" s="41" t="s">
        <v>411</v>
      </c>
      <c r="J611" s="41" t="s">
        <v>32</v>
      </c>
      <c r="K611" s="42"/>
      <c r="L611" s="41" t="s">
        <v>2835</v>
      </c>
      <c r="M611" s="41">
        <v>66</v>
      </c>
      <c r="N611" s="41" t="s">
        <v>67</v>
      </c>
      <c r="O611" s="41" t="s">
        <v>2836</v>
      </c>
      <c r="P611" s="41" t="s">
        <v>172</v>
      </c>
      <c r="Q611" s="41" t="s">
        <v>173</v>
      </c>
      <c r="R611" s="41" t="s">
        <v>132</v>
      </c>
      <c r="S611" s="41" t="s">
        <v>40</v>
      </c>
      <c r="T611" s="41" t="s">
        <v>40</v>
      </c>
      <c r="U611" s="41" t="s">
        <v>40</v>
      </c>
    </row>
    <row r="612" spans="1:21">
      <c r="A612" s="41">
        <v>2330</v>
      </c>
      <c r="B612" s="41" t="s">
        <v>2837</v>
      </c>
      <c r="D612" s="41">
        <v>5436</v>
      </c>
      <c r="E612" s="41" t="s">
        <v>1227</v>
      </c>
      <c r="F612" s="41" t="s">
        <v>28</v>
      </c>
      <c r="G612" s="41" t="s">
        <v>43</v>
      </c>
      <c r="I612" s="41" t="s">
        <v>231</v>
      </c>
      <c r="J612" s="41" t="s">
        <v>32</v>
      </c>
      <c r="K612" s="42"/>
      <c r="L612" s="41" t="s">
        <v>2838</v>
      </c>
      <c r="M612" s="41">
        <v>33</v>
      </c>
      <c r="N612" s="41" t="s">
        <v>2839</v>
      </c>
      <c r="O612" s="41" t="s">
        <v>2840</v>
      </c>
      <c r="P612" s="41" t="s">
        <v>98</v>
      </c>
      <c r="Q612" s="41" t="s">
        <v>116</v>
      </c>
      <c r="R612" s="41" t="s">
        <v>39</v>
      </c>
      <c r="S612" s="41" t="s">
        <v>40</v>
      </c>
      <c r="T612" s="41" t="s">
        <v>40</v>
      </c>
      <c r="U612" s="41" t="s">
        <v>40</v>
      </c>
    </row>
    <row r="613" spans="1:21">
      <c r="A613" s="41">
        <v>2329</v>
      </c>
      <c r="B613" s="41" t="s">
        <v>2841</v>
      </c>
      <c r="D613" s="41">
        <v>5440</v>
      </c>
      <c r="E613" s="41" t="s">
        <v>2656</v>
      </c>
      <c r="F613" s="41" t="s">
        <v>53</v>
      </c>
      <c r="G613" s="41" t="s">
        <v>64</v>
      </c>
      <c r="I613" s="41" t="s">
        <v>1188</v>
      </c>
      <c r="J613" s="41" t="s">
        <v>32</v>
      </c>
      <c r="K613" s="42"/>
      <c r="L613" s="41" t="s">
        <v>2842</v>
      </c>
      <c r="M613" s="41">
        <v>220</v>
      </c>
      <c r="N613" s="41" t="s">
        <v>1241</v>
      </c>
      <c r="O613" s="41" t="s">
        <v>2843</v>
      </c>
      <c r="P613" s="41" t="s">
        <v>68</v>
      </c>
      <c r="Q613" s="41" t="s">
        <v>403</v>
      </c>
      <c r="R613" s="41" t="s">
        <v>62</v>
      </c>
      <c r="S613" s="41" t="s">
        <v>40</v>
      </c>
      <c r="T613" s="41" t="s">
        <v>40</v>
      </c>
      <c r="U613" s="41" t="s">
        <v>40</v>
      </c>
    </row>
    <row r="614" spans="1:21">
      <c r="A614" s="41">
        <v>2328</v>
      </c>
      <c r="B614" s="41" t="s">
        <v>2844</v>
      </c>
      <c r="D614" s="41">
        <v>5416</v>
      </c>
      <c r="E614" s="41" t="s">
        <v>2845</v>
      </c>
      <c r="F614" s="41" t="s">
        <v>42</v>
      </c>
      <c r="G614" s="41" t="s">
        <v>1036</v>
      </c>
      <c r="I614" s="41" t="s">
        <v>2846</v>
      </c>
      <c r="J614" s="41" t="s">
        <v>32</v>
      </c>
      <c r="K614" s="42"/>
      <c r="L614" s="41" t="s">
        <v>2847</v>
      </c>
      <c r="M614" s="41">
        <v>33</v>
      </c>
      <c r="N614" s="41" t="s">
        <v>2822</v>
      </c>
      <c r="O614" s="41" t="s">
        <v>2848</v>
      </c>
      <c r="P614" s="41" t="s">
        <v>179</v>
      </c>
      <c r="Q614" s="41" t="s">
        <v>1116</v>
      </c>
      <c r="R614" s="41" t="s">
        <v>39</v>
      </c>
      <c r="S614" s="41" t="s">
        <v>40</v>
      </c>
      <c r="T614" s="41" t="s">
        <v>40</v>
      </c>
      <c r="U614" s="41" t="s">
        <v>40</v>
      </c>
    </row>
    <row r="615" spans="1:21">
      <c r="A615" s="41">
        <v>2327</v>
      </c>
      <c r="B615" s="41" t="s">
        <v>2849</v>
      </c>
      <c r="D615" s="41">
        <v>5435</v>
      </c>
      <c r="E615" s="41" t="s">
        <v>1191</v>
      </c>
      <c r="F615" s="41" t="s">
        <v>53</v>
      </c>
      <c r="G615" s="41" t="s">
        <v>141</v>
      </c>
      <c r="I615" s="41" t="s">
        <v>392</v>
      </c>
      <c r="J615" s="41" t="s">
        <v>32</v>
      </c>
      <c r="K615" s="42"/>
      <c r="L615" s="41" t="s">
        <v>2850</v>
      </c>
      <c r="M615" s="41">
        <v>220</v>
      </c>
      <c r="N615" s="41" t="s">
        <v>1741</v>
      </c>
      <c r="O615" s="41" t="s">
        <v>1045</v>
      </c>
      <c r="P615" s="41" t="s">
        <v>98</v>
      </c>
      <c r="Q615" s="41" t="s">
        <v>116</v>
      </c>
      <c r="R615" s="41" t="s">
        <v>62</v>
      </c>
      <c r="S615" s="41" t="s">
        <v>2851</v>
      </c>
      <c r="T615" s="41" t="s">
        <v>2852</v>
      </c>
      <c r="U615" s="41" t="s">
        <v>40</v>
      </c>
    </row>
    <row r="616" spans="1:21">
      <c r="A616" s="41">
        <v>2326</v>
      </c>
      <c r="B616" s="41" t="s">
        <v>2853</v>
      </c>
      <c r="D616" s="41">
        <v>5434</v>
      </c>
      <c r="E616" s="41" t="s">
        <v>1191</v>
      </c>
      <c r="F616" s="41" t="s">
        <v>53</v>
      </c>
      <c r="G616" s="41" t="s">
        <v>141</v>
      </c>
      <c r="I616" s="41" t="s">
        <v>392</v>
      </c>
      <c r="J616" s="41" t="s">
        <v>32</v>
      </c>
      <c r="K616" s="42"/>
      <c r="L616" s="41" t="s">
        <v>2850</v>
      </c>
      <c r="M616" s="41">
        <v>220</v>
      </c>
      <c r="N616" s="41" t="s">
        <v>151</v>
      </c>
      <c r="O616" s="41" t="s">
        <v>2854</v>
      </c>
      <c r="P616" s="41" t="s">
        <v>98</v>
      </c>
      <c r="Q616" s="41" t="s">
        <v>116</v>
      </c>
      <c r="R616" s="41" t="s">
        <v>62</v>
      </c>
      <c r="S616" s="41" t="s">
        <v>2855</v>
      </c>
      <c r="T616" s="41" t="s">
        <v>1500</v>
      </c>
      <c r="U616" s="41" t="s">
        <v>40</v>
      </c>
    </row>
    <row r="617" spans="1:21">
      <c r="A617" s="41">
        <v>2325</v>
      </c>
      <c r="B617" s="41" t="s">
        <v>780</v>
      </c>
      <c r="C617" s="41">
        <v>1</v>
      </c>
      <c r="D617" s="41">
        <v>5433</v>
      </c>
      <c r="E617" s="41" t="s">
        <v>686</v>
      </c>
      <c r="F617" s="41" t="s">
        <v>53</v>
      </c>
      <c r="G617" s="41" t="s">
        <v>141</v>
      </c>
      <c r="H617" s="42">
        <v>45645</v>
      </c>
      <c r="I617" s="41">
        <v>25</v>
      </c>
      <c r="J617" s="41" t="s">
        <v>672</v>
      </c>
      <c r="K617" s="42">
        <v>46404</v>
      </c>
      <c r="L617" s="41" t="s">
        <v>783</v>
      </c>
      <c r="M617" s="41">
        <v>110</v>
      </c>
      <c r="N617" s="41" t="s">
        <v>784</v>
      </c>
      <c r="O617" s="41" t="s">
        <v>691</v>
      </c>
      <c r="P617" s="41" t="s">
        <v>68</v>
      </c>
      <c r="Q617" s="41" t="s">
        <v>191</v>
      </c>
      <c r="R617" s="41" t="s">
        <v>132</v>
      </c>
      <c r="S617" s="41" t="s">
        <v>2856</v>
      </c>
      <c r="T617" s="41" t="s">
        <v>2512</v>
      </c>
      <c r="U617" s="41" t="s">
        <v>40</v>
      </c>
    </row>
    <row r="618" spans="1:21">
      <c r="A618" s="41">
        <v>2324</v>
      </c>
      <c r="B618" s="41" t="s">
        <v>2857</v>
      </c>
      <c r="D618" s="41">
        <v>5431</v>
      </c>
      <c r="E618" s="41" t="s">
        <v>2858</v>
      </c>
      <c r="F618" s="41" t="s">
        <v>42</v>
      </c>
      <c r="G618" s="41" t="s">
        <v>121</v>
      </c>
      <c r="I618" s="41" t="s">
        <v>2859</v>
      </c>
      <c r="J618" s="41" t="s">
        <v>32</v>
      </c>
      <c r="K618" s="42"/>
      <c r="L618" s="41" t="s">
        <v>2860</v>
      </c>
      <c r="M618" s="41">
        <v>33</v>
      </c>
      <c r="N618" s="41" t="s">
        <v>2861</v>
      </c>
      <c r="O618" s="41" t="s">
        <v>2861</v>
      </c>
      <c r="P618" s="41" t="s">
        <v>98</v>
      </c>
      <c r="Q618" s="41" t="s">
        <v>116</v>
      </c>
      <c r="S618" s="41" t="s">
        <v>40</v>
      </c>
      <c r="T618" s="41" t="s">
        <v>1773</v>
      </c>
      <c r="U618" s="41" t="s">
        <v>40</v>
      </c>
    </row>
    <row r="619" spans="1:21">
      <c r="A619" s="41">
        <v>2323</v>
      </c>
      <c r="B619" s="41" t="s">
        <v>2862</v>
      </c>
      <c r="D619" s="41">
        <v>5428</v>
      </c>
      <c r="E619" s="41" t="s">
        <v>1354</v>
      </c>
      <c r="F619" s="41" t="s">
        <v>42</v>
      </c>
      <c r="G619" s="41" t="s">
        <v>141</v>
      </c>
      <c r="I619" s="41" t="s">
        <v>464</v>
      </c>
      <c r="J619" s="41" t="s">
        <v>32</v>
      </c>
      <c r="K619" s="42"/>
      <c r="L619" s="41" t="s">
        <v>2863</v>
      </c>
      <c r="M619" s="41">
        <v>10</v>
      </c>
      <c r="N619" s="41" t="s">
        <v>2864</v>
      </c>
      <c r="O619" s="41" t="s">
        <v>36</v>
      </c>
      <c r="P619" s="41" t="s">
        <v>179</v>
      </c>
      <c r="Q619" s="41" t="s">
        <v>592</v>
      </c>
      <c r="R619" s="41" t="s">
        <v>39</v>
      </c>
      <c r="S619" s="41" t="s">
        <v>40</v>
      </c>
      <c r="T619" s="41" t="s">
        <v>1699</v>
      </c>
      <c r="U619" s="41" t="s">
        <v>40</v>
      </c>
    </row>
    <row r="620" spans="1:21">
      <c r="A620" s="41">
        <v>2322</v>
      </c>
      <c r="B620" s="41" t="s">
        <v>2865</v>
      </c>
      <c r="D620" s="41">
        <v>5417</v>
      </c>
      <c r="E620" s="41" t="s">
        <v>1351</v>
      </c>
      <c r="F620" s="41" t="s">
        <v>53</v>
      </c>
      <c r="G620" s="41" t="s">
        <v>1071</v>
      </c>
      <c r="I620" s="41" t="s">
        <v>2866</v>
      </c>
      <c r="J620" s="41" t="s">
        <v>672</v>
      </c>
      <c r="K620" s="42"/>
      <c r="L620" s="41" t="s">
        <v>2867</v>
      </c>
      <c r="M620" s="41">
        <v>23</v>
      </c>
      <c r="N620" s="41" t="s">
        <v>2868</v>
      </c>
      <c r="O620" s="41" t="s">
        <v>2869</v>
      </c>
      <c r="P620" s="41" t="s">
        <v>68</v>
      </c>
      <c r="Q620" s="41" t="s">
        <v>191</v>
      </c>
      <c r="R620" s="41" t="s">
        <v>132</v>
      </c>
      <c r="S620" s="41" t="s">
        <v>40</v>
      </c>
      <c r="T620" s="41" t="s">
        <v>40</v>
      </c>
      <c r="U620" s="41" t="s">
        <v>40</v>
      </c>
    </row>
    <row r="621" spans="1:21">
      <c r="A621" s="41">
        <v>2321</v>
      </c>
      <c r="B621" s="41" t="s">
        <v>2870</v>
      </c>
      <c r="D621" s="41">
        <v>5414</v>
      </c>
      <c r="E621" s="41" t="s">
        <v>1091</v>
      </c>
      <c r="F621" s="41" t="s">
        <v>53</v>
      </c>
      <c r="G621" s="41" t="s">
        <v>307</v>
      </c>
      <c r="I621" s="41" t="s">
        <v>1092</v>
      </c>
      <c r="J621" s="41" t="s">
        <v>672</v>
      </c>
      <c r="K621" s="42"/>
      <c r="L621" s="41" t="s">
        <v>2871</v>
      </c>
      <c r="M621" s="41">
        <v>12</v>
      </c>
      <c r="N621" s="41" t="s">
        <v>2506</v>
      </c>
      <c r="O621" s="41" t="s">
        <v>2872</v>
      </c>
      <c r="P621" s="41" t="s">
        <v>68</v>
      </c>
      <c r="Q621" s="41" t="s">
        <v>2163</v>
      </c>
      <c r="R621" s="41" t="s">
        <v>132</v>
      </c>
      <c r="S621" s="41" t="s">
        <v>2873</v>
      </c>
      <c r="T621" s="41" t="s">
        <v>2246</v>
      </c>
      <c r="U621" s="41" t="s">
        <v>40</v>
      </c>
    </row>
    <row r="622" spans="1:21">
      <c r="A622" s="41">
        <v>2320</v>
      </c>
      <c r="B622" s="41" t="s">
        <v>2874</v>
      </c>
      <c r="D622" s="41">
        <v>5411</v>
      </c>
      <c r="E622" s="41" t="s">
        <v>1091</v>
      </c>
      <c r="F622" s="41" t="s">
        <v>53</v>
      </c>
      <c r="G622" s="41" t="s">
        <v>307</v>
      </c>
      <c r="I622" s="41" t="s">
        <v>977</v>
      </c>
      <c r="J622" s="41" t="s">
        <v>672</v>
      </c>
      <c r="K622" s="42"/>
      <c r="L622" s="41" t="s">
        <v>2875</v>
      </c>
      <c r="M622" s="41">
        <v>23</v>
      </c>
      <c r="N622" s="41" t="s">
        <v>2876</v>
      </c>
      <c r="O622" s="41" t="s">
        <v>2877</v>
      </c>
      <c r="P622" s="41" t="s">
        <v>68</v>
      </c>
      <c r="Q622" s="41" t="s">
        <v>403</v>
      </c>
      <c r="R622" s="41" t="s">
        <v>132</v>
      </c>
      <c r="S622" s="41" t="s">
        <v>2878</v>
      </c>
      <c r="T622" s="41" t="s">
        <v>210</v>
      </c>
      <c r="U622" s="41" t="s">
        <v>40</v>
      </c>
    </row>
    <row r="623" spans="1:21">
      <c r="A623" s="41">
        <v>2319</v>
      </c>
      <c r="B623" s="41" t="s">
        <v>2879</v>
      </c>
      <c r="D623" s="41">
        <v>5412</v>
      </c>
      <c r="E623" s="41" t="s">
        <v>1091</v>
      </c>
      <c r="F623" s="41" t="s">
        <v>53</v>
      </c>
      <c r="G623" s="41" t="s">
        <v>307</v>
      </c>
      <c r="I623" s="41" t="s">
        <v>1092</v>
      </c>
      <c r="J623" s="41" t="s">
        <v>672</v>
      </c>
      <c r="K623" s="42"/>
      <c r="L623" s="41" t="s">
        <v>2160</v>
      </c>
      <c r="M623" s="41">
        <v>12</v>
      </c>
      <c r="N623" s="41" t="s">
        <v>2506</v>
      </c>
      <c r="O623" s="41" t="s">
        <v>2880</v>
      </c>
      <c r="P623" s="41" t="s">
        <v>68</v>
      </c>
      <c r="Q623" s="41" t="s">
        <v>2163</v>
      </c>
      <c r="R623" s="41" t="s">
        <v>132</v>
      </c>
      <c r="S623" s="41" t="s">
        <v>2881</v>
      </c>
      <c r="T623" s="41" t="s">
        <v>1773</v>
      </c>
      <c r="U623" s="41" t="s">
        <v>40</v>
      </c>
    </row>
    <row r="624" spans="1:21">
      <c r="A624" s="41">
        <v>2318</v>
      </c>
      <c r="B624" s="41" t="s">
        <v>2882</v>
      </c>
      <c r="D624" s="41">
        <v>5413</v>
      </c>
      <c r="E624" s="41" t="s">
        <v>1091</v>
      </c>
      <c r="F624" s="41" t="s">
        <v>53</v>
      </c>
      <c r="G624" s="41" t="s">
        <v>307</v>
      </c>
      <c r="I624" s="41" t="s">
        <v>1092</v>
      </c>
      <c r="J624" s="41" t="s">
        <v>672</v>
      </c>
      <c r="K624" s="42"/>
      <c r="L624" s="41" t="s">
        <v>1260</v>
      </c>
      <c r="M624" s="41">
        <v>12</v>
      </c>
      <c r="N624" s="41" t="s">
        <v>2883</v>
      </c>
      <c r="O624" s="41" t="s">
        <v>1095</v>
      </c>
      <c r="P624" s="41" t="s">
        <v>68</v>
      </c>
      <c r="Q624" s="41" t="s">
        <v>2884</v>
      </c>
      <c r="R624" s="41" t="s">
        <v>132</v>
      </c>
      <c r="S624" s="41" t="s">
        <v>2885</v>
      </c>
      <c r="T624" s="41" t="s">
        <v>1773</v>
      </c>
      <c r="U624" s="41" t="s">
        <v>40</v>
      </c>
    </row>
    <row r="625" spans="1:21">
      <c r="A625" s="41">
        <v>2317</v>
      </c>
      <c r="B625" s="41" t="s">
        <v>2886</v>
      </c>
      <c r="D625" s="41">
        <v>5425</v>
      </c>
      <c r="E625" s="41" t="s">
        <v>1227</v>
      </c>
      <c r="F625" s="41" t="s">
        <v>28</v>
      </c>
      <c r="G625" s="41" t="s">
        <v>301</v>
      </c>
      <c r="I625" s="41" t="s">
        <v>406</v>
      </c>
      <c r="J625" s="41" t="s">
        <v>32</v>
      </c>
      <c r="K625" s="42"/>
      <c r="L625" s="41" t="s">
        <v>2887</v>
      </c>
      <c r="M625" s="41">
        <v>220</v>
      </c>
      <c r="N625" s="41" t="s">
        <v>67</v>
      </c>
      <c r="O625" s="41" t="s">
        <v>1225</v>
      </c>
      <c r="P625" s="41" t="s">
        <v>68</v>
      </c>
      <c r="Q625" s="41" t="s">
        <v>699</v>
      </c>
      <c r="R625" s="41" t="s">
        <v>39</v>
      </c>
      <c r="S625" s="41" t="s">
        <v>2888</v>
      </c>
      <c r="T625" s="41" t="s">
        <v>2690</v>
      </c>
      <c r="U625" s="41" t="s">
        <v>40</v>
      </c>
    </row>
    <row r="626" spans="1:21">
      <c r="A626" s="41">
        <v>2316</v>
      </c>
      <c r="B626" s="41" t="s">
        <v>2889</v>
      </c>
      <c r="D626" s="41">
        <v>5410</v>
      </c>
      <c r="E626" s="41" t="s">
        <v>2890</v>
      </c>
      <c r="F626" s="41" t="s">
        <v>53</v>
      </c>
      <c r="G626" s="41" t="s">
        <v>64</v>
      </c>
      <c r="I626" s="41" t="s">
        <v>392</v>
      </c>
      <c r="J626" s="41" t="s">
        <v>295</v>
      </c>
      <c r="K626" s="42"/>
      <c r="L626" s="41" t="s">
        <v>2891</v>
      </c>
      <c r="M626" s="41">
        <v>220</v>
      </c>
      <c r="N626" s="41" t="s">
        <v>36</v>
      </c>
      <c r="O626" s="41" t="s">
        <v>36</v>
      </c>
      <c r="P626" s="41" t="s">
        <v>98</v>
      </c>
      <c r="Q626" s="41" t="s">
        <v>98</v>
      </c>
      <c r="R626" s="41" t="s">
        <v>132</v>
      </c>
      <c r="S626" s="41" t="s">
        <v>40</v>
      </c>
      <c r="T626" s="41" t="s">
        <v>40</v>
      </c>
      <c r="U626" s="41" t="s">
        <v>40</v>
      </c>
    </row>
    <row r="627" spans="1:21">
      <c r="A627" s="41">
        <v>2315</v>
      </c>
      <c r="B627" s="41" t="s">
        <v>2892</v>
      </c>
      <c r="D627" s="41">
        <v>5409</v>
      </c>
      <c r="E627" s="41" t="s">
        <v>2893</v>
      </c>
      <c r="F627" s="41" t="s">
        <v>53</v>
      </c>
      <c r="G627" s="41" t="s">
        <v>54</v>
      </c>
      <c r="I627" s="41" t="s">
        <v>102</v>
      </c>
      <c r="J627" s="41" t="s">
        <v>380</v>
      </c>
      <c r="K627" s="42"/>
      <c r="L627" s="41" t="s">
        <v>2894</v>
      </c>
      <c r="M627" s="41">
        <v>220</v>
      </c>
      <c r="N627" s="41" t="s">
        <v>2895</v>
      </c>
      <c r="O627" s="41" t="s">
        <v>2896</v>
      </c>
      <c r="P627" s="41" t="s">
        <v>179</v>
      </c>
      <c r="Q627" s="41" t="s">
        <v>524</v>
      </c>
      <c r="R627" s="41" t="s">
        <v>62</v>
      </c>
      <c r="S627" s="41" t="s">
        <v>40</v>
      </c>
      <c r="T627" s="41" t="s">
        <v>40</v>
      </c>
      <c r="U627" s="41" t="s">
        <v>40</v>
      </c>
    </row>
    <row r="628" spans="1:21">
      <c r="A628" s="41">
        <v>2313</v>
      </c>
      <c r="B628" s="41" t="s">
        <v>2897</v>
      </c>
      <c r="D628" s="41">
        <v>5415</v>
      </c>
      <c r="E628" s="41" t="s">
        <v>1726</v>
      </c>
      <c r="F628" s="41" t="s">
        <v>42</v>
      </c>
      <c r="G628" s="41" t="s">
        <v>141</v>
      </c>
      <c r="I628" s="41" t="s">
        <v>56</v>
      </c>
      <c r="J628" s="41" t="s">
        <v>32</v>
      </c>
      <c r="K628" s="42"/>
      <c r="L628" s="41" t="s">
        <v>1727</v>
      </c>
      <c r="M628" s="41">
        <v>33</v>
      </c>
      <c r="N628" s="41" t="s">
        <v>2898</v>
      </c>
      <c r="O628" s="41" t="s">
        <v>2898</v>
      </c>
      <c r="P628" s="41" t="s">
        <v>78</v>
      </c>
      <c r="Q628" s="41" t="s">
        <v>1729</v>
      </c>
      <c r="R628" s="41" t="s">
        <v>39</v>
      </c>
      <c r="S628" s="41" t="s">
        <v>40</v>
      </c>
      <c r="T628" s="41" t="s">
        <v>146</v>
      </c>
      <c r="U628" s="41" t="s">
        <v>40</v>
      </c>
    </row>
    <row r="629" spans="1:21">
      <c r="A629" s="41">
        <v>2312</v>
      </c>
      <c r="B629" s="41" t="s">
        <v>2899</v>
      </c>
      <c r="D629" s="41">
        <v>5404</v>
      </c>
      <c r="E629" s="41" t="s">
        <v>1076</v>
      </c>
      <c r="F629" s="41" t="s">
        <v>28</v>
      </c>
      <c r="G629" s="41" t="s">
        <v>64</v>
      </c>
      <c r="I629" s="41" t="s">
        <v>2649</v>
      </c>
      <c r="J629" s="41" t="s">
        <v>32</v>
      </c>
      <c r="K629" s="42"/>
      <c r="L629" s="41" t="s">
        <v>2900</v>
      </c>
      <c r="M629" s="41">
        <v>33</v>
      </c>
      <c r="N629" s="41" t="s">
        <v>67</v>
      </c>
      <c r="O629" s="41" t="s">
        <v>77</v>
      </c>
      <c r="P629" s="41" t="s">
        <v>60</v>
      </c>
      <c r="Q629" s="41" t="s">
        <v>1769</v>
      </c>
      <c r="R629" s="41" t="s">
        <v>39</v>
      </c>
      <c r="S629" s="41" t="s">
        <v>40</v>
      </c>
      <c r="T629" s="41" t="s">
        <v>40</v>
      </c>
      <c r="U629" s="41" t="s">
        <v>40</v>
      </c>
    </row>
    <row r="630" spans="1:21">
      <c r="A630" s="41">
        <v>2311</v>
      </c>
      <c r="B630" s="41" t="s">
        <v>2901</v>
      </c>
      <c r="D630" s="41">
        <v>5419</v>
      </c>
      <c r="E630" s="41" t="s">
        <v>2902</v>
      </c>
      <c r="F630" s="41" t="s">
        <v>53</v>
      </c>
      <c r="G630" s="41" t="s">
        <v>64</v>
      </c>
      <c r="I630" s="41" t="s">
        <v>601</v>
      </c>
      <c r="J630" s="41" t="s">
        <v>32</v>
      </c>
      <c r="K630" s="42"/>
      <c r="L630" s="41" t="s">
        <v>115</v>
      </c>
      <c r="M630" s="41">
        <v>220</v>
      </c>
      <c r="N630" s="41" t="s">
        <v>1741</v>
      </c>
      <c r="O630" s="41" t="s">
        <v>2903</v>
      </c>
      <c r="P630" s="41" t="s">
        <v>98</v>
      </c>
      <c r="Q630" s="41" t="s">
        <v>116</v>
      </c>
      <c r="R630" s="41" t="s">
        <v>62</v>
      </c>
      <c r="S630" s="41" t="s">
        <v>40</v>
      </c>
      <c r="T630" s="41" t="s">
        <v>40</v>
      </c>
      <c r="U630" s="41" t="s">
        <v>40</v>
      </c>
    </row>
    <row r="631" spans="1:21">
      <c r="A631" s="41">
        <v>2310</v>
      </c>
      <c r="B631" s="41" t="s">
        <v>2904</v>
      </c>
      <c r="D631" s="41">
        <v>5421</v>
      </c>
      <c r="E631" s="41" t="s">
        <v>2902</v>
      </c>
      <c r="F631" s="41" t="s">
        <v>53</v>
      </c>
      <c r="G631" s="41" t="s">
        <v>64</v>
      </c>
      <c r="I631" s="41" t="s">
        <v>2905</v>
      </c>
      <c r="J631" s="41" t="s">
        <v>380</v>
      </c>
      <c r="K631" s="42"/>
      <c r="L631" s="41" t="s">
        <v>2906</v>
      </c>
      <c r="M631" s="41">
        <v>220</v>
      </c>
      <c r="N631" s="41" t="s">
        <v>151</v>
      </c>
      <c r="O631" s="41" t="s">
        <v>2907</v>
      </c>
      <c r="P631" s="41" t="s">
        <v>83</v>
      </c>
      <c r="Q631" s="41" t="s">
        <v>2908</v>
      </c>
      <c r="R631" s="41" t="s">
        <v>62</v>
      </c>
      <c r="S631" s="41" t="s">
        <v>40</v>
      </c>
      <c r="T631" s="41" t="s">
        <v>40</v>
      </c>
      <c r="U631" s="41" t="s">
        <v>40</v>
      </c>
    </row>
    <row r="632" spans="1:21">
      <c r="A632" s="41">
        <v>2309</v>
      </c>
      <c r="B632" s="41" t="s">
        <v>2909</v>
      </c>
      <c r="D632" s="41">
        <v>5420</v>
      </c>
      <c r="E632" s="41" t="s">
        <v>2902</v>
      </c>
      <c r="F632" s="41" t="s">
        <v>53</v>
      </c>
      <c r="G632" s="41" t="s">
        <v>64</v>
      </c>
      <c r="I632" s="41" t="s">
        <v>94</v>
      </c>
      <c r="J632" s="41" t="s">
        <v>32</v>
      </c>
      <c r="K632" s="42"/>
      <c r="L632" s="41" t="s">
        <v>103</v>
      </c>
      <c r="M632" s="41">
        <v>220</v>
      </c>
      <c r="N632" s="41" t="s">
        <v>1741</v>
      </c>
      <c r="O632" s="41" t="s">
        <v>2910</v>
      </c>
      <c r="P632" s="41" t="s">
        <v>98</v>
      </c>
      <c r="Q632" s="41" t="s">
        <v>99</v>
      </c>
      <c r="R632" s="41" t="s">
        <v>62</v>
      </c>
      <c r="S632" s="41" t="s">
        <v>40</v>
      </c>
      <c r="T632" s="41" t="s">
        <v>40</v>
      </c>
      <c r="U632" s="41" t="s">
        <v>40</v>
      </c>
    </row>
    <row r="633" spans="1:21">
      <c r="A633" s="41">
        <v>2307</v>
      </c>
      <c r="B633" s="41" t="s">
        <v>2909</v>
      </c>
      <c r="D633" s="41">
        <v>5346</v>
      </c>
      <c r="E633" s="41" t="s">
        <v>1191</v>
      </c>
      <c r="F633" s="41" t="s">
        <v>53</v>
      </c>
      <c r="G633" s="41" t="s">
        <v>54</v>
      </c>
      <c r="I633" s="41" t="s">
        <v>94</v>
      </c>
      <c r="J633" s="41" t="s">
        <v>32</v>
      </c>
      <c r="K633" s="42"/>
      <c r="L633" s="41" t="s">
        <v>103</v>
      </c>
      <c r="M633" s="41">
        <v>220</v>
      </c>
      <c r="N633" s="41" t="s">
        <v>1741</v>
      </c>
      <c r="O633" s="41" t="s">
        <v>2911</v>
      </c>
      <c r="P633" s="41" t="s">
        <v>98</v>
      </c>
      <c r="Q633" s="41" t="s">
        <v>99</v>
      </c>
      <c r="R633" s="41" t="s">
        <v>62</v>
      </c>
      <c r="S633" s="41" t="s">
        <v>40</v>
      </c>
      <c r="T633" s="41" t="s">
        <v>40</v>
      </c>
      <c r="U633" s="41" t="s">
        <v>40</v>
      </c>
    </row>
    <row r="634" spans="1:21">
      <c r="A634" s="41">
        <v>2306</v>
      </c>
      <c r="B634" s="41" t="s">
        <v>2901</v>
      </c>
      <c r="D634" s="41">
        <v>5351</v>
      </c>
      <c r="E634" s="41" t="s">
        <v>1191</v>
      </c>
      <c r="F634" s="41" t="s">
        <v>53</v>
      </c>
      <c r="G634" s="41" t="s">
        <v>64</v>
      </c>
      <c r="I634" s="41" t="s">
        <v>601</v>
      </c>
      <c r="J634" s="41" t="s">
        <v>32</v>
      </c>
      <c r="K634" s="42"/>
      <c r="L634" s="41" t="s">
        <v>2912</v>
      </c>
      <c r="M634" s="41">
        <v>220</v>
      </c>
      <c r="N634" s="41" t="s">
        <v>1741</v>
      </c>
      <c r="O634" s="41" t="s">
        <v>2913</v>
      </c>
      <c r="P634" s="41" t="s">
        <v>98</v>
      </c>
      <c r="Q634" s="41" t="s">
        <v>116</v>
      </c>
      <c r="R634" s="41" t="s">
        <v>62</v>
      </c>
      <c r="S634" s="41" t="s">
        <v>40</v>
      </c>
      <c r="T634" s="41" t="s">
        <v>40</v>
      </c>
      <c r="U634" s="41" t="s">
        <v>40</v>
      </c>
    </row>
    <row r="635" spans="1:21">
      <c r="A635" s="41">
        <v>2305</v>
      </c>
      <c r="B635" s="41" t="s">
        <v>2904</v>
      </c>
      <c r="D635" s="41">
        <v>5345</v>
      </c>
      <c r="E635" s="41" t="s">
        <v>1191</v>
      </c>
      <c r="F635" s="41" t="s">
        <v>53</v>
      </c>
      <c r="G635" s="41" t="s">
        <v>54</v>
      </c>
      <c r="I635" s="41" t="s">
        <v>2905</v>
      </c>
      <c r="J635" s="41" t="s">
        <v>380</v>
      </c>
      <c r="K635" s="42"/>
      <c r="L635" s="41" t="s">
        <v>2906</v>
      </c>
      <c r="M635" s="41">
        <v>220</v>
      </c>
      <c r="N635" s="41" t="s">
        <v>151</v>
      </c>
      <c r="O635" s="41" t="s">
        <v>2907</v>
      </c>
      <c r="P635" s="41" t="s">
        <v>83</v>
      </c>
      <c r="Q635" s="41" t="s">
        <v>2908</v>
      </c>
      <c r="R635" s="41" t="s">
        <v>62</v>
      </c>
      <c r="S635" s="41" t="s">
        <v>40</v>
      </c>
      <c r="T635" s="41" t="s">
        <v>40</v>
      </c>
      <c r="U635" s="41" t="s">
        <v>40</v>
      </c>
    </row>
    <row r="636" spans="1:21">
      <c r="A636" s="41">
        <v>2304</v>
      </c>
      <c r="B636" s="41" t="s">
        <v>2914</v>
      </c>
      <c r="D636" s="41">
        <v>5391</v>
      </c>
      <c r="E636" s="41" t="s">
        <v>2356</v>
      </c>
      <c r="F636" s="41" t="s">
        <v>53</v>
      </c>
      <c r="G636" s="41" t="s">
        <v>64</v>
      </c>
      <c r="I636" s="41" t="s">
        <v>2915</v>
      </c>
      <c r="J636" s="41" t="s">
        <v>380</v>
      </c>
      <c r="K636" s="42"/>
      <c r="L636" s="41" t="s">
        <v>2916</v>
      </c>
      <c r="M636" s="41">
        <v>220</v>
      </c>
      <c r="N636" s="41" t="s">
        <v>1014</v>
      </c>
      <c r="O636" s="41" t="s">
        <v>36</v>
      </c>
      <c r="P636" s="41" t="s">
        <v>83</v>
      </c>
      <c r="Q636" s="41" t="s">
        <v>2908</v>
      </c>
      <c r="R636" s="41" t="s">
        <v>62</v>
      </c>
      <c r="S636" s="41" t="s">
        <v>40</v>
      </c>
      <c r="T636" s="41" t="s">
        <v>40</v>
      </c>
      <c r="U636" s="41" t="s">
        <v>40</v>
      </c>
    </row>
    <row r="637" spans="1:21">
      <c r="A637" s="41">
        <v>2303</v>
      </c>
      <c r="B637" s="41" t="s">
        <v>2914</v>
      </c>
      <c r="E637" s="41" t="s">
        <v>2294</v>
      </c>
      <c r="F637" s="41" t="s">
        <v>53</v>
      </c>
      <c r="G637" s="41" t="s">
        <v>43</v>
      </c>
      <c r="I637" s="41" t="s">
        <v>2915</v>
      </c>
      <c r="J637" s="41" t="s">
        <v>380</v>
      </c>
      <c r="K637" s="42"/>
      <c r="L637" s="41" t="s">
        <v>2916</v>
      </c>
      <c r="M637" s="41">
        <v>220</v>
      </c>
      <c r="N637" s="41" t="s">
        <v>1629</v>
      </c>
      <c r="O637" s="41" t="s">
        <v>36</v>
      </c>
      <c r="P637" s="41" t="s">
        <v>83</v>
      </c>
      <c r="Q637" s="41" t="s">
        <v>2908</v>
      </c>
      <c r="R637" s="41" t="s">
        <v>62</v>
      </c>
      <c r="S637" s="41" t="s">
        <v>40</v>
      </c>
      <c r="T637" s="41" t="s">
        <v>40</v>
      </c>
      <c r="U637" s="41" t="s">
        <v>40</v>
      </c>
    </row>
    <row r="638" spans="1:21">
      <c r="A638" s="41">
        <v>2302</v>
      </c>
      <c r="B638" s="41" t="s">
        <v>2917</v>
      </c>
      <c r="D638" s="41">
        <v>5390</v>
      </c>
      <c r="E638" s="41" t="s">
        <v>1385</v>
      </c>
      <c r="F638" s="41" t="s">
        <v>53</v>
      </c>
      <c r="G638" s="41" t="s">
        <v>64</v>
      </c>
      <c r="I638" s="41" t="s">
        <v>338</v>
      </c>
      <c r="J638" s="41" t="s">
        <v>380</v>
      </c>
      <c r="K638" s="42"/>
      <c r="L638" s="41" t="s">
        <v>2918</v>
      </c>
      <c r="M638" s="41">
        <v>220</v>
      </c>
      <c r="N638" s="41" t="s">
        <v>2309</v>
      </c>
      <c r="O638" s="41" t="s">
        <v>2919</v>
      </c>
      <c r="P638" s="41" t="s">
        <v>37</v>
      </c>
      <c r="Q638" s="41" t="s">
        <v>1535</v>
      </c>
      <c r="R638" s="41" t="s">
        <v>62</v>
      </c>
      <c r="S638" s="41" t="s">
        <v>40</v>
      </c>
      <c r="T638" s="41" t="s">
        <v>40</v>
      </c>
      <c r="U638" s="41" t="s">
        <v>40</v>
      </c>
    </row>
    <row r="639" spans="1:21">
      <c r="A639" s="41">
        <v>2301</v>
      </c>
      <c r="B639" s="41" t="s">
        <v>2920</v>
      </c>
      <c r="D639" s="41">
        <v>5389</v>
      </c>
      <c r="E639" s="41" t="s">
        <v>1385</v>
      </c>
      <c r="F639" s="41" t="s">
        <v>53</v>
      </c>
      <c r="G639" s="41" t="s">
        <v>64</v>
      </c>
      <c r="I639" s="41" t="s">
        <v>338</v>
      </c>
      <c r="J639" s="41" t="s">
        <v>380</v>
      </c>
      <c r="K639" s="42"/>
      <c r="L639" s="41" t="s">
        <v>2918</v>
      </c>
      <c r="M639" s="41">
        <v>220</v>
      </c>
      <c r="N639" s="41" t="s">
        <v>2309</v>
      </c>
      <c r="O639" s="41" t="s">
        <v>2854</v>
      </c>
      <c r="P639" s="41" t="s">
        <v>37</v>
      </c>
      <c r="Q639" s="41" t="s">
        <v>38</v>
      </c>
      <c r="R639" s="41" t="s">
        <v>62</v>
      </c>
      <c r="S639" s="41" t="s">
        <v>40</v>
      </c>
      <c r="T639" s="41" t="s">
        <v>40</v>
      </c>
      <c r="U639" s="41" t="s">
        <v>40</v>
      </c>
    </row>
    <row r="640" spans="1:21">
      <c r="A640" s="41">
        <v>2300</v>
      </c>
      <c r="B640" s="41" t="s">
        <v>2921</v>
      </c>
      <c r="D640" s="41">
        <v>5379</v>
      </c>
      <c r="E640" s="41" t="s">
        <v>2922</v>
      </c>
      <c r="F640" s="41" t="s">
        <v>53</v>
      </c>
      <c r="G640" s="41" t="s">
        <v>54</v>
      </c>
      <c r="I640" s="41" t="s">
        <v>2923</v>
      </c>
      <c r="J640" s="41" t="s">
        <v>32</v>
      </c>
      <c r="K640" s="42"/>
      <c r="L640" s="41" t="s">
        <v>2924</v>
      </c>
      <c r="M640" s="41">
        <v>220</v>
      </c>
      <c r="N640" s="41" t="s">
        <v>1629</v>
      </c>
      <c r="O640" s="41" t="s">
        <v>36</v>
      </c>
      <c r="P640" s="41" t="s">
        <v>179</v>
      </c>
      <c r="Q640" s="41" t="s">
        <v>284</v>
      </c>
      <c r="R640" s="41" t="s">
        <v>62</v>
      </c>
      <c r="S640" s="41" t="s">
        <v>40</v>
      </c>
      <c r="T640" s="41" t="s">
        <v>40</v>
      </c>
      <c r="U640" s="41" t="s">
        <v>40</v>
      </c>
    </row>
    <row r="641" spans="1:21">
      <c r="A641" s="41">
        <v>2299</v>
      </c>
      <c r="B641" s="41" t="s">
        <v>2925</v>
      </c>
      <c r="D641" s="41">
        <v>5387</v>
      </c>
      <c r="E641" s="41" t="s">
        <v>2926</v>
      </c>
      <c r="F641" s="41" t="s">
        <v>53</v>
      </c>
      <c r="G641" s="41" t="s">
        <v>54</v>
      </c>
      <c r="I641" s="41" t="s">
        <v>392</v>
      </c>
      <c r="J641" s="41" t="s">
        <v>380</v>
      </c>
      <c r="K641" s="42"/>
      <c r="L641" s="41" t="s">
        <v>2927</v>
      </c>
      <c r="M641" s="41">
        <v>220</v>
      </c>
      <c r="N641" s="41" t="s">
        <v>2928</v>
      </c>
      <c r="O641" s="41" t="s">
        <v>794</v>
      </c>
      <c r="P641" s="41" t="s">
        <v>83</v>
      </c>
      <c r="Q641" s="41" t="s">
        <v>2000</v>
      </c>
      <c r="R641" s="41" t="s">
        <v>62</v>
      </c>
      <c r="S641" s="41" t="s">
        <v>40</v>
      </c>
      <c r="T641" s="41" t="s">
        <v>40</v>
      </c>
      <c r="U641" s="41" t="s">
        <v>40</v>
      </c>
    </row>
    <row r="642" spans="1:21">
      <c r="A642" s="41">
        <v>2298</v>
      </c>
      <c r="B642" s="41" t="s">
        <v>2929</v>
      </c>
      <c r="D642" s="41">
        <v>5359</v>
      </c>
      <c r="E642" s="41" t="s">
        <v>1227</v>
      </c>
      <c r="F642" s="41" t="s">
        <v>53</v>
      </c>
      <c r="G642" s="41" t="s">
        <v>54</v>
      </c>
      <c r="I642" s="41" t="s">
        <v>973</v>
      </c>
      <c r="J642" s="41" t="s">
        <v>32</v>
      </c>
      <c r="K642" s="42"/>
      <c r="L642" s="41" t="s">
        <v>2930</v>
      </c>
      <c r="M642" s="41">
        <v>220</v>
      </c>
      <c r="N642" s="41" t="s">
        <v>1335</v>
      </c>
      <c r="O642" s="41" t="s">
        <v>36</v>
      </c>
      <c r="P642" s="41" t="s">
        <v>98</v>
      </c>
      <c r="Q642" s="41" t="s">
        <v>99</v>
      </c>
      <c r="R642" s="41" t="s">
        <v>62</v>
      </c>
      <c r="S642" s="41" t="s">
        <v>40</v>
      </c>
      <c r="T642" s="41" t="s">
        <v>40</v>
      </c>
      <c r="U642" s="41" t="s">
        <v>40</v>
      </c>
    </row>
    <row r="643" spans="1:21">
      <c r="A643" s="41">
        <v>2297</v>
      </c>
      <c r="B643" s="41" t="s">
        <v>2931</v>
      </c>
      <c r="D643" s="41">
        <v>5388</v>
      </c>
      <c r="E643" s="41" t="s">
        <v>2932</v>
      </c>
      <c r="F643" s="41" t="s">
        <v>42</v>
      </c>
      <c r="G643" s="41" t="s">
        <v>141</v>
      </c>
      <c r="I643" s="41" t="s">
        <v>1480</v>
      </c>
      <c r="J643" s="41" t="s">
        <v>32</v>
      </c>
      <c r="K643" s="42"/>
      <c r="L643" s="41" t="s">
        <v>2933</v>
      </c>
      <c r="M643" s="41">
        <v>30</v>
      </c>
      <c r="N643" s="41" t="s">
        <v>2934</v>
      </c>
      <c r="O643" s="41" t="s">
        <v>2935</v>
      </c>
      <c r="P643" s="41" t="s">
        <v>68</v>
      </c>
      <c r="Q643" s="41" t="s">
        <v>69</v>
      </c>
      <c r="R643" s="41" t="s">
        <v>39</v>
      </c>
      <c r="S643" s="41" t="s">
        <v>40</v>
      </c>
      <c r="T643" s="41" t="s">
        <v>1773</v>
      </c>
      <c r="U643" s="41" t="s">
        <v>40</v>
      </c>
    </row>
    <row r="644" spans="1:21">
      <c r="A644" s="41">
        <v>2296</v>
      </c>
      <c r="B644" s="41" t="s">
        <v>2936</v>
      </c>
      <c r="D644" s="41">
        <v>5344</v>
      </c>
      <c r="E644" s="41" t="s">
        <v>2937</v>
      </c>
      <c r="F644" s="41" t="s">
        <v>42</v>
      </c>
      <c r="G644" s="41" t="s">
        <v>1197</v>
      </c>
      <c r="I644" s="41" t="s">
        <v>1018</v>
      </c>
      <c r="J644" s="41" t="s">
        <v>32</v>
      </c>
      <c r="K644" s="42"/>
      <c r="L644" s="41" t="s">
        <v>2938</v>
      </c>
      <c r="M644" s="41">
        <v>220</v>
      </c>
      <c r="N644" s="41" t="s">
        <v>67</v>
      </c>
      <c r="O644" s="41" t="s">
        <v>2439</v>
      </c>
      <c r="P644" s="41" t="s">
        <v>98</v>
      </c>
      <c r="Q644" s="41" t="s">
        <v>204</v>
      </c>
      <c r="R644" s="41" t="s">
        <v>39</v>
      </c>
      <c r="S644" s="41" t="s">
        <v>40</v>
      </c>
      <c r="T644" s="41" t="s">
        <v>40</v>
      </c>
      <c r="U644" s="41" t="s">
        <v>40</v>
      </c>
    </row>
    <row r="645" spans="1:21">
      <c r="A645" s="41">
        <v>2295</v>
      </c>
      <c r="B645" s="41" t="s">
        <v>2939</v>
      </c>
      <c r="D645" s="41">
        <v>5352</v>
      </c>
      <c r="E645" s="41" t="s">
        <v>2940</v>
      </c>
      <c r="F645" s="41" t="s">
        <v>53</v>
      </c>
      <c r="G645" s="41" t="s">
        <v>54</v>
      </c>
      <c r="I645" s="41" t="s">
        <v>601</v>
      </c>
      <c r="J645" s="41" t="s">
        <v>32</v>
      </c>
      <c r="K645" s="42"/>
      <c r="L645" s="41" t="s">
        <v>103</v>
      </c>
      <c r="M645" s="41">
        <v>220</v>
      </c>
      <c r="N645" s="41" t="s">
        <v>805</v>
      </c>
      <c r="O645" s="41" t="s">
        <v>2941</v>
      </c>
      <c r="P645" s="41" t="s">
        <v>98</v>
      </c>
      <c r="Q645" s="41" t="s">
        <v>99</v>
      </c>
      <c r="R645" s="41" t="s">
        <v>62</v>
      </c>
      <c r="S645" s="41" t="s">
        <v>40</v>
      </c>
      <c r="T645" s="41" t="s">
        <v>40</v>
      </c>
      <c r="U645" s="41" t="s">
        <v>40</v>
      </c>
    </row>
    <row r="646" spans="1:21">
      <c r="A646" s="41">
        <v>2294</v>
      </c>
      <c r="B646" s="41" t="s">
        <v>2674</v>
      </c>
      <c r="D646" s="41">
        <v>5380</v>
      </c>
      <c r="E646" s="41" t="s">
        <v>2675</v>
      </c>
      <c r="F646" s="41" t="s">
        <v>53</v>
      </c>
      <c r="G646" s="41" t="s">
        <v>43</v>
      </c>
      <c r="I646" s="41" t="s">
        <v>2942</v>
      </c>
      <c r="J646" s="41" t="s">
        <v>32</v>
      </c>
      <c r="K646" s="42"/>
      <c r="L646" s="41" t="s">
        <v>107</v>
      </c>
      <c r="M646" s="41">
        <v>220</v>
      </c>
      <c r="N646" s="41" t="s">
        <v>36</v>
      </c>
      <c r="O646" s="41" t="s">
        <v>36</v>
      </c>
      <c r="P646" s="41" t="s">
        <v>98</v>
      </c>
      <c r="Q646" s="41" t="s">
        <v>98</v>
      </c>
      <c r="R646" s="41" t="s">
        <v>62</v>
      </c>
      <c r="S646" s="41" t="s">
        <v>40</v>
      </c>
      <c r="T646" s="41" t="s">
        <v>40</v>
      </c>
      <c r="U646" s="41" t="s">
        <v>40</v>
      </c>
    </row>
    <row r="647" spans="1:21">
      <c r="A647" s="41">
        <v>2293</v>
      </c>
      <c r="B647" s="41" t="s">
        <v>2943</v>
      </c>
      <c r="D647" s="41">
        <v>5378</v>
      </c>
      <c r="E647" s="41" t="s">
        <v>1354</v>
      </c>
      <c r="F647" s="41" t="s">
        <v>53</v>
      </c>
      <c r="G647" s="41" t="s">
        <v>54</v>
      </c>
      <c r="I647" s="41" t="s">
        <v>325</v>
      </c>
      <c r="J647" s="41" t="s">
        <v>380</v>
      </c>
      <c r="K647" s="42"/>
      <c r="L647" s="41" t="s">
        <v>2944</v>
      </c>
      <c r="M647" s="41">
        <v>220</v>
      </c>
      <c r="N647" s="41" t="s">
        <v>1333</v>
      </c>
      <c r="O647" s="41" t="s">
        <v>2945</v>
      </c>
      <c r="P647" s="41" t="s">
        <v>37</v>
      </c>
      <c r="Q647" s="41" t="s">
        <v>969</v>
      </c>
      <c r="R647" s="41" t="s">
        <v>62</v>
      </c>
      <c r="S647" s="41" t="s">
        <v>40</v>
      </c>
      <c r="T647" s="41" t="s">
        <v>40</v>
      </c>
      <c r="U647" s="41" t="s">
        <v>40</v>
      </c>
    </row>
    <row r="648" spans="1:21">
      <c r="A648" s="41">
        <v>2292</v>
      </c>
      <c r="B648" s="41" t="s">
        <v>2946</v>
      </c>
      <c r="D648" s="41">
        <v>5377</v>
      </c>
      <c r="E648" s="41" t="s">
        <v>2735</v>
      </c>
      <c r="F648" s="41" t="s">
        <v>53</v>
      </c>
      <c r="G648" s="41" t="s">
        <v>54</v>
      </c>
      <c r="I648" s="41" t="s">
        <v>94</v>
      </c>
      <c r="J648" s="41" t="s">
        <v>32</v>
      </c>
      <c r="K648" s="42"/>
      <c r="L648" s="41" t="s">
        <v>2947</v>
      </c>
      <c r="M648" s="41">
        <v>500</v>
      </c>
      <c r="N648" s="41" t="s">
        <v>67</v>
      </c>
      <c r="O648" s="41" t="s">
        <v>36</v>
      </c>
      <c r="P648" s="41" t="s">
        <v>98</v>
      </c>
      <c r="Q648" s="41" t="s">
        <v>99</v>
      </c>
      <c r="R648" s="41" t="s">
        <v>62</v>
      </c>
      <c r="S648" s="41" t="s">
        <v>40</v>
      </c>
      <c r="T648" s="41" t="s">
        <v>40</v>
      </c>
      <c r="U648" s="41" t="s">
        <v>40</v>
      </c>
    </row>
    <row r="649" spans="1:21">
      <c r="A649" s="41">
        <v>2291</v>
      </c>
      <c r="B649" s="41" t="s">
        <v>2948</v>
      </c>
      <c r="D649" s="41">
        <v>5356</v>
      </c>
      <c r="E649" s="41" t="s">
        <v>2940</v>
      </c>
      <c r="F649" s="41" t="s">
        <v>53</v>
      </c>
      <c r="G649" s="41" t="s">
        <v>54</v>
      </c>
      <c r="I649" s="41" t="s">
        <v>2949</v>
      </c>
      <c r="J649" s="41" t="s">
        <v>32</v>
      </c>
      <c r="K649" s="42"/>
      <c r="L649" s="41" t="s">
        <v>2950</v>
      </c>
      <c r="M649" s="41">
        <v>500</v>
      </c>
      <c r="N649" s="41" t="s">
        <v>805</v>
      </c>
      <c r="O649" s="41" t="s">
        <v>2951</v>
      </c>
      <c r="P649" s="41" t="s">
        <v>98</v>
      </c>
      <c r="Q649" s="41" t="s">
        <v>99</v>
      </c>
      <c r="R649" s="41" t="s">
        <v>62</v>
      </c>
      <c r="S649" s="41" t="s">
        <v>40</v>
      </c>
      <c r="T649" s="41" t="s">
        <v>40</v>
      </c>
      <c r="U649" s="41" t="s">
        <v>40</v>
      </c>
    </row>
    <row r="650" spans="1:21">
      <c r="A650" s="41">
        <v>2290</v>
      </c>
      <c r="B650" s="41" t="s">
        <v>2952</v>
      </c>
      <c r="D650" s="41">
        <v>5367</v>
      </c>
      <c r="E650" s="41" t="s">
        <v>2953</v>
      </c>
      <c r="F650" s="41" t="s">
        <v>53</v>
      </c>
      <c r="G650" s="41" t="s">
        <v>54</v>
      </c>
      <c r="I650" s="41" t="s">
        <v>2954</v>
      </c>
      <c r="J650" s="41" t="s">
        <v>32</v>
      </c>
      <c r="K650" s="42"/>
      <c r="L650" s="41" t="s">
        <v>109</v>
      </c>
      <c r="M650" s="41">
        <v>220</v>
      </c>
      <c r="N650" s="41" t="s">
        <v>36</v>
      </c>
      <c r="O650" s="41" t="s">
        <v>36</v>
      </c>
      <c r="P650" s="41" t="s">
        <v>334</v>
      </c>
      <c r="Q650" s="41" t="s">
        <v>2186</v>
      </c>
      <c r="R650" s="41" t="s">
        <v>62</v>
      </c>
      <c r="S650" s="41" t="s">
        <v>40</v>
      </c>
      <c r="T650" s="41" t="s">
        <v>40</v>
      </c>
      <c r="U650" s="41" t="s">
        <v>40</v>
      </c>
    </row>
    <row r="651" spans="1:21">
      <c r="A651" s="41">
        <v>2289</v>
      </c>
      <c r="B651" s="41" t="s">
        <v>2955</v>
      </c>
      <c r="D651" s="41">
        <v>5374</v>
      </c>
      <c r="E651" s="41" t="s">
        <v>2437</v>
      </c>
      <c r="F651" s="41" t="s">
        <v>53</v>
      </c>
      <c r="G651" s="41" t="s">
        <v>54</v>
      </c>
      <c r="I651" s="41" t="s">
        <v>601</v>
      </c>
      <c r="J651" s="41" t="s">
        <v>32</v>
      </c>
      <c r="K651" s="42"/>
      <c r="L651" s="41" t="s">
        <v>2956</v>
      </c>
      <c r="M651" s="41">
        <v>500</v>
      </c>
      <c r="N651" s="41" t="s">
        <v>67</v>
      </c>
      <c r="O651" s="41" t="s">
        <v>36</v>
      </c>
      <c r="P651" s="41" t="s">
        <v>98</v>
      </c>
      <c r="Q651" s="41" t="s">
        <v>99</v>
      </c>
      <c r="R651" s="41" t="s">
        <v>62</v>
      </c>
      <c r="S651" s="41" t="s">
        <v>40</v>
      </c>
      <c r="T651" s="41" t="s">
        <v>40</v>
      </c>
      <c r="U651" s="41" t="s">
        <v>40</v>
      </c>
    </row>
    <row r="652" spans="1:21">
      <c r="A652" s="41">
        <v>2288</v>
      </c>
      <c r="B652" s="41" t="s">
        <v>2957</v>
      </c>
      <c r="D652" s="41">
        <v>5386</v>
      </c>
      <c r="E652" s="41" t="s">
        <v>1708</v>
      </c>
      <c r="F652" s="41" t="s">
        <v>53</v>
      </c>
      <c r="G652" s="41" t="s">
        <v>64</v>
      </c>
      <c r="I652" s="41" t="s">
        <v>162</v>
      </c>
      <c r="J652" s="41" t="s">
        <v>295</v>
      </c>
      <c r="K652" s="42"/>
      <c r="L652" s="41" t="s">
        <v>2958</v>
      </c>
      <c r="M652" s="41">
        <v>220</v>
      </c>
      <c r="N652" s="41" t="s">
        <v>2959</v>
      </c>
      <c r="O652" s="41" t="s">
        <v>791</v>
      </c>
      <c r="P652" s="41" t="s">
        <v>37</v>
      </c>
      <c r="Q652" s="41" t="s">
        <v>38</v>
      </c>
      <c r="R652" s="41" t="s">
        <v>62</v>
      </c>
      <c r="S652" s="41" t="s">
        <v>40</v>
      </c>
      <c r="T652" s="41" t="s">
        <v>40</v>
      </c>
      <c r="U652" s="41" t="s">
        <v>40</v>
      </c>
    </row>
    <row r="653" spans="1:21">
      <c r="A653" s="41">
        <v>2287</v>
      </c>
      <c r="B653" s="41" t="s">
        <v>2960</v>
      </c>
      <c r="D653" s="41">
        <v>5363</v>
      </c>
      <c r="E653" s="41" t="s">
        <v>2953</v>
      </c>
      <c r="F653" s="41" t="s">
        <v>53</v>
      </c>
      <c r="G653" s="41" t="s">
        <v>54</v>
      </c>
      <c r="I653" s="41" t="s">
        <v>2961</v>
      </c>
      <c r="J653" s="41" t="s">
        <v>32</v>
      </c>
      <c r="K653" s="42"/>
      <c r="L653" s="41" t="s">
        <v>109</v>
      </c>
      <c r="M653" s="41">
        <v>220</v>
      </c>
      <c r="N653" s="41" t="s">
        <v>36</v>
      </c>
      <c r="O653" s="41" t="s">
        <v>36</v>
      </c>
      <c r="P653" s="41" t="s">
        <v>334</v>
      </c>
      <c r="Q653" s="41" t="s">
        <v>2962</v>
      </c>
      <c r="R653" s="41" t="s">
        <v>62</v>
      </c>
      <c r="S653" s="41" t="s">
        <v>40</v>
      </c>
      <c r="T653" s="41" t="s">
        <v>40</v>
      </c>
      <c r="U653" s="41" t="s">
        <v>40</v>
      </c>
    </row>
    <row r="654" spans="1:21">
      <c r="A654" s="41">
        <v>2286</v>
      </c>
      <c r="B654" s="41" t="s">
        <v>2963</v>
      </c>
      <c r="D654" s="41">
        <v>5383</v>
      </c>
      <c r="E654" s="41" t="s">
        <v>2617</v>
      </c>
      <c r="F654" s="41" t="s">
        <v>53</v>
      </c>
      <c r="G654" s="41" t="s">
        <v>54</v>
      </c>
      <c r="I654" s="41" t="s">
        <v>162</v>
      </c>
      <c r="J654" s="41" t="s">
        <v>380</v>
      </c>
      <c r="K654" s="42"/>
      <c r="L654" s="41" t="s">
        <v>2964</v>
      </c>
      <c r="M654" s="41">
        <v>220</v>
      </c>
      <c r="N654" s="41" t="s">
        <v>1333</v>
      </c>
      <c r="O654" s="41" t="s">
        <v>2965</v>
      </c>
      <c r="P654" s="41" t="s">
        <v>37</v>
      </c>
      <c r="Q654" s="41" t="s">
        <v>969</v>
      </c>
      <c r="R654" s="41" t="s">
        <v>62</v>
      </c>
      <c r="S654" s="41" t="s">
        <v>40</v>
      </c>
      <c r="T654" s="41" t="s">
        <v>40</v>
      </c>
      <c r="U654" s="41" t="s">
        <v>40</v>
      </c>
    </row>
    <row r="655" spans="1:21">
      <c r="A655" s="41">
        <v>2285</v>
      </c>
      <c r="B655" s="41" t="s">
        <v>2966</v>
      </c>
      <c r="D655" s="41">
        <v>5347</v>
      </c>
      <c r="E655" s="41" t="s">
        <v>2967</v>
      </c>
      <c r="F655" s="41" t="s">
        <v>53</v>
      </c>
      <c r="G655" s="41" t="s">
        <v>54</v>
      </c>
      <c r="I655" s="41" t="s">
        <v>149</v>
      </c>
      <c r="J655" s="41" t="s">
        <v>32</v>
      </c>
      <c r="K655" s="42"/>
      <c r="L655" s="41" t="s">
        <v>2968</v>
      </c>
      <c r="M655" s="41">
        <v>220</v>
      </c>
      <c r="N655" s="41" t="s">
        <v>1333</v>
      </c>
      <c r="O655" s="41" t="s">
        <v>2969</v>
      </c>
      <c r="P655" s="41" t="s">
        <v>98</v>
      </c>
      <c r="Q655" s="41" t="s">
        <v>116</v>
      </c>
      <c r="R655" s="41" t="s">
        <v>62</v>
      </c>
      <c r="S655" s="41" t="s">
        <v>40</v>
      </c>
      <c r="T655" s="41" t="s">
        <v>40</v>
      </c>
      <c r="U655" s="41" t="s">
        <v>40</v>
      </c>
    </row>
    <row r="656" spans="1:21">
      <c r="A656" s="41">
        <v>2284</v>
      </c>
      <c r="B656" s="41" t="s">
        <v>2970</v>
      </c>
      <c r="D656" s="41">
        <v>5385</v>
      </c>
      <c r="E656" s="41" t="s">
        <v>2971</v>
      </c>
      <c r="F656" s="41" t="s">
        <v>53</v>
      </c>
      <c r="G656" s="41" t="s">
        <v>54</v>
      </c>
      <c r="I656" s="41" t="s">
        <v>2972</v>
      </c>
      <c r="J656" s="41" t="s">
        <v>672</v>
      </c>
      <c r="K656" s="42"/>
      <c r="L656" s="41" t="s">
        <v>107</v>
      </c>
      <c r="M656" s="41">
        <v>220</v>
      </c>
      <c r="N656" s="41" t="s">
        <v>67</v>
      </c>
      <c r="O656" s="41" t="s">
        <v>2973</v>
      </c>
      <c r="P656" s="41" t="s">
        <v>98</v>
      </c>
      <c r="Q656" s="41" t="s">
        <v>98</v>
      </c>
      <c r="R656" s="41" t="s">
        <v>62</v>
      </c>
      <c r="S656" s="41" t="s">
        <v>40</v>
      </c>
      <c r="T656" s="41" t="s">
        <v>40</v>
      </c>
      <c r="U656" s="41" t="s">
        <v>40</v>
      </c>
    </row>
    <row r="657" spans="1:21">
      <c r="A657" s="41">
        <v>2283</v>
      </c>
      <c r="B657" s="41" t="s">
        <v>2943</v>
      </c>
      <c r="E657" s="41" t="s">
        <v>1354</v>
      </c>
      <c r="F657" s="41" t="s">
        <v>53</v>
      </c>
      <c r="G657" s="41" t="s">
        <v>43</v>
      </c>
      <c r="I657" s="41" t="s">
        <v>325</v>
      </c>
      <c r="J657" s="41" t="s">
        <v>380</v>
      </c>
      <c r="K657" s="42"/>
      <c r="L657" s="41" t="s">
        <v>2944</v>
      </c>
      <c r="M657" s="41">
        <v>220</v>
      </c>
      <c r="N657" s="41" t="s">
        <v>1241</v>
      </c>
      <c r="O657" s="41" t="s">
        <v>2945</v>
      </c>
      <c r="P657" s="41" t="s">
        <v>37</v>
      </c>
      <c r="Q657" s="41" t="s">
        <v>969</v>
      </c>
      <c r="R657" s="41" t="s">
        <v>62</v>
      </c>
      <c r="S657" s="41" t="s">
        <v>40</v>
      </c>
      <c r="T657" s="41" t="s">
        <v>40</v>
      </c>
      <c r="U657" s="41" t="s">
        <v>40</v>
      </c>
    </row>
    <row r="658" spans="1:21">
      <c r="A658" s="41">
        <v>2282</v>
      </c>
      <c r="B658" s="41" t="s">
        <v>2974</v>
      </c>
      <c r="D658" s="41">
        <v>5372</v>
      </c>
      <c r="E658" s="41" t="s">
        <v>2611</v>
      </c>
      <c r="F658" s="41" t="s">
        <v>53</v>
      </c>
      <c r="G658" s="41" t="s">
        <v>43</v>
      </c>
      <c r="I658" s="41" t="s">
        <v>392</v>
      </c>
      <c r="J658" s="41" t="s">
        <v>32</v>
      </c>
      <c r="K658" s="42"/>
      <c r="L658" s="41" t="s">
        <v>115</v>
      </c>
      <c r="M658" s="41">
        <v>220</v>
      </c>
      <c r="N658" s="41" t="s">
        <v>805</v>
      </c>
      <c r="O658" s="41" t="s">
        <v>2975</v>
      </c>
      <c r="P658" s="41" t="s">
        <v>98</v>
      </c>
      <c r="Q658" s="41" t="s">
        <v>116</v>
      </c>
      <c r="R658" s="41" t="s">
        <v>62</v>
      </c>
      <c r="S658" s="41" t="s">
        <v>40</v>
      </c>
      <c r="T658" s="41" t="s">
        <v>40</v>
      </c>
      <c r="U658" s="41" t="s">
        <v>40</v>
      </c>
    </row>
    <row r="659" spans="1:21">
      <c r="A659" s="41">
        <v>2281</v>
      </c>
      <c r="B659" s="41" t="s">
        <v>2976</v>
      </c>
      <c r="D659" s="41">
        <v>5384</v>
      </c>
      <c r="E659" s="41" t="s">
        <v>2617</v>
      </c>
      <c r="F659" s="41" t="s">
        <v>53</v>
      </c>
      <c r="G659" s="41" t="s">
        <v>64</v>
      </c>
      <c r="I659" s="41" t="s">
        <v>45</v>
      </c>
      <c r="J659" s="41" t="s">
        <v>32</v>
      </c>
      <c r="K659" s="42"/>
      <c r="L659" s="41" t="s">
        <v>2977</v>
      </c>
      <c r="M659" s="41">
        <v>220</v>
      </c>
      <c r="N659" s="41" t="s">
        <v>1333</v>
      </c>
      <c r="O659" s="41" t="s">
        <v>2978</v>
      </c>
      <c r="P659" s="41" t="s">
        <v>334</v>
      </c>
      <c r="Q659" s="41" t="s">
        <v>2186</v>
      </c>
      <c r="R659" s="41" t="s">
        <v>62</v>
      </c>
      <c r="S659" s="41" t="s">
        <v>40</v>
      </c>
      <c r="T659" s="41" t="s">
        <v>40</v>
      </c>
      <c r="U659" s="41" t="s">
        <v>40</v>
      </c>
    </row>
    <row r="660" spans="1:21">
      <c r="A660" s="41">
        <v>2280</v>
      </c>
      <c r="B660" s="41" t="s">
        <v>2979</v>
      </c>
      <c r="D660" s="41">
        <v>5424</v>
      </c>
      <c r="E660" s="41" t="s">
        <v>2980</v>
      </c>
      <c r="F660" s="41" t="s">
        <v>53</v>
      </c>
      <c r="G660" s="41" t="s">
        <v>64</v>
      </c>
      <c r="I660" s="41" t="s">
        <v>2981</v>
      </c>
      <c r="J660" s="41" t="s">
        <v>380</v>
      </c>
      <c r="K660" s="42"/>
      <c r="L660" s="41" t="s">
        <v>2982</v>
      </c>
      <c r="M660" s="41">
        <v>220</v>
      </c>
      <c r="N660" s="41" t="s">
        <v>395</v>
      </c>
      <c r="O660" s="41" t="s">
        <v>2983</v>
      </c>
      <c r="P660" s="41" t="s">
        <v>334</v>
      </c>
      <c r="Q660" s="41" t="s">
        <v>2984</v>
      </c>
      <c r="R660" s="41" t="s">
        <v>62</v>
      </c>
      <c r="S660" s="41" t="s">
        <v>40</v>
      </c>
      <c r="T660" s="41" t="s">
        <v>40</v>
      </c>
      <c r="U660" s="41" t="s">
        <v>40</v>
      </c>
    </row>
    <row r="661" spans="1:21">
      <c r="A661" s="41">
        <v>2279</v>
      </c>
      <c r="B661" s="41" t="s">
        <v>2985</v>
      </c>
      <c r="D661" s="41">
        <v>5350</v>
      </c>
      <c r="E661" s="41" t="s">
        <v>1475</v>
      </c>
      <c r="F661" s="41" t="s">
        <v>53</v>
      </c>
      <c r="G661" s="41" t="s">
        <v>54</v>
      </c>
      <c r="I661" s="41" t="s">
        <v>149</v>
      </c>
      <c r="J661" s="41" t="s">
        <v>32</v>
      </c>
      <c r="K661" s="42"/>
      <c r="L661" s="41" t="s">
        <v>2986</v>
      </c>
      <c r="M661" s="41">
        <v>220</v>
      </c>
      <c r="N661" s="41" t="s">
        <v>59</v>
      </c>
      <c r="O661" s="41" t="s">
        <v>396</v>
      </c>
      <c r="P661" s="41" t="s">
        <v>37</v>
      </c>
      <c r="Q661" s="41" t="s">
        <v>969</v>
      </c>
      <c r="R661" s="41" t="s">
        <v>62</v>
      </c>
      <c r="S661" s="41" t="s">
        <v>40</v>
      </c>
      <c r="T661" s="41" t="s">
        <v>40</v>
      </c>
      <c r="U661" s="41" t="s">
        <v>40</v>
      </c>
    </row>
    <row r="662" spans="1:21">
      <c r="A662" s="41">
        <v>2278</v>
      </c>
      <c r="B662" s="41" t="s">
        <v>2987</v>
      </c>
      <c r="D662" s="41">
        <v>5354</v>
      </c>
      <c r="E662" s="41" t="s">
        <v>2988</v>
      </c>
      <c r="F662" s="41" t="s">
        <v>53</v>
      </c>
      <c r="G662" s="41" t="s">
        <v>64</v>
      </c>
      <c r="I662" s="41" t="s">
        <v>2989</v>
      </c>
      <c r="J662" s="41" t="s">
        <v>32</v>
      </c>
      <c r="K662" s="42"/>
      <c r="L662" s="41" t="s">
        <v>2990</v>
      </c>
      <c r="M662" s="41">
        <v>220</v>
      </c>
      <c r="N662" s="41" t="s">
        <v>395</v>
      </c>
      <c r="O662" s="41" t="s">
        <v>2991</v>
      </c>
      <c r="P662" s="41" t="s">
        <v>98</v>
      </c>
      <c r="Q662" s="41" t="s">
        <v>99</v>
      </c>
      <c r="R662" s="41" t="s">
        <v>62</v>
      </c>
      <c r="S662" s="41" t="s">
        <v>40</v>
      </c>
      <c r="T662" s="41" t="s">
        <v>40</v>
      </c>
      <c r="U662" s="41" t="s">
        <v>40</v>
      </c>
    </row>
    <row r="663" spans="1:21">
      <c r="A663" s="41">
        <v>2277</v>
      </c>
      <c r="B663" s="41" t="s">
        <v>2992</v>
      </c>
      <c r="D663" s="41">
        <v>5371</v>
      </c>
      <c r="E663" s="41" t="s">
        <v>1532</v>
      </c>
      <c r="F663" s="41" t="s">
        <v>53</v>
      </c>
      <c r="G663" s="41" t="s">
        <v>64</v>
      </c>
      <c r="I663" s="41" t="s">
        <v>162</v>
      </c>
      <c r="J663" s="41" t="s">
        <v>32</v>
      </c>
      <c r="K663" s="42"/>
      <c r="L663" s="41" t="s">
        <v>2993</v>
      </c>
      <c r="M663" s="41">
        <v>220</v>
      </c>
      <c r="N663" s="41" t="s">
        <v>805</v>
      </c>
      <c r="O663" s="41" t="s">
        <v>2994</v>
      </c>
      <c r="P663" s="41" t="s">
        <v>334</v>
      </c>
      <c r="Q663" s="41" t="s">
        <v>2186</v>
      </c>
      <c r="R663" s="41" t="s">
        <v>62</v>
      </c>
      <c r="S663" s="41" t="s">
        <v>40</v>
      </c>
      <c r="T663" s="41" t="s">
        <v>40</v>
      </c>
      <c r="U663" s="41" t="s">
        <v>40</v>
      </c>
    </row>
    <row r="664" spans="1:21">
      <c r="A664" s="41">
        <v>2276</v>
      </c>
      <c r="B664" s="41" t="s">
        <v>2995</v>
      </c>
      <c r="D664" s="41">
        <v>5365</v>
      </c>
      <c r="E664" s="41" t="s">
        <v>2996</v>
      </c>
      <c r="F664" s="41" t="s">
        <v>53</v>
      </c>
      <c r="G664" s="41" t="s">
        <v>54</v>
      </c>
      <c r="I664" s="41" t="s">
        <v>338</v>
      </c>
      <c r="J664" s="41" t="s">
        <v>32</v>
      </c>
      <c r="K664" s="42"/>
      <c r="L664" s="41" t="s">
        <v>2997</v>
      </c>
      <c r="M664" s="41">
        <v>220</v>
      </c>
      <c r="N664" s="41" t="s">
        <v>805</v>
      </c>
      <c r="O664" s="41" t="s">
        <v>2998</v>
      </c>
      <c r="P664" s="41" t="s">
        <v>83</v>
      </c>
      <c r="Q664" s="41" t="s">
        <v>2999</v>
      </c>
      <c r="R664" s="41" t="s">
        <v>62</v>
      </c>
      <c r="S664" s="41" t="s">
        <v>40</v>
      </c>
      <c r="T664" s="41" t="s">
        <v>40</v>
      </c>
      <c r="U664" s="41" t="s">
        <v>40</v>
      </c>
    </row>
    <row r="665" spans="1:21">
      <c r="A665" s="41">
        <v>2275</v>
      </c>
      <c r="B665" s="41" t="s">
        <v>3000</v>
      </c>
      <c r="D665" s="41">
        <v>5349</v>
      </c>
      <c r="E665" s="41" t="s">
        <v>1475</v>
      </c>
      <c r="F665" s="41" t="s">
        <v>53</v>
      </c>
      <c r="G665" s="41" t="s">
        <v>54</v>
      </c>
      <c r="I665" s="41" t="s">
        <v>149</v>
      </c>
      <c r="J665" s="41" t="s">
        <v>32</v>
      </c>
      <c r="K665" s="42"/>
      <c r="L665" s="41" t="s">
        <v>3001</v>
      </c>
      <c r="M665" s="41">
        <v>220</v>
      </c>
      <c r="N665" s="41" t="s">
        <v>59</v>
      </c>
      <c r="O665" s="41" t="s">
        <v>3002</v>
      </c>
      <c r="P665" s="41" t="s">
        <v>334</v>
      </c>
      <c r="Q665" s="41" t="s">
        <v>2186</v>
      </c>
      <c r="R665" s="41" t="s">
        <v>62</v>
      </c>
      <c r="S665" s="41" t="s">
        <v>40</v>
      </c>
      <c r="T665" s="41" t="s">
        <v>40</v>
      </c>
      <c r="U665" s="41" t="s">
        <v>40</v>
      </c>
    </row>
    <row r="666" spans="1:21">
      <c r="A666" s="41">
        <v>2274</v>
      </c>
      <c r="B666" s="41" t="s">
        <v>3003</v>
      </c>
      <c r="D666" s="41">
        <v>5375</v>
      </c>
      <c r="E666" s="41" t="s">
        <v>1136</v>
      </c>
      <c r="F666" s="41" t="s">
        <v>53</v>
      </c>
      <c r="G666" s="41" t="s">
        <v>54</v>
      </c>
      <c r="I666" s="41" t="s">
        <v>3004</v>
      </c>
      <c r="J666" s="41" t="s">
        <v>380</v>
      </c>
      <c r="K666" s="42"/>
      <c r="L666" s="41" t="s">
        <v>3005</v>
      </c>
      <c r="M666" s="41">
        <v>220</v>
      </c>
      <c r="N666" s="41" t="s">
        <v>3006</v>
      </c>
      <c r="O666" s="41" t="s">
        <v>3007</v>
      </c>
      <c r="P666" s="41" t="s">
        <v>83</v>
      </c>
      <c r="Q666" s="41" t="s">
        <v>3008</v>
      </c>
      <c r="R666" s="41" t="s">
        <v>62</v>
      </c>
      <c r="S666" s="41" t="s">
        <v>40</v>
      </c>
      <c r="T666" s="41" t="s">
        <v>40</v>
      </c>
      <c r="U666" s="41" t="s">
        <v>40</v>
      </c>
    </row>
    <row r="667" spans="1:21">
      <c r="A667" s="41">
        <v>2273</v>
      </c>
      <c r="B667" s="41" t="s">
        <v>3009</v>
      </c>
      <c r="D667" s="41">
        <v>5381</v>
      </c>
      <c r="E667" s="41" t="s">
        <v>3010</v>
      </c>
      <c r="F667" s="41" t="s">
        <v>53</v>
      </c>
      <c r="G667" s="41" t="s">
        <v>64</v>
      </c>
      <c r="I667" s="41" t="s">
        <v>392</v>
      </c>
      <c r="J667" s="41" t="s">
        <v>32</v>
      </c>
      <c r="K667" s="42"/>
      <c r="L667" s="41" t="s">
        <v>3011</v>
      </c>
      <c r="M667" s="41">
        <v>220</v>
      </c>
      <c r="N667" s="41" t="s">
        <v>3012</v>
      </c>
      <c r="O667" s="41" t="s">
        <v>36</v>
      </c>
      <c r="P667" s="41" t="s">
        <v>334</v>
      </c>
      <c r="Q667" s="41" t="s">
        <v>2186</v>
      </c>
      <c r="R667" s="41" t="s">
        <v>62</v>
      </c>
      <c r="S667" s="41" t="s">
        <v>40</v>
      </c>
      <c r="T667" s="41" t="s">
        <v>40</v>
      </c>
      <c r="U667" s="41" t="s">
        <v>40</v>
      </c>
    </row>
    <row r="668" spans="1:21">
      <c r="A668" s="41">
        <v>2272</v>
      </c>
      <c r="B668" s="41" t="s">
        <v>2976</v>
      </c>
      <c r="E668" s="41" t="s">
        <v>1035</v>
      </c>
      <c r="F668" s="41" t="s">
        <v>53</v>
      </c>
      <c r="G668" s="41" t="s">
        <v>43</v>
      </c>
      <c r="I668" s="41" t="s">
        <v>45</v>
      </c>
      <c r="J668" s="41" t="s">
        <v>32</v>
      </c>
      <c r="K668" s="42"/>
      <c r="L668" s="41" t="s">
        <v>3013</v>
      </c>
      <c r="M668" s="41">
        <v>220</v>
      </c>
      <c r="N668" s="41" t="s">
        <v>1333</v>
      </c>
      <c r="O668" s="41" t="s">
        <v>2978</v>
      </c>
      <c r="P668" s="41" t="s">
        <v>334</v>
      </c>
      <c r="Q668" s="41" t="s">
        <v>2186</v>
      </c>
      <c r="R668" s="41" t="s">
        <v>62</v>
      </c>
      <c r="S668" s="41" t="s">
        <v>40</v>
      </c>
      <c r="T668" s="41" t="s">
        <v>40</v>
      </c>
      <c r="U668" s="41" t="s">
        <v>40</v>
      </c>
    </row>
    <row r="669" spans="1:21">
      <c r="A669" s="41">
        <v>2271</v>
      </c>
      <c r="B669" s="41" t="s">
        <v>3014</v>
      </c>
      <c r="D669" s="41">
        <v>5368</v>
      </c>
      <c r="E669" s="41" t="s">
        <v>3015</v>
      </c>
      <c r="F669" s="41" t="s">
        <v>53</v>
      </c>
      <c r="G669" s="41" t="s">
        <v>43</v>
      </c>
      <c r="I669" s="41" t="s">
        <v>2580</v>
      </c>
      <c r="J669" s="41" t="s">
        <v>32</v>
      </c>
      <c r="K669" s="42"/>
      <c r="L669" s="41" t="s">
        <v>574</v>
      </c>
      <c r="M669" s="41">
        <v>220</v>
      </c>
      <c r="N669" s="41" t="s">
        <v>1629</v>
      </c>
      <c r="O669" s="41" t="s">
        <v>3016</v>
      </c>
      <c r="P669" s="41" t="s">
        <v>179</v>
      </c>
      <c r="Q669" s="41" t="s">
        <v>284</v>
      </c>
      <c r="R669" s="41" t="s">
        <v>62</v>
      </c>
      <c r="S669" s="41" t="s">
        <v>40</v>
      </c>
      <c r="T669" s="41" t="s">
        <v>40</v>
      </c>
      <c r="U669" s="41" t="s">
        <v>40</v>
      </c>
    </row>
    <row r="670" spans="1:21">
      <c r="A670" s="41">
        <v>2270</v>
      </c>
      <c r="B670" s="41" t="s">
        <v>3017</v>
      </c>
      <c r="D670" s="41">
        <v>5382</v>
      </c>
      <c r="E670" s="41" t="s">
        <v>2221</v>
      </c>
      <c r="F670" s="41" t="s">
        <v>53</v>
      </c>
      <c r="G670" s="41" t="s">
        <v>64</v>
      </c>
      <c r="I670" s="41" t="s">
        <v>392</v>
      </c>
      <c r="J670" s="41" t="s">
        <v>32</v>
      </c>
      <c r="K670" s="42"/>
      <c r="L670" s="41" t="s">
        <v>3018</v>
      </c>
      <c r="M670" s="41">
        <v>220</v>
      </c>
      <c r="N670" s="41" t="s">
        <v>3019</v>
      </c>
      <c r="O670" s="41" t="s">
        <v>2072</v>
      </c>
      <c r="P670" s="41" t="s">
        <v>37</v>
      </c>
      <c r="Q670" s="41" t="s">
        <v>969</v>
      </c>
      <c r="R670" s="41" t="s">
        <v>62</v>
      </c>
      <c r="S670" s="41" t="s">
        <v>40</v>
      </c>
      <c r="T670" s="41" t="s">
        <v>40</v>
      </c>
      <c r="U670" s="41" t="s">
        <v>40</v>
      </c>
    </row>
    <row r="671" spans="1:21">
      <c r="A671" s="41">
        <v>2268</v>
      </c>
      <c r="B671" s="41" t="s">
        <v>3020</v>
      </c>
      <c r="E671" s="41" t="s">
        <v>3021</v>
      </c>
      <c r="F671" s="41" t="s">
        <v>53</v>
      </c>
      <c r="G671" s="41" t="s">
        <v>43</v>
      </c>
      <c r="I671" s="41" t="s">
        <v>45</v>
      </c>
      <c r="J671" s="41" t="s">
        <v>32</v>
      </c>
      <c r="K671" s="42"/>
      <c r="L671" s="41" t="s">
        <v>3022</v>
      </c>
      <c r="M671" s="41">
        <v>220</v>
      </c>
      <c r="N671" s="41" t="s">
        <v>805</v>
      </c>
      <c r="O671" s="41" t="s">
        <v>3023</v>
      </c>
      <c r="P671" s="41" t="s">
        <v>98</v>
      </c>
      <c r="Q671" s="41" t="s">
        <v>116</v>
      </c>
      <c r="R671" s="41" t="s">
        <v>62</v>
      </c>
      <c r="S671" s="41" t="s">
        <v>40</v>
      </c>
      <c r="T671" s="41" t="s">
        <v>40</v>
      </c>
      <c r="U671" s="41" t="s">
        <v>40</v>
      </c>
    </row>
    <row r="672" spans="1:21">
      <c r="A672" s="41">
        <v>2267</v>
      </c>
      <c r="B672" s="41" t="s">
        <v>3024</v>
      </c>
      <c r="E672" s="41" t="s">
        <v>3021</v>
      </c>
      <c r="F672" s="41" t="s">
        <v>53</v>
      </c>
      <c r="G672" s="41" t="s">
        <v>43</v>
      </c>
      <c r="I672" s="41" t="s">
        <v>45</v>
      </c>
      <c r="J672" s="41" t="s">
        <v>32</v>
      </c>
      <c r="K672" s="42"/>
      <c r="L672" s="41" t="s">
        <v>574</v>
      </c>
      <c r="M672" s="41">
        <v>220</v>
      </c>
      <c r="N672" s="41" t="s">
        <v>805</v>
      </c>
      <c r="O672" s="41" t="s">
        <v>3025</v>
      </c>
      <c r="P672" s="41" t="s">
        <v>179</v>
      </c>
      <c r="Q672" s="41" t="s">
        <v>284</v>
      </c>
      <c r="R672" s="41" t="s">
        <v>62</v>
      </c>
      <c r="S672" s="41" t="s">
        <v>40</v>
      </c>
      <c r="T672" s="41" t="s">
        <v>40</v>
      </c>
      <c r="U672" s="41" t="s">
        <v>40</v>
      </c>
    </row>
    <row r="673" spans="1:21">
      <c r="A673" s="41">
        <v>2264</v>
      </c>
      <c r="B673" s="41" t="s">
        <v>3020</v>
      </c>
      <c r="E673" s="41" t="s">
        <v>3021</v>
      </c>
      <c r="F673" s="41" t="s">
        <v>53</v>
      </c>
      <c r="G673" s="41" t="s">
        <v>43</v>
      </c>
      <c r="I673" s="41" t="s">
        <v>45</v>
      </c>
      <c r="J673" s="41" t="s">
        <v>32</v>
      </c>
      <c r="K673" s="42"/>
      <c r="L673" s="41" t="s">
        <v>3026</v>
      </c>
      <c r="M673" s="41">
        <v>220</v>
      </c>
      <c r="N673" s="41" t="s">
        <v>3027</v>
      </c>
      <c r="O673" s="41" t="s">
        <v>3023</v>
      </c>
      <c r="P673" s="41" t="s">
        <v>98</v>
      </c>
      <c r="Q673" s="41" t="s">
        <v>116</v>
      </c>
      <c r="R673" s="41" t="s">
        <v>62</v>
      </c>
      <c r="S673" s="41" t="s">
        <v>40</v>
      </c>
      <c r="T673" s="41" t="s">
        <v>40</v>
      </c>
      <c r="U673" s="41" t="s">
        <v>40</v>
      </c>
    </row>
    <row r="674" spans="1:21">
      <c r="A674" s="41">
        <v>2265</v>
      </c>
      <c r="B674" s="41" t="s">
        <v>3028</v>
      </c>
      <c r="E674" s="41" t="s">
        <v>3029</v>
      </c>
      <c r="F674" s="41" t="s">
        <v>53</v>
      </c>
      <c r="G674" s="41" t="s">
        <v>43</v>
      </c>
      <c r="I674" s="41" t="s">
        <v>45</v>
      </c>
      <c r="J674" s="41" t="s">
        <v>32</v>
      </c>
      <c r="K674" s="42"/>
      <c r="L674" s="41" t="s">
        <v>3030</v>
      </c>
      <c r="M674" s="41">
        <v>220</v>
      </c>
      <c r="N674" s="41" t="s">
        <v>805</v>
      </c>
      <c r="O674" s="41" t="s">
        <v>2041</v>
      </c>
      <c r="P674" s="41" t="s">
        <v>37</v>
      </c>
      <c r="Q674" s="41" t="s">
        <v>969</v>
      </c>
      <c r="R674" s="41" t="s">
        <v>62</v>
      </c>
      <c r="S674" s="41" t="s">
        <v>40</v>
      </c>
      <c r="T674" s="41" t="s">
        <v>40</v>
      </c>
      <c r="U674" s="41" t="s">
        <v>40</v>
      </c>
    </row>
    <row r="675" spans="1:21">
      <c r="A675" s="41">
        <v>2266</v>
      </c>
      <c r="B675" s="41" t="s">
        <v>3031</v>
      </c>
      <c r="E675" s="41" t="s">
        <v>3021</v>
      </c>
      <c r="F675" s="41" t="s">
        <v>53</v>
      </c>
      <c r="G675" s="41" t="s">
        <v>43</v>
      </c>
      <c r="I675" s="41" t="s">
        <v>45</v>
      </c>
      <c r="J675" s="41" t="s">
        <v>32</v>
      </c>
      <c r="K675" s="42"/>
      <c r="L675" s="41" t="s">
        <v>2924</v>
      </c>
      <c r="M675" s="41">
        <v>220</v>
      </c>
      <c r="N675" s="41" t="s">
        <v>805</v>
      </c>
      <c r="O675" s="41" t="s">
        <v>3025</v>
      </c>
      <c r="P675" s="41" t="s">
        <v>179</v>
      </c>
      <c r="Q675" s="41" t="s">
        <v>284</v>
      </c>
      <c r="R675" s="41" t="s">
        <v>62</v>
      </c>
      <c r="S675" s="41" t="s">
        <v>40</v>
      </c>
      <c r="T675" s="41" t="s">
        <v>40</v>
      </c>
      <c r="U675" s="41" t="s">
        <v>40</v>
      </c>
    </row>
    <row r="676" spans="1:21">
      <c r="A676" s="41">
        <v>2260</v>
      </c>
      <c r="B676" s="41" t="s">
        <v>3032</v>
      </c>
      <c r="E676" s="41" t="s">
        <v>3021</v>
      </c>
      <c r="F676" s="41" t="s">
        <v>53</v>
      </c>
      <c r="G676" s="41" t="s">
        <v>43</v>
      </c>
      <c r="I676" s="41" t="s">
        <v>45</v>
      </c>
      <c r="J676" s="41" t="s">
        <v>32</v>
      </c>
      <c r="K676" s="42"/>
      <c r="L676" s="41" t="s">
        <v>3033</v>
      </c>
      <c r="M676" s="41">
        <v>220</v>
      </c>
      <c r="N676" s="41" t="s">
        <v>3027</v>
      </c>
      <c r="O676" s="41" t="s">
        <v>1189</v>
      </c>
      <c r="P676" s="41" t="s">
        <v>98</v>
      </c>
      <c r="Q676" s="41" t="s">
        <v>98</v>
      </c>
      <c r="R676" s="41" t="s">
        <v>62</v>
      </c>
      <c r="S676" s="41" t="s">
        <v>40</v>
      </c>
      <c r="T676" s="41" t="s">
        <v>40</v>
      </c>
      <c r="U676" s="41" t="s">
        <v>40</v>
      </c>
    </row>
    <row r="677" spans="1:21">
      <c r="A677" s="41">
        <v>2261</v>
      </c>
      <c r="B677" s="41" t="s">
        <v>3034</v>
      </c>
      <c r="D677" s="41">
        <v>5397</v>
      </c>
      <c r="E677" s="41" t="s">
        <v>3035</v>
      </c>
      <c r="F677" s="41" t="s">
        <v>53</v>
      </c>
      <c r="G677" s="41" t="s">
        <v>64</v>
      </c>
      <c r="I677" s="41" t="s">
        <v>45</v>
      </c>
      <c r="J677" s="41" t="s">
        <v>32</v>
      </c>
      <c r="K677" s="42"/>
      <c r="L677" s="41" t="s">
        <v>3036</v>
      </c>
      <c r="M677" s="41">
        <v>220</v>
      </c>
      <c r="N677" s="41" t="s">
        <v>805</v>
      </c>
      <c r="O677" s="41" t="s">
        <v>2041</v>
      </c>
      <c r="P677" s="41" t="s">
        <v>37</v>
      </c>
      <c r="Q677" s="41" t="s">
        <v>969</v>
      </c>
      <c r="R677" s="41" t="s">
        <v>62</v>
      </c>
      <c r="S677" s="41" t="s">
        <v>40</v>
      </c>
      <c r="T677" s="41" t="s">
        <v>40</v>
      </c>
      <c r="U677" s="41" t="s">
        <v>40</v>
      </c>
    </row>
    <row r="678" spans="1:21">
      <c r="A678" s="41">
        <v>2262</v>
      </c>
      <c r="B678" s="41" t="s">
        <v>3037</v>
      </c>
      <c r="E678" s="41" t="s">
        <v>3035</v>
      </c>
      <c r="F678" s="41" t="s">
        <v>53</v>
      </c>
      <c r="G678" s="41" t="s">
        <v>43</v>
      </c>
      <c r="I678" s="41" t="s">
        <v>45</v>
      </c>
      <c r="J678" s="41" t="s">
        <v>32</v>
      </c>
      <c r="K678" s="42"/>
      <c r="L678" s="41" t="s">
        <v>3038</v>
      </c>
      <c r="M678" s="41">
        <v>220</v>
      </c>
      <c r="N678" s="41" t="s">
        <v>805</v>
      </c>
      <c r="O678" s="41" t="s">
        <v>3039</v>
      </c>
      <c r="P678" s="41" t="s">
        <v>37</v>
      </c>
      <c r="Q678" s="41" t="s">
        <v>969</v>
      </c>
      <c r="R678" s="41" t="s">
        <v>62</v>
      </c>
      <c r="S678" s="41" t="s">
        <v>40</v>
      </c>
      <c r="T678" s="41" t="s">
        <v>40</v>
      </c>
      <c r="U678" s="41" t="s">
        <v>40</v>
      </c>
    </row>
    <row r="679" spans="1:21">
      <c r="A679" s="41">
        <v>2263</v>
      </c>
      <c r="B679" s="41" t="s">
        <v>3024</v>
      </c>
      <c r="E679" s="41" t="s">
        <v>3021</v>
      </c>
      <c r="F679" s="41" t="s">
        <v>53</v>
      </c>
      <c r="G679" s="41" t="s">
        <v>43</v>
      </c>
      <c r="I679" s="41" t="s">
        <v>45</v>
      </c>
      <c r="J679" s="41" t="s">
        <v>32</v>
      </c>
      <c r="K679" s="42"/>
      <c r="L679" s="41" t="s">
        <v>574</v>
      </c>
      <c r="M679" s="41">
        <v>220</v>
      </c>
      <c r="N679" s="41" t="s">
        <v>805</v>
      </c>
      <c r="O679" s="41" t="s">
        <v>3025</v>
      </c>
      <c r="P679" s="41" t="s">
        <v>179</v>
      </c>
      <c r="Q679" s="41" t="s">
        <v>284</v>
      </c>
      <c r="R679" s="41" t="s">
        <v>62</v>
      </c>
      <c r="S679" s="41" t="s">
        <v>40</v>
      </c>
      <c r="T679" s="41" t="s">
        <v>40</v>
      </c>
      <c r="U679" s="41" t="s">
        <v>40</v>
      </c>
    </row>
    <row r="680" spans="1:21">
      <c r="A680" s="41">
        <v>2259</v>
      </c>
      <c r="B680" s="41" t="s">
        <v>3040</v>
      </c>
      <c r="E680" s="41" t="s">
        <v>3035</v>
      </c>
      <c r="F680" s="41" t="s">
        <v>53</v>
      </c>
      <c r="G680" s="41" t="s">
        <v>43</v>
      </c>
      <c r="I680" s="41" t="s">
        <v>162</v>
      </c>
      <c r="J680" s="41" t="s">
        <v>32</v>
      </c>
      <c r="K680" s="42"/>
      <c r="L680" s="41" t="s">
        <v>3036</v>
      </c>
      <c r="M680" s="41">
        <v>220</v>
      </c>
      <c r="N680" s="41" t="s">
        <v>805</v>
      </c>
      <c r="O680" s="41" t="s">
        <v>3039</v>
      </c>
      <c r="P680" s="41" t="s">
        <v>37</v>
      </c>
      <c r="Q680" s="41" t="s">
        <v>969</v>
      </c>
      <c r="R680" s="41" t="s">
        <v>62</v>
      </c>
      <c r="S680" s="41" t="s">
        <v>40</v>
      </c>
      <c r="T680" s="41" t="s">
        <v>40</v>
      </c>
      <c r="U680" s="41" t="s">
        <v>40</v>
      </c>
    </row>
    <row r="681" spans="1:21">
      <c r="A681" s="41">
        <v>2255</v>
      </c>
      <c r="B681" s="41" t="s">
        <v>3031</v>
      </c>
      <c r="D681" s="41">
        <v>5398</v>
      </c>
      <c r="E681" s="41" t="s">
        <v>3021</v>
      </c>
      <c r="F681" s="41" t="s">
        <v>53</v>
      </c>
      <c r="G681" s="41" t="s">
        <v>54</v>
      </c>
      <c r="I681" s="41" t="s">
        <v>45</v>
      </c>
      <c r="J681" s="41" t="s">
        <v>32</v>
      </c>
      <c r="K681" s="42"/>
      <c r="L681" s="41" t="s">
        <v>2924</v>
      </c>
      <c r="M681" s="41">
        <v>220</v>
      </c>
      <c r="N681" s="41" t="s">
        <v>805</v>
      </c>
      <c r="O681" s="41" t="s">
        <v>3023</v>
      </c>
      <c r="P681" s="41" t="s">
        <v>179</v>
      </c>
      <c r="Q681" s="41" t="s">
        <v>284</v>
      </c>
      <c r="R681" s="41" t="s">
        <v>62</v>
      </c>
      <c r="S681" s="41" t="s">
        <v>40</v>
      </c>
      <c r="T681" s="41" t="s">
        <v>40</v>
      </c>
      <c r="U681" s="41" t="s">
        <v>40</v>
      </c>
    </row>
    <row r="682" spans="1:21">
      <c r="A682" s="41">
        <v>2256</v>
      </c>
      <c r="B682" s="41" t="s">
        <v>3020</v>
      </c>
      <c r="D682" s="41">
        <v>5395</v>
      </c>
      <c r="E682" s="41" t="s">
        <v>3021</v>
      </c>
      <c r="F682" s="41" t="s">
        <v>53</v>
      </c>
      <c r="G682" s="41" t="s">
        <v>64</v>
      </c>
      <c r="I682" s="41" t="s">
        <v>45</v>
      </c>
      <c r="J682" s="41" t="s">
        <v>32</v>
      </c>
      <c r="K682" s="42"/>
      <c r="L682" s="41" t="s">
        <v>3041</v>
      </c>
      <c r="M682" s="41">
        <v>220</v>
      </c>
      <c r="N682" s="41" t="s">
        <v>805</v>
      </c>
      <c r="O682" s="41" t="s">
        <v>3023</v>
      </c>
      <c r="P682" s="41" t="s">
        <v>98</v>
      </c>
      <c r="Q682" s="41" t="s">
        <v>116</v>
      </c>
      <c r="R682" s="41" t="s">
        <v>62</v>
      </c>
      <c r="S682" s="41" t="s">
        <v>40</v>
      </c>
      <c r="T682" s="41" t="s">
        <v>40</v>
      </c>
      <c r="U682" s="41" t="s">
        <v>40</v>
      </c>
    </row>
    <row r="683" spans="1:21">
      <c r="A683" s="41">
        <v>2257</v>
      </c>
      <c r="B683" s="41" t="s">
        <v>3032</v>
      </c>
      <c r="D683" s="41">
        <v>5396</v>
      </c>
      <c r="E683" s="41" t="s">
        <v>3021</v>
      </c>
      <c r="F683" s="41" t="s">
        <v>53</v>
      </c>
      <c r="G683" s="41" t="s">
        <v>64</v>
      </c>
      <c r="I683" s="41" t="s">
        <v>45</v>
      </c>
      <c r="J683" s="41" t="s">
        <v>32</v>
      </c>
      <c r="K683" s="42"/>
      <c r="L683" s="41" t="s">
        <v>3042</v>
      </c>
      <c r="M683" s="41">
        <v>220</v>
      </c>
      <c r="N683" s="41" t="s">
        <v>805</v>
      </c>
      <c r="O683" s="41" t="s">
        <v>1189</v>
      </c>
      <c r="P683" s="41" t="s">
        <v>98</v>
      </c>
      <c r="Q683" s="41" t="s">
        <v>98</v>
      </c>
      <c r="R683" s="41" t="s">
        <v>62</v>
      </c>
      <c r="S683" s="41" t="s">
        <v>40</v>
      </c>
      <c r="T683" s="41" t="s">
        <v>40</v>
      </c>
      <c r="U683" s="41" t="s">
        <v>40</v>
      </c>
    </row>
    <row r="684" spans="1:21">
      <c r="A684" s="41">
        <v>2258</v>
      </c>
      <c r="B684" s="41" t="s">
        <v>3043</v>
      </c>
      <c r="E684" s="41" t="s">
        <v>3021</v>
      </c>
      <c r="F684" s="41" t="s">
        <v>53</v>
      </c>
      <c r="G684" s="41" t="s">
        <v>43</v>
      </c>
      <c r="I684" s="41" t="s">
        <v>45</v>
      </c>
      <c r="J684" s="41" t="s">
        <v>32</v>
      </c>
      <c r="K684" s="42"/>
      <c r="L684" s="41" t="s">
        <v>2924</v>
      </c>
      <c r="M684" s="41">
        <v>220</v>
      </c>
      <c r="N684" s="41" t="s">
        <v>805</v>
      </c>
      <c r="O684" s="41" t="s">
        <v>3025</v>
      </c>
      <c r="P684" s="41" t="s">
        <v>179</v>
      </c>
      <c r="Q684" s="41" t="s">
        <v>284</v>
      </c>
      <c r="R684" s="41" t="s">
        <v>62</v>
      </c>
      <c r="S684" s="41" t="s">
        <v>40</v>
      </c>
      <c r="T684" s="41" t="s">
        <v>40</v>
      </c>
      <c r="U684" s="41" t="s">
        <v>40</v>
      </c>
    </row>
    <row r="685" spans="1:21">
      <c r="A685" s="41">
        <v>2252</v>
      </c>
      <c r="B685" s="41" t="s">
        <v>3044</v>
      </c>
      <c r="E685" s="41" t="s">
        <v>3029</v>
      </c>
      <c r="F685" s="41" t="s">
        <v>53</v>
      </c>
      <c r="G685" s="41" t="s">
        <v>43</v>
      </c>
      <c r="I685" s="41" t="s">
        <v>966</v>
      </c>
      <c r="J685" s="41" t="s">
        <v>32</v>
      </c>
      <c r="K685" s="42"/>
      <c r="L685" s="41" t="s">
        <v>2958</v>
      </c>
      <c r="M685" s="41">
        <v>220</v>
      </c>
      <c r="N685" s="41" t="s">
        <v>805</v>
      </c>
      <c r="O685" s="41" t="s">
        <v>3045</v>
      </c>
      <c r="P685" s="41" t="s">
        <v>334</v>
      </c>
      <c r="Q685" s="41" t="s">
        <v>2186</v>
      </c>
      <c r="R685" s="41" t="s">
        <v>62</v>
      </c>
      <c r="S685" s="41" t="s">
        <v>40</v>
      </c>
      <c r="T685" s="41" t="s">
        <v>40</v>
      </c>
      <c r="U685" s="41" t="s">
        <v>40</v>
      </c>
    </row>
    <row r="686" spans="1:21">
      <c r="A686" s="41">
        <v>2253</v>
      </c>
      <c r="B686" s="41" t="s">
        <v>3046</v>
      </c>
      <c r="E686" s="41" t="s">
        <v>3021</v>
      </c>
      <c r="F686" s="41" t="s">
        <v>53</v>
      </c>
      <c r="G686" s="41" t="s">
        <v>43</v>
      </c>
      <c r="I686" s="41" t="s">
        <v>45</v>
      </c>
      <c r="J686" s="41" t="s">
        <v>32</v>
      </c>
      <c r="K686" s="42"/>
      <c r="L686" s="41" t="s">
        <v>3047</v>
      </c>
      <c r="M686" s="41">
        <v>220</v>
      </c>
      <c r="N686" s="41" t="s">
        <v>3027</v>
      </c>
      <c r="O686" s="41" t="s">
        <v>1189</v>
      </c>
      <c r="P686" s="41" t="s">
        <v>98</v>
      </c>
      <c r="Q686" s="41" t="s">
        <v>98</v>
      </c>
      <c r="R686" s="41" t="s">
        <v>62</v>
      </c>
      <c r="S686" s="41" t="s">
        <v>40</v>
      </c>
      <c r="T686" s="41" t="s">
        <v>40</v>
      </c>
      <c r="U686" s="41" t="s">
        <v>40</v>
      </c>
    </row>
    <row r="687" spans="1:21">
      <c r="A687" s="41">
        <v>2254</v>
      </c>
      <c r="B687" s="41" t="s">
        <v>3040</v>
      </c>
      <c r="D687" s="41">
        <v>5393</v>
      </c>
      <c r="E687" s="41" t="s">
        <v>3035</v>
      </c>
      <c r="F687" s="41" t="s">
        <v>53</v>
      </c>
      <c r="G687" s="41" t="s">
        <v>64</v>
      </c>
      <c r="I687" s="41" t="s">
        <v>162</v>
      </c>
      <c r="J687" s="41" t="s">
        <v>32</v>
      </c>
      <c r="K687" s="42"/>
      <c r="L687" s="41" t="s">
        <v>3036</v>
      </c>
      <c r="M687" s="41">
        <v>220</v>
      </c>
      <c r="N687" s="41" t="s">
        <v>805</v>
      </c>
      <c r="O687" s="41" t="s">
        <v>3039</v>
      </c>
      <c r="P687" s="41" t="s">
        <v>37</v>
      </c>
      <c r="Q687" s="41" t="s">
        <v>969</v>
      </c>
      <c r="R687" s="41" t="s">
        <v>62</v>
      </c>
      <c r="S687" s="41" t="s">
        <v>40</v>
      </c>
      <c r="T687" s="41" t="s">
        <v>40</v>
      </c>
      <c r="U687" s="41" t="s">
        <v>40</v>
      </c>
    </row>
    <row r="688" spans="1:21">
      <c r="A688" s="41">
        <v>2250</v>
      </c>
      <c r="B688" s="41" t="s">
        <v>3048</v>
      </c>
      <c r="E688" s="41" t="s">
        <v>3029</v>
      </c>
      <c r="F688" s="41" t="s">
        <v>53</v>
      </c>
      <c r="G688" s="41" t="s">
        <v>43</v>
      </c>
      <c r="I688" s="41" t="s">
        <v>966</v>
      </c>
      <c r="J688" s="41" t="s">
        <v>32</v>
      </c>
      <c r="K688" s="42"/>
      <c r="L688" s="41" t="s">
        <v>3049</v>
      </c>
      <c r="M688" s="41">
        <v>220</v>
      </c>
      <c r="N688" s="41" t="s">
        <v>805</v>
      </c>
      <c r="O688" s="41" t="s">
        <v>3045</v>
      </c>
      <c r="P688" s="41" t="s">
        <v>334</v>
      </c>
      <c r="Q688" s="41" t="s">
        <v>2186</v>
      </c>
      <c r="R688" s="41" t="s">
        <v>62</v>
      </c>
      <c r="S688" s="41" t="s">
        <v>40</v>
      </c>
      <c r="T688" s="41" t="s">
        <v>40</v>
      </c>
      <c r="U688" s="41" t="s">
        <v>40</v>
      </c>
    </row>
    <row r="689" spans="1:21">
      <c r="A689" s="41">
        <v>2251</v>
      </c>
      <c r="B689" s="41" t="s">
        <v>3050</v>
      </c>
      <c r="D689" s="41">
        <v>5394</v>
      </c>
      <c r="E689" s="41" t="s">
        <v>3029</v>
      </c>
      <c r="F689" s="41" t="s">
        <v>53</v>
      </c>
      <c r="G689" s="41" t="s">
        <v>64</v>
      </c>
      <c r="I689" s="41" t="s">
        <v>966</v>
      </c>
      <c r="J689" s="41" t="s">
        <v>32</v>
      </c>
      <c r="K689" s="42"/>
      <c r="L689" s="41" t="s">
        <v>2958</v>
      </c>
      <c r="M689" s="41">
        <v>220</v>
      </c>
      <c r="N689" s="41" t="s">
        <v>805</v>
      </c>
      <c r="O689" s="41" t="s">
        <v>3045</v>
      </c>
      <c r="P689" s="41" t="s">
        <v>334</v>
      </c>
      <c r="Q689" s="41" t="s">
        <v>2186</v>
      </c>
      <c r="R689" s="41" t="s">
        <v>62</v>
      </c>
      <c r="S689" s="41" t="s">
        <v>40</v>
      </c>
      <c r="T689" s="41" t="s">
        <v>40</v>
      </c>
      <c r="U689" s="41" t="s">
        <v>40</v>
      </c>
    </row>
    <row r="690" spans="1:21">
      <c r="A690" s="41">
        <v>2249</v>
      </c>
      <c r="B690" s="41" t="s">
        <v>3050</v>
      </c>
      <c r="E690" s="41" t="s">
        <v>3029</v>
      </c>
      <c r="F690" s="41" t="s">
        <v>53</v>
      </c>
      <c r="G690" s="41" t="s">
        <v>43</v>
      </c>
      <c r="I690" s="41" t="s">
        <v>45</v>
      </c>
      <c r="J690" s="41" t="s">
        <v>32</v>
      </c>
      <c r="K690" s="42"/>
      <c r="L690" s="41" t="s">
        <v>3051</v>
      </c>
      <c r="M690" s="41">
        <v>220</v>
      </c>
      <c r="N690" s="41" t="s">
        <v>3027</v>
      </c>
      <c r="O690" s="41" t="s">
        <v>3045</v>
      </c>
      <c r="P690" s="41" t="s">
        <v>334</v>
      </c>
      <c r="Q690" s="41" t="s">
        <v>2186</v>
      </c>
      <c r="R690" s="41" t="s">
        <v>62</v>
      </c>
      <c r="S690" s="41" t="s">
        <v>40</v>
      </c>
      <c r="T690" s="41" t="s">
        <v>40</v>
      </c>
      <c r="U690" s="41" t="s">
        <v>40</v>
      </c>
    </row>
    <row r="691" spans="1:21">
      <c r="A691" s="41">
        <v>2248</v>
      </c>
      <c r="B691" s="41" t="s">
        <v>3052</v>
      </c>
      <c r="D691" s="41">
        <v>5373</v>
      </c>
      <c r="E691" s="41" t="s">
        <v>3053</v>
      </c>
      <c r="F691" s="41" t="s">
        <v>53</v>
      </c>
      <c r="G691" s="41" t="s">
        <v>54</v>
      </c>
      <c r="I691" s="41" t="s">
        <v>45</v>
      </c>
      <c r="J691" s="41" t="s">
        <v>32</v>
      </c>
      <c r="K691" s="42"/>
      <c r="L691" s="41" t="s">
        <v>3054</v>
      </c>
      <c r="M691" s="41">
        <v>220</v>
      </c>
      <c r="N691" s="41" t="s">
        <v>805</v>
      </c>
      <c r="O691" s="41" t="s">
        <v>2629</v>
      </c>
      <c r="P691" s="41" t="s">
        <v>37</v>
      </c>
      <c r="Q691" s="41" t="s">
        <v>38</v>
      </c>
      <c r="R691" s="41" t="s">
        <v>62</v>
      </c>
      <c r="S691" s="41" t="s">
        <v>40</v>
      </c>
      <c r="T691" s="41" t="s">
        <v>40</v>
      </c>
      <c r="U691" s="41" t="s">
        <v>40</v>
      </c>
    </row>
    <row r="692" spans="1:21">
      <c r="A692" s="41">
        <v>2245</v>
      </c>
      <c r="B692" s="41" t="s">
        <v>3055</v>
      </c>
      <c r="D692" s="41">
        <v>5376</v>
      </c>
      <c r="E692" s="41" t="s">
        <v>3056</v>
      </c>
      <c r="F692" s="41" t="s">
        <v>53</v>
      </c>
      <c r="G692" s="41" t="s">
        <v>54</v>
      </c>
      <c r="I692" s="41" t="s">
        <v>338</v>
      </c>
      <c r="J692" s="41" t="s">
        <v>380</v>
      </c>
      <c r="K692" s="42"/>
      <c r="L692" s="41" t="s">
        <v>2906</v>
      </c>
      <c r="M692" s="41">
        <v>220</v>
      </c>
      <c r="N692" s="41" t="s">
        <v>805</v>
      </c>
      <c r="O692" s="41" t="s">
        <v>3057</v>
      </c>
      <c r="P692" s="41" t="s">
        <v>83</v>
      </c>
      <c r="Q692" s="41" t="s">
        <v>2908</v>
      </c>
      <c r="R692" s="41" t="s">
        <v>62</v>
      </c>
      <c r="S692" s="41" t="s">
        <v>40</v>
      </c>
      <c r="T692" s="41" t="s">
        <v>40</v>
      </c>
      <c r="U692" s="41" t="s">
        <v>40</v>
      </c>
    </row>
    <row r="693" spans="1:21">
      <c r="A693" s="41">
        <v>2244</v>
      </c>
      <c r="B693" s="41" t="s">
        <v>3058</v>
      </c>
      <c r="D693" s="41">
        <v>5353</v>
      </c>
      <c r="E693" s="41" t="s">
        <v>3059</v>
      </c>
      <c r="F693" s="41" t="s">
        <v>53</v>
      </c>
      <c r="G693" s="41" t="s">
        <v>64</v>
      </c>
      <c r="I693" s="41" t="s">
        <v>102</v>
      </c>
      <c r="J693" s="41" t="s">
        <v>32</v>
      </c>
      <c r="K693" s="42"/>
      <c r="L693" s="41" t="s">
        <v>103</v>
      </c>
      <c r="M693" s="41">
        <v>220</v>
      </c>
      <c r="N693" s="41" t="s">
        <v>805</v>
      </c>
      <c r="O693" s="41" t="s">
        <v>3060</v>
      </c>
      <c r="P693" s="41" t="s">
        <v>98</v>
      </c>
      <c r="Q693" s="41" t="s">
        <v>99</v>
      </c>
      <c r="R693" s="41" t="s">
        <v>62</v>
      </c>
      <c r="S693" s="41" t="s">
        <v>40</v>
      </c>
      <c r="T693" s="41" t="s">
        <v>40</v>
      </c>
      <c r="U693" s="41" t="s">
        <v>40</v>
      </c>
    </row>
    <row r="694" spans="1:21">
      <c r="A694" s="41">
        <v>2243</v>
      </c>
      <c r="B694" s="41" t="s">
        <v>3061</v>
      </c>
      <c r="D694" s="41">
        <v>5348</v>
      </c>
      <c r="E694" s="41" t="s">
        <v>3062</v>
      </c>
      <c r="F694" s="41" t="s">
        <v>53</v>
      </c>
      <c r="G694" s="41" t="s">
        <v>54</v>
      </c>
      <c r="I694" s="41" t="s">
        <v>392</v>
      </c>
      <c r="J694" s="41" t="s">
        <v>32</v>
      </c>
      <c r="K694" s="42"/>
      <c r="L694" s="41" t="s">
        <v>3063</v>
      </c>
      <c r="M694" s="41">
        <v>220</v>
      </c>
      <c r="N694" s="41" t="s">
        <v>2632</v>
      </c>
      <c r="O694" s="41" t="s">
        <v>3064</v>
      </c>
      <c r="P694" s="41" t="s">
        <v>98</v>
      </c>
      <c r="Q694" s="41" t="s">
        <v>116</v>
      </c>
      <c r="R694" s="41" t="s">
        <v>62</v>
      </c>
      <c r="S694" s="41" t="s">
        <v>40</v>
      </c>
      <c r="T694" s="41" t="s">
        <v>40</v>
      </c>
      <c r="U694" s="41" t="s">
        <v>40</v>
      </c>
    </row>
    <row r="695" spans="1:21">
      <c r="A695" s="41">
        <v>2241</v>
      </c>
      <c r="B695" s="41" t="s">
        <v>1626</v>
      </c>
      <c r="D695" s="41">
        <v>5364</v>
      </c>
      <c r="E695" s="41" t="s">
        <v>1627</v>
      </c>
      <c r="F695" s="41" t="s">
        <v>53</v>
      </c>
      <c r="G695" s="41" t="s">
        <v>64</v>
      </c>
      <c r="I695" s="41" t="s">
        <v>3065</v>
      </c>
      <c r="J695" s="41" t="s">
        <v>32</v>
      </c>
      <c r="K695" s="42"/>
      <c r="L695" s="41" t="s">
        <v>3066</v>
      </c>
      <c r="M695" s="41">
        <v>220</v>
      </c>
      <c r="N695" s="41" t="s">
        <v>1629</v>
      </c>
      <c r="O695" s="41" t="s">
        <v>794</v>
      </c>
      <c r="P695" s="41" t="s">
        <v>98</v>
      </c>
      <c r="Q695" s="41" t="s">
        <v>99</v>
      </c>
      <c r="R695" s="41" t="s">
        <v>62</v>
      </c>
      <c r="S695" s="41" t="s">
        <v>40</v>
      </c>
      <c r="T695" s="41" t="s">
        <v>40</v>
      </c>
      <c r="U695" s="41" t="s">
        <v>40</v>
      </c>
    </row>
    <row r="696" spans="1:21">
      <c r="A696" s="41">
        <v>2242</v>
      </c>
      <c r="B696" s="41" t="s">
        <v>92</v>
      </c>
      <c r="D696" s="41">
        <v>5360</v>
      </c>
      <c r="E696" s="41" t="s">
        <v>27</v>
      </c>
      <c r="F696" s="41" t="s">
        <v>53</v>
      </c>
      <c r="G696" s="41" t="s">
        <v>64</v>
      </c>
      <c r="I696" s="41" t="s">
        <v>94</v>
      </c>
      <c r="J696" s="41" t="s">
        <v>32</v>
      </c>
      <c r="K696" s="42"/>
      <c r="L696" s="41" t="s">
        <v>95</v>
      </c>
      <c r="M696" s="41">
        <v>220</v>
      </c>
      <c r="N696" s="41" t="s">
        <v>96</v>
      </c>
      <c r="O696" s="41" t="s">
        <v>97</v>
      </c>
      <c r="P696" s="41" t="s">
        <v>98</v>
      </c>
      <c r="Q696" s="41" t="s">
        <v>99</v>
      </c>
      <c r="R696" s="41" t="s">
        <v>62</v>
      </c>
      <c r="S696" s="41" t="s">
        <v>40</v>
      </c>
      <c r="T696" s="41" t="s">
        <v>40</v>
      </c>
      <c r="U696" s="41" t="s">
        <v>40</v>
      </c>
    </row>
    <row r="697" spans="1:21">
      <c r="A697" s="41">
        <v>2240</v>
      </c>
      <c r="B697" s="41" t="s">
        <v>100</v>
      </c>
      <c r="D697" s="41">
        <v>5362</v>
      </c>
      <c r="E697" s="41" t="s">
        <v>27</v>
      </c>
      <c r="F697" s="41" t="s">
        <v>53</v>
      </c>
      <c r="G697" s="41" t="s">
        <v>64</v>
      </c>
      <c r="I697" s="41" t="s">
        <v>102</v>
      </c>
      <c r="J697" s="41" t="s">
        <v>32</v>
      </c>
      <c r="K697" s="42"/>
      <c r="L697" s="41" t="s">
        <v>103</v>
      </c>
      <c r="M697" s="41">
        <v>220</v>
      </c>
      <c r="N697" s="41" t="s">
        <v>104</v>
      </c>
      <c r="O697" s="41" t="s">
        <v>97</v>
      </c>
      <c r="P697" s="41" t="s">
        <v>98</v>
      </c>
      <c r="Q697" s="41" t="s">
        <v>99</v>
      </c>
      <c r="R697" s="41" t="s">
        <v>62</v>
      </c>
      <c r="S697" s="41" t="s">
        <v>40</v>
      </c>
      <c r="T697" s="41" t="s">
        <v>40</v>
      </c>
      <c r="U697" s="41" t="s">
        <v>40</v>
      </c>
    </row>
    <row r="698" spans="1:21">
      <c r="A698" s="41">
        <v>2239</v>
      </c>
      <c r="B698" s="41" t="s">
        <v>3067</v>
      </c>
      <c r="D698" s="41">
        <v>5357</v>
      </c>
      <c r="E698" s="41" t="s">
        <v>3068</v>
      </c>
      <c r="F698" s="41" t="s">
        <v>53</v>
      </c>
      <c r="G698" s="41" t="s">
        <v>54</v>
      </c>
      <c r="I698" s="41" t="s">
        <v>392</v>
      </c>
      <c r="J698" s="41" t="s">
        <v>32</v>
      </c>
      <c r="K698" s="42"/>
      <c r="L698" s="41" t="s">
        <v>3069</v>
      </c>
      <c r="M698" s="41">
        <v>220</v>
      </c>
      <c r="N698" s="41" t="s">
        <v>3070</v>
      </c>
      <c r="O698" s="41" t="s">
        <v>794</v>
      </c>
      <c r="P698" s="41" t="s">
        <v>83</v>
      </c>
      <c r="Q698" s="41" t="s">
        <v>2999</v>
      </c>
      <c r="R698" s="41" t="s">
        <v>62</v>
      </c>
      <c r="S698" s="41" t="s">
        <v>40</v>
      </c>
      <c r="T698" s="41" t="s">
        <v>40</v>
      </c>
      <c r="U698" s="41" t="s">
        <v>40</v>
      </c>
    </row>
    <row r="699" spans="1:21">
      <c r="A699" s="41">
        <v>2237</v>
      </c>
      <c r="B699" s="41" t="s">
        <v>105</v>
      </c>
      <c r="D699" s="41">
        <v>5369</v>
      </c>
      <c r="E699" s="41" t="s">
        <v>27</v>
      </c>
      <c r="F699" s="41" t="s">
        <v>53</v>
      </c>
      <c r="G699" s="41" t="s">
        <v>54</v>
      </c>
      <c r="I699" s="41" t="s">
        <v>45</v>
      </c>
      <c r="J699" s="41" t="s">
        <v>32</v>
      </c>
      <c r="K699" s="42"/>
      <c r="L699" s="41" t="s">
        <v>107</v>
      </c>
      <c r="M699" s="41">
        <v>220</v>
      </c>
      <c r="N699" s="41" t="s">
        <v>77</v>
      </c>
      <c r="O699" s="41" t="s">
        <v>97</v>
      </c>
      <c r="P699" s="41" t="s">
        <v>98</v>
      </c>
      <c r="Q699" s="41" t="s">
        <v>98</v>
      </c>
      <c r="R699" s="41" t="s">
        <v>62</v>
      </c>
      <c r="S699" s="41" t="s">
        <v>40</v>
      </c>
      <c r="T699" s="41" t="s">
        <v>40</v>
      </c>
      <c r="U699" s="41" t="s">
        <v>40</v>
      </c>
    </row>
    <row r="700" spans="1:21">
      <c r="A700" s="41">
        <v>2238</v>
      </c>
      <c r="B700" s="41" t="s">
        <v>108</v>
      </c>
      <c r="D700" s="41">
        <v>5358</v>
      </c>
      <c r="E700" s="41" t="s">
        <v>27</v>
      </c>
      <c r="F700" s="41" t="s">
        <v>53</v>
      </c>
      <c r="G700" s="41" t="s">
        <v>54</v>
      </c>
      <c r="I700" s="41" t="s">
        <v>45</v>
      </c>
      <c r="J700" s="41" t="s">
        <v>32</v>
      </c>
      <c r="K700" s="42"/>
      <c r="L700" s="41" t="s">
        <v>109</v>
      </c>
      <c r="M700" s="41">
        <v>220</v>
      </c>
      <c r="N700" s="41" t="s">
        <v>49</v>
      </c>
      <c r="O700" s="41" t="s">
        <v>49</v>
      </c>
      <c r="P700" s="41" t="s">
        <v>37</v>
      </c>
      <c r="Q700" s="41" t="s">
        <v>38</v>
      </c>
      <c r="R700" s="41" t="s">
        <v>62</v>
      </c>
      <c r="S700" s="41" t="s">
        <v>40</v>
      </c>
      <c r="T700" s="41" t="s">
        <v>40</v>
      </c>
      <c r="U700" s="41" t="s">
        <v>40</v>
      </c>
    </row>
    <row r="701" spans="1:21">
      <c r="A701" s="41">
        <v>2236</v>
      </c>
      <c r="B701" s="41" t="s">
        <v>110</v>
      </c>
      <c r="D701" s="41">
        <v>5370</v>
      </c>
      <c r="E701" s="41" t="s">
        <v>27</v>
      </c>
      <c r="F701" s="41" t="s">
        <v>53</v>
      </c>
      <c r="G701" s="41" t="s">
        <v>64</v>
      </c>
      <c r="I701" s="41" t="s">
        <v>45</v>
      </c>
      <c r="J701" s="41" t="s">
        <v>32</v>
      </c>
      <c r="K701" s="42"/>
      <c r="L701" s="41" t="s">
        <v>109</v>
      </c>
      <c r="M701" s="41">
        <v>220</v>
      </c>
      <c r="N701" s="41" t="s">
        <v>49</v>
      </c>
      <c r="O701" s="41" t="s">
        <v>49</v>
      </c>
      <c r="P701" s="41" t="s">
        <v>37</v>
      </c>
      <c r="Q701" s="41" t="s">
        <v>38</v>
      </c>
      <c r="R701" s="41" t="s">
        <v>62</v>
      </c>
      <c r="S701" s="41" t="s">
        <v>40</v>
      </c>
      <c r="T701" s="41" t="s">
        <v>40</v>
      </c>
      <c r="U701" s="41" t="s">
        <v>40</v>
      </c>
    </row>
    <row r="702" spans="1:21">
      <c r="A702" s="41">
        <v>2235</v>
      </c>
      <c r="B702" s="41" t="s">
        <v>113</v>
      </c>
      <c r="D702" s="41">
        <v>5361</v>
      </c>
      <c r="E702" s="41" t="s">
        <v>27</v>
      </c>
      <c r="F702" s="41" t="s">
        <v>53</v>
      </c>
      <c r="G702" s="41" t="s">
        <v>64</v>
      </c>
      <c r="I702" s="41" t="s">
        <v>45</v>
      </c>
      <c r="J702" s="41" t="s">
        <v>32</v>
      </c>
      <c r="K702" s="42"/>
      <c r="L702" s="41" t="s">
        <v>115</v>
      </c>
      <c r="M702" s="41">
        <v>220</v>
      </c>
      <c r="N702" s="41" t="s">
        <v>49</v>
      </c>
      <c r="O702" s="41" t="s">
        <v>49</v>
      </c>
      <c r="P702" s="41" t="s">
        <v>98</v>
      </c>
      <c r="Q702" s="41" t="s">
        <v>116</v>
      </c>
      <c r="R702" s="41" t="s">
        <v>62</v>
      </c>
      <c r="S702" s="41" t="s">
        <v>40</v>
      </c>
      <c r="T702" s="41" t="s">
        <v>40</v>
      </c>
      <c r="U702" s="41" t="s">
        <v>40</v>
      </c>
    </row>
    <row r="703" spans="1:21">
      <c r="A703" s="41">
        <v>2233</v>
      </c>
      <c r="B703" s="41" t="s">
        <v>3071</v>
      </c>
      <c r="D703" s="41">
        <v>5366</v>
      </c>
      <c r="E703" s="41" t="s">
        <v>3072</v>
      </c>
      <c r="F703" s="41" t="s">
        <v>53</v>
      </c>
      <c r="G703" s="41" t="s">
        <v>54</v>
      </c>
      <c r="I703" s="41" t="s">
        <v>3073</v>
      </c>
      <c r="J703" s="41" t="s">
        <v>380</v>
      </c>
      <c r="K703" s="42"/>
      <c r="L703" s="41" t="s">
        <v>3074</v>
      </c>
      <c r="M703" s="41">
        <v>500</v>
      </c>
      <c r="N703" s="41" t="s">
        <v>1629</v>
      </c>
      <c r="O703" s="41" t="s">
        <v>3075</v>
      </c>
      <c r="P703" s="41" t="s">
        <v>37</v>
      </c>
      <c r="Q703" s="41" t="s">
        <v>3076</v>
      </c>
      <c r="R703" s="41" t="s">
        <v>62</v>
      </c>
      <c r="S703" s="41" t="s">
        <v>40</v>
      </c>
      <c r="T703" s="41" t="s">
        <v>40</v>
      </c>
      <c r="U703" s="41" t="s">
        <v>40</v>
      </c>
    </row>
    <row r="704" spans="1:21">
      <c r="A704" s="41">
        <v>2234</v>
      </c>
      <c r="B704" s="41" t="s">
        <v>117</v>
      </c>
      <c r="E704" s="41" t="s">
        <v>27</v>
      </c>
      <c r="F704" s="41" t="s">
        <v>53</v>
      </c>
      <c r="G704" s="41" t="s">
        <v>64</v>
      </c>
      <c r="I704" s="41" t="s">
        <v>119</v>
      </c>
      <c r="J704" s="41" t="s">
        <v>32</v>
      </c>
      <c r="K704" s="42"/>
      <c r="L704" s="41" t="s">
        <v>115</v>
      </c>
      <c r="M704" s="41">
        <v>220</v>
      </c>
      <c r="N704" s="41" t="s">
        <v>49</v>
      </c>
      <c r="O704" s="41" t="s">
        <v>49</v>
      </c>
      <c r="P704" s="41" t="s">
        <v>98</v>
      </c>
      <c r="Q704" s="41" t="s">
        <v>116</v>
      </c>
      <c r="R704" s="41" t="s">
        <v>62</v>
      </c>
      <c r="S704" s="41" t="s">
        <v>40</v>
      </c>
      <c r="T704" s="41" t="s">
        <v>40</v>
      </c>
      <c r="U704" s="41" t="s">
        <v>40</v>
      </c>
    </row>
    <row r="705" spans="1:21">
      <c r="A705" s="41">
        <v>2232</v>
      </c>
      <c r="B705" s="41" t="s">
        <v>3040</v>
      </c>
      <c r="E705" s="41" t="s">
        <v>3035</v>
      </c>
      <c r="F705" s="41" t="s">
        <v>53</v>
      </c>
      <c r="G705" s="41" t="s">
        <v>43</v>
      </c>
      <c r="I705" s="41" t="s">
        <v>162</v>
      </c>
      <c r="J705" s="41" t="s">
        <v>32</v>
      </c>
      <c r="K705" s="42"/>
      <c r="L705" s="41" t="s">
        <v>3049</v>
      </c>
      <c r="M705" s="41">
        <v>220</v>
      </c>
      <c r="N705" s="41" t="s">
        <v>805</v>
      </c>
      <c r="O705" s="41" t="s">
        <v>3039</v>
      </c>
      <c r="P705" s="41" t="s">
        <v>37</v>
      </c>
      <c r="Q705" s="41" t="s">
        <v>969</v>
      </c>
      <c r="R705" s="41" t="s">
        <v>62</v>
      </c>
      <c r="S705" s="41" t="s">
        <v>40</v>
      </c>
      <c r="T705" s="41" t="s">
        <v>40</v>
      </c>
      <c r="U705" s="41" t="s">
        <v>40</v>
      </c>
    </row>
    <row r="706" spans="1:21">
      <c r="A706" s="41">
        <v>2231</v>
      </c>
      <c r="B706" s="41" t="s">
        <v>3050</v>
      </c>
      <c r="E706" s="41" t="s">
        <v>3029</v>
      </c>
      <c r="F706" s="41" t="s">
        <v>53</v>
      </c>
      <c r="G706" s="41" t="s">
        <v>43</v>
      </c>
      <c r="I706" s="41" t="s">
        <v>966</v>
      </c>
      <c r="J706" s="41" t="s">
        <v>32</v>
      </c>
      <c r="K706" s="42"/>
      <c r="L706" s="41" t="s">
        <v>2958</v>
      </c>
      <c r="M706" s="41">
        <v>220</v>
      </c>
      <c r="N706" s="41" t="s">
        <v>805</v>
      </c>
      <c r="O706" s="41" t="s">
        <v>3045</v>
      </c>
      <c r="P706" s="41" t="s">
        <v>334</v>
      </c>
      <c r="Q706" s="41" t="s">
        <v>2186</v>
      </c>
      <c r="R706" s="41" t="s">
        <v>62</v>
      </c>
      <c r="S706" s="41" t="s">
        <v>40</v>
      </c>
      <c r="T706" s="41" t="s">
        <v>40</v>
      </c>
      <c r="U706" s="41" t="s">
        <v>40</v>
      </c>
    </row>
    <row r="707" spans="1:21">
      <c r="A707" s="41">
        <v>2230</v>
      </c>
      <c r="B707" s="41" t="s">
        <v>3044</v>
      </c>
      <c r="E707" s="41" t="s">
        <v>3029</v>
      </c>
      <c r="F707" s="41" t="s">
        <v>53</v>
      </c>
      <c r="G707" s="41" t="s">
        <v>43</v>
      </c>
      <c r="I707" s="41" t="s">
        <v>966</v>
      </c>
      <c r="J707" s="41" t="s">
        <v>32</v>
      </c>
      <c r="K707" s="42"/>
      <c r="L707" s="41" t="s">
        <v>2958</v>
      </c>
      <c r="M707" s="41">
        <v>220</v>
      </c>
      <c r="N707" s="41" t="s">
        <v>805</v>
      </c>
      <c r="O707" s="41" t="s">
        <v>3045</v>
      </c>
      <c r="P707" s="41" t="s">
        <v>334</v>
      </c>
      <c r="Q707" s="41" t="s">
        <v>2186</v>
      </c>
      <c r="R707" s="41" t="s">
        <v>62</v>
      </c>
      <c r="S707" s="41" t="s">
        <v>40</v>
      </c>
      <c r="T707" s="41" t="s">
        <v>40</v>
      </c>
      <c r="U707" s="41" t="s">
        <v>40</v>
      </c>
    </row>
    <row r="708" spans="1:21">
      <c r="A708" s="41">
        <v>2229</v>
      </c>
      <c r="B708" s="41" t="s">
        <v>3032</v>
      </c>
      <c r="E708" s="41" t="s">
        <v>3021</v>
      </c>
      <c r="F708" s="41" t="s">
        <v>53</v>
      </c>
      <c r="G708" s="41" t="s">
        <v>43</v>
      </c>
      <c r="I708" s="41" t="s">
        <v>45</v>
      </c>
      <c r="J708" s="41" t="s">
        <v>32</v>
      </c>
      <c r="K708" s="42"/>
      <c r="L708" s="41" t="s">
        <v>3077</v>
      </c>
      <c r="M708" s="41">
        <v>220</v>
      </c>
      <c r="N708" s="41" t="s">
        <v>805</v>
      </c>
      <c r="O708" s="41" t="s">
        <v>1189</v>
      </c>
      <c r="P708" s="41" t="s">
        <v>98</v>
      </c>
      <c r="Q708" s="41" t="s">
        <v>98</v>
      </c>
      <c r="R708" s="41" t="s">
        <v>62</v>
      </c>
      <c r="S708" s="41" t="s">
        <v>40</v>
      </c>
      <c r="T708" s="41" t="s">
        <v>40</v>
      </c>
      <c r="U708" s="41" t="s">
        <v>40</v>
      </c>
    </row>
    <row r="709" spans="1:21">
      <c r="A709" s="41">
        <v>2228</v>
      </c>
      <c r="B709" s="41" t="s">
        <v>3078</v>
      </c>
      <c r="E709" s="41" t="s">
        <v>3056</v>
      </c>
      <c r="F709" s="41" t="s">
        <v>53</v>
      </c>
      <c r="G709" s="41" t="s">
        <v>43</v>
      </c>
      <c r="I709" s="41" t="s">
        <v>338</v>
      </c>
      <c r="J709" s="41" t="s">
        <v>380</v>
      </c>
      <c r="K709" s="42"/>
      <c r="L709" s="41" t="s">
        <v>2906</v>
      </c>
      <c r="M709" s="41">
        <v>220</v>
      </c>
      <c r="N709" s="41" t="s">
        <v>1629</v>
      </c>
      <c r="O709" s="41" t="s">
        <v>3079</v>
      </c>
      <c r="P709" s="41" t="s">
        <v>83</v>
      </c>
      <c r="Q709" s="41" t="s">
        <v>2908</v>
      </c>
      <c r="R709" s="41" t="s">
        <v>62</v>
      </c>
      <c r="S709" s="41" t="s">
        <v>40</v>
      </c>
      <c r="T709" s="41" t="s">
        <v>40</v>
      </c>
      <c r="U709" s="41" t="s">
        <v>40</v>
      </c>
    </row>
    <row r="710" spans="1:21">
      <c r="A710" s="41">
        <v>2227</v>
      </c>
      <c r="B710" s="41" t="s">
        <v>3061</v>
      </c>
      <c r="E710" s="41" t="s">
        <v>2631</v>
      </c>
      <c r="F710" s="41" t="s">
        <v>53</v>
      </c>
      <c r="G710" s="41" t="s">
        <v>43</v>
      </c>
      <c r="I710" s="41" t="s">
        <v>392</v>
      </c>
      <c r="J710" s="41" t="s">
        <v>32</v>
      </c>
      <c r="K710" s="42"/>
      <c r="L710" s="41" t="s">
        <v>3063</v>
      </c>
      <c r="M710" s="41">
        <v>220</v>
      </c>
      <c r="N710" s="41" t="s">
        <v>2632</v>
      </c>
      <c r="O710" s="41" t="s">
        <v>3064</v>
      </c>
      <c r="P710" s="41" t="s">
        <v>98</v>
      </c>
      <c r="Q710" s="41" t="s">
        <v>116</v>
      </c>
      <c r="R710" s="41" t="s">
        <v>62</v>
      </c>
      <c r="S710" s="41" t="s">
        <v>40</v>
      </c>
      <c r="T710" s="41" t="s">
        <v>40</v>
      </c>
      <c r="U710" s="41" t="s">
        <v>40</v>
      </c>
    </row>
    <row r="711" spans="1:21">
      <c r="A711" s="41">
        <v>2226</v>
      </c>
      <c r="B711" s="41" t="s">
        <v>2316</v>
      </c>
      <c r="D711" s="41">
        <v>5392</v>
      </c>
      <c r="E711" s="41" t="s">
        <v>1617</v>
      </c>
      <c r="F711" s="41" t="s">
        <v>42</v>
      </c>
      <c r="G711" s="41" t="s">
        <v>1175</v>
      </c>
      <c r="I711" s="41" t="s">
        <v>3080</v>
      </c>
      <c r="J711" s="41" t="s">
        <v>32</v>
      </c>
      <c r="K711" s="42"/>
      <c r="L711" s="41" t="s">
        <v>3081</v>
      </c>
      <c r="M711" s="41">
        <v>23</v>
      </c>
      <c r="N711" s="41" t="s">
        <v>1052</v>
      </c>
      <c r="O711" s="41" t="s">
        <v>2318</v>
      </c>
      <c r="P711" s="41" t="s">
        <v>153</v>
      </c>
      <c r="Q711" s="41" t="s">
        <v>153</v>
      </c>
      <c r="R711" s="41" t="s">
        <v>39</v>
      </c>
      <c r="S711" s="41" t="s">
        <v>40</v>
      </c>
      <c r="T711" s="41" t="s">
        <v>40</v>
      </c>
      <c r="U711" s="41" t="s">
        <v>40</v>
      </c>
    </row>
    <row r="712" spans="1:21">
      <c r="A712" s="41">
        <v>2225</v>
      </c>
      <c r="B712" s="41" t="s">
        <v>2886</v>
      </c>
      <c r="E712" s="41" t="s">
        <v>1227</v>
      </c>
      <c r="F712" s="41" t="s">
        <v>28</v>
      </c>
      <c r="G712" s="41" t="s">
        <v>43</v>
      </c>
      <c r="I712" s="41" t="s">
        <v>406</v>
      </c>
      <c r="J712" s="41" t="s">
        <v>32</v>
      </c>
      <c r="K712" s="42"/>
      <c r="L712" s="41" t="s">
        <v>2887</v>
      </c>
      <c r="M712" s="41">
        <v>33</v>
      </c>
      <c r="N712" s="41" t="s">
        <v>67</v>
      </c>
      <c r="O712" s="41" t="s">
        <v>1225</v>
      </c>
      <c r="P712" s="41" t="s">
        <v>68</v>
      </c>
      <c r="Q712" s="41" t="s">
        <v>699</v>
      </c>
      <c r="R712" s="41" t="s">
        <v>39</v>
      </c>
      <c r="S712" s="41" t="s">
        <v>40</v>
      </c>
      <c r="T712" s="41" t="s">
        <v>40</v>
      </c>
      <c r="U712" s="41" t="s">
        <v>40</v>
      </c>
    </row>
    <row r="713" spans="1:21">
      <c r="A713" s="41">
        <v>2224</v>
      </c>
      <c r="B713" s="41" t="s">
        <v>3082</v>
      </c>
      <c r="D713" s="41">
        <v>5342</v>
      </c>
      <c r="E713" s="41" t="s">
        <v>998</v>
      </c>
      <c r="F713" s="41" t="s">
        <v>53</v>
      </c>
      <c r="G713" s="41" t="s">
        <v>1071</v>
      </c>
      <c r="I713" s="41" t="s">
        <v>3083</v>
      </c>
      <c r="J713" s="41" t="s">
        <v>672</v>
      </c>
      <c r="K713" s="42"/>
      <c r="L713" s="41" t="s">
        <v>3084</v>
      </c>
      <c r="M713" s="41">
        <v>15</v>
      </c>
      <c r="N713" s="41" t="s">
        <v>3085</v>
      </c>
      <c r="O713" s="41" t="s">
        <v>3086</v>
      </c>
      <c r="P713" s="41" t="s">
        <v>172</v>
      </c>
      <c r="Q713" s="41" t="s">
        <v>1104</v>
      </c>
      <c r="R713" s="41" t="s">
        <v>132</v>
      </c>
      <c r="S713" s="41" t="s">
        <v>3087</v>
      </c>
      <c r="T713" s="41" t="s">
        <v>40</v>
      </c>
      <c r="U713" s="41" t="s">
        <v>40</v>
      </c>
    </row>
    <row r="714" spans="1:21">
      <c r="A714" s="41">
        <v>2223</v>
      </c>
      <c r="B714" s="41" t="s">
        <v>3088</v>
      </c>
      <c r="D714" s="41">
        <v>5343</v>
      </c>
      <c r="E714" s="41" t="s">
        <v>3089</v>
      </c>
      <c r="F714" s="41" t="s">
        <v>53</v>
      </c>
      <c r="G714" s="41" t="s">
        <v>141</v>
      </c>
      <c r="I714" s="41" t="s">
        <v>56</v>
      </c>
      <c r="J714" s="41" t="s">
        <v>32</v>
      </c>
      <c r="K714" s="42"/>
      <c r="L714" s="41" t="s">
        <v>3090</v>
      </c>
      <c r="M714" s="41">
        <v>220</v>
      </c>
      <c r="N714" s="41" t="s">
        <v>756</v>
      </c>
      <c r="O714" s="41" t="s">
        <v>757</v>
      </c>
      <c r="P714" s="41" t="s">
        <v>98</v>
      </c>
      <c r="Q714" s="41" t="s">
        <v>99</v>
      </c>
      <c r="R714" s="41" t="s">
        <v>62</v>
      </c>
      <c r="S714" s="41" t="s">
        <v>3091</v>
      </c>
      <c r="T714" s="41" t="s">
        <v>2539</v>
      </c>
      <c r="U714" s="41" t="s">
        <v>40</v>
      </c>
    </row>
    <row r="715" spans="1:21">
      <c r="A715" s="41">
        <v>2221</v>
      </c>
      <c r="B715" s="41" t="s">
        <v>3092</v>
      </c>
      <c r="E715" s="41" t="s">
        <v>3021</v>
      </c>
      <c r="F715" s="41" t="s">
        <v>53</v>
      </c>
      <c r="G715" s="41" t="s">
        <v>43</v>
      </c>
      <c r="I715" s="41" t="s">
        <v>45</v>
      </c>
      <c r="J715" s="41" t="s">
        <v>32</v>
      </c>
      <c r="K715" s="42"/>
      <c r="L715" s="41" t="s">
        <v>3093</v>
      </c>
      <c r="M715" s="41">
        <v>110</v>
      </c>
      <c r="N715" s="41" t="s">
        <v>784</v>
      </c>
      <c r="O715" s="41" t="s">
        <v>36</v>
      </c>
      <c r="P715" s="41" t="s">
        <v>78</v>
      </c>
      <c r="Q715" s="41" t="s">
        <v>3094</v>
      </c>
      <c r="R715" s="41" t="s">
        <v>132</v>
      </c>
      <c r="S715" s="41" t="s">
        <v>40</v>
      </c>
      <c r="T715" s="41" t="s">
        <v>40</v>
      </c>
      <c r="U715" s="41" t="s">
        <v>40</v>
      </c>
    </row>
    <row r="716" spans="1:21">
      <c r="A716" s="41">
        <v>2222</v>
      </c>
      <c r="B716" s="41" t="s">
        <v>3092</v>
      </c>
      <c r="E716" s="41" t="s">
        <v>3021</v>
      </c>
      <c r="F716" s="41" t="s">
        <v>53</v>
      </c>
      <c r="G716" s="41" t="s">
        <v>43</v>
      </c>
      <c r="I716" s="41" t="s">
        <v>45</v>
      </c>
      <c r="J716" s="41" t="s">
        <v>32</v>
      </c>
      <c r="K716" s="42"/>
      <c r="L716" s="41" t="s">
        <v>3094</v>
      </c>
      <c r="M716" s="41">
        <v>110</v>
      </c>
      <c r="N716" s="41" t="s">
        <v>3095</v>
      </c>
      <c r="O716" s="41" t="s">
        <v>77</v>
      </c>
      <c r="P716" s="41" t="s">
        <v>78</v>
      </c>
      <c r="Q716" s="41" t="s">
        <v>3094</v>
      </c>
      <c r="R716" s="41" t="s">
        <v>132</v>
      </c>
      <c r="S716" s="41" t="s">
        <v>40</v>
      </c>
      <c r="T716" s="41" t="s">
        <v>40</v>
      </c>
      <c r="U716" s="41" t="s">
        <v>40</v>
      </c>
    </row>
    <row r="717" spans="1:21">
      <c r="A717" s="41">
        <v>2220</v>
      </c>
      <c r="B717" s="41" t="s">
        <v>3096</v>
      </c>
      <c r="D717" s="41">
        <v>5340</v>
      </c>
      <c r="E717" s="41" t="s">
        <v>998</v>
      </c>
      <c r="F717" s="41" t="s">
        <v>53</v>
      </c>
      <c r="G717" s="41" t="s">
        <v>1071</v>
      </c>
      <c r="I717" s="41" t="s">
        <v>3097</v>
      </c>
      <c r="J717" s="41" t="s">
        <v>672</v>
      </c>
      <c r="K717" s="42"/>
      <c r="L717" s="41" t="s">
        <v>3084</v>
      </c>
      <c r="M717" s="41">
        <v>15</v>
      </c>
      <c r="N717" s="41" t="s">
        <v>3098</v>
      </c>
      <c r="O717" s="41" t="s">
        <v>3099</v>
      </c>
      <c r="P717" s="41" t="s">
        <v>172</v>
      </c>
      <c r="Q717" s="41" t="s">
        <v>1104</v>
      </c>
      <c r="R717" s="41" t="s">
        <v>132</v>
      </c>
      <c r="S717" s="41" t="s">
        <v>3087</v>
      </c>
      <c r="T717" s="41" t="s">
        <v>40</v>
      </c>
      <c r="U717" s="41" t="s">
        <v>40</v>
      </c>
    </row>
    <row r="718" spans="1:21">
      <c r="A718" s="41">
        <v>2219</v>
      </c>
      <c r="B718" s="41" t="s">
        <v>3100</v>
      </c>
      <c r="D718" s="41">
        <v>5321</v>
      </c>
      <c r="E718" s="41" t="s">
        <v>2639</v>
      </c>
      <c r="F718" s="41" t="s">
        <v>53</v>
      </c>
      <c r="G718" s="41" t="s">
        <v>64</v>
      </c>
      <c r="I718" s="41" t="s">
        <v>3101</v>
      </c>
      <c r="J718" s="41" t="s">
        <v>32</v>
      </c>
      <c r="K718" s="42"/>
      <c r="L718" s="41" t="s">
        <v>3102</v>
      </c>
      <c r="M718" s="41">
        <v>110</v>
      </c>
      <c r="N718" s="41" t="s">
        <v>59</v>
      </c>
      <c r="O718" s="41" t="s">
        <v>328</v>
      </c>
      <c r="P718" s="41" t="s">
        <v>172</v>
      </c>
      <c r="Q718" s="41" t="s">
        <v>253</v>
      </c>
      <c r="R718" s="41" t="s">
        <v>132</v>
      </c>
      <c r="S718" s="41" t="s">
        <v>40</v>
      </c>
      <c r="T718" s="41" t="s">
        <v>40</v>
      </c>
      <c r="U718" s="41" t="s">
        <v>40</v>
      </c>
    </row>
    <row r="719" spans="1:21">
      <c r="A719" s="41">
        <v>2218</v>
      </c>
      <c r="B719" s="41" t="s">
        <v>3103</v>
      </c>
      <c r="E719" s="41" t="s">
        <v>1076</v>
      </c>
      <c r="F719" s="41" t="s">
        <v>42</v>
      </c>
      <c r="G719" s="41" t="s">
        <v>64</v>
      </c>
      <c r="I719" s="41" t="s">
        <v>231</v>
      </c>
      <c r="J719" s="41" t="s">
        <v>32</v>
      </c>
      <c r="K719" s="42"/>
      <c r="L719" s="41" t="s">
        <v>3104</v>
      </c>
      <c r="M719" s="41">
        <v>33</v>
      </c>
      <c r="N719" s="41" t="s">
        <v>67</v>
      </c>
      <c r="O719" s="41" t="s">
        <v>77</v>
      </c>
      <c r="P719" s="41" t="s">
        <v>60</v>
      </c>
      <c r="Q719" s="41" t="s">
        <v>61</v>
      </c>
      <c r="R719" s="41" t="s">
        <v>39</v>
      </c>
      <c r="S719" s="41" t="s">
        <v>40</v>
      </c>
      <c r="T719" s="41" t="s">
        <v>40</v>
      </c>
      <c r="U719" s="41" t="s">
        <v>40</v>
      </c>
    </row>
    <row r="720" spans="1:21">
      <c r="A720" s="41">
        <v>2217</v>
      </c>
      <c r="B720" s="41" t="s">
        <v>3105</v>
      </c>
      <c r="D720" s="41">
        <v>5322</v>
      </c>
      <c r="E720" s="41" t="s">
        <v>3106</v>
      </c>
      <c r="F720" s="41" t="s">
        <v>53</v>
      </c>
      <c r="G720" s="41" t="s">
        <v>141</v>
      </c>
      <c r="I720" s="41" t="s">
        <v>2580</v>
      </c>
      <c r="J720" s="41" t="s">
        <v>1906</v>
      </c>
      <c r="K720" s="42"/>
      <c r="L720" s="41" t="s">
        <v>3107</v>
      </c>
      <c r="M720" s="41">
        <v>220</v>
      </c>
      <c r="N720" s="41" t="s">
        <v>1220</v>
      </c>
      <c r="O720" s="41" t="s">
        <v>396</v>
      </c>
      <c r="P720" s="41" t="s">
        <v>179</v>
      </c>
      <c r="Q720" s="41" t="s">
        <v>180</v>
      </c>
      <c r="R720" s="41" t="s">
        <v>62</v>
      </c>
      <c r="S720" s="41" t="s">
        <v>3108</v>
      </c>
      <c r="T720" s="41" t="s">
        <v>1433</v>
      </c>
      <c r="U720" s="41" t="s">
        <v>40</v>
      </c>
    </row>
    <row r="721" spans="1:21">
      <c r="A721" s="41">
        <v>2216</v>
      </c>
      <c r="B721" s="41" t="s">
        <v>3109</v>
      </c>
      <c r="D721" s="41">
        <v>5319</v>
      </c>
      <c r="E721" s="41" t="s">
        <v>1091</v>
      </c>
      <c r="F721" s="41" t="s">
        <v>53</v>
      </c>
      <c r="G721" s="41" t="s">
        <v>141</v>
      </c>
      <c r="I721" s="41" t="s">
        <v>977</v>
      </c>
      <c r="J721" s="41" t="s">
        <v>672</v>
      </c>
      <c r="K721" s="42"/>
      <c r="L721" s="41" t="s">
        <v>3110</v>
      </c>
      <c r="M721" s="41">
        <v>23</v>
      </c>
      <c r="N721" s="41" t="s">
        <v>3111</v>
      </c>
      <c r="O721" s="41" t="s">
        <v>3112</v>
      </c>
      <c r="P721" s="41" t="s">
        <v>68</v>
      </c>
      <c r="Q721" s="41" t="s">
        <v>191</v>
      </c>
      <c r="R721" s="41" t="s">
        <v>132</v>
      </c>
      <c r="S721" s="41" t="s">
        <v>3113</v>
      </c>
      <c r="T721" s="41" t="s">
        <v>2512</v>
      </c>
      <c r="U721" s="41" t="s">
        <v>40</v>
      </c>
    </row>
    <row r="722" spans="1:21">
      <c r="A722" s="41">
        <v>2215</v>
      </c>
      <c r="B722" s="41" t="s">
        <v>3114</v>
      </c>
      <c r="D722" s="41">
        <v>5320</v>
      </c>
      <c r="E722" s="41" t="s">
        <v>2735</v>
      </c>
      <c r="F722" s="41" t="s">
        <v>53</v>
      </c>
      <c r="G722" s="41" t="s">
        <v>54</v>
      </c>
      <c r="I722" s="41" t="s">
        <v>45</v>
      </c>
      <c r="J722" s="41" t="s">
        <v>295</v>
      </c>
      <c r="K722" s="42"/>
      <c r="L722" s="41" t="s">
        <v>3102</v>
      </c>
      <c r="M722" s="41">
        <v>110</v>
      </c>
      <c r="N722" s="41" t="s">
        <v>67</v>
      </c>
      <c r="O722" s="41" t="s">
        <v>36</v>
      </c>
      <c r="P722" s="41" t="s">
        <v>172</v>
      </c>
      <c r="Q722" s="41" t="s">
        <v>253</v>
      </c>
      <c r="S722" s="41" t="s">
        <v>40</v>
      </c>
      <c r="T722" s="41" t="s">
        <v>40</v>
      </c>
      <c r="U722" s="41" t="s">
        <v>40</v>
      </c>
    </row>
    <row r="723" spans="1:21">
      <c r="A723" s="41">
        <v>2214</v>
      </c>
      <c r="B723" s="41" t="s">
        <v>3115</v>
      </c>
      <c r="D723" s="41">
        <v>5309</v>
      </c>
      <c r="E723" s="41" t="s">
        <v>3116</v>
      </c>
      <c r="F723" s="41" t="s">
        <v>28</v>
      </c>
      <c r="G723" s="41" t="s">
        <v>307</v>
      </c>
      <c r="I723" s="41" t="s">
        <v>3117</v>
      </c>
      <c r="J723" s="41" t="s">
        <v>672</v>
      </c>
      <c r="K723" s="42"/>
      <c r="L723" s="41" t="s">
        <v>3118</v>
      </c>
      <c r="M723" s="41">
        <v>23</v>
      </c>
      <c r="N723" s="41" t="s">
        <v>67</v>
      </c>
      <c r="O723" s="41" t="s">
        <v>3119</v>
      </c>
      <c r="P723" s="41" t="s">
        <v>153</v>
      </c>
      <c r="Q723" s="41" t="s">
        <v>2004</v>
      </c>
      <c r="R723" s="41" t="s">
        <v>39</v>
      </c>
      <c r="S723" s="41" t="s">
        <v>3120</v>
      </c>
      <c r="T723" s="41" t="s">
        <v>2512</v>
      </c>
      <c r="U723" s="41" t="s">
        <v>40</v>
      </c>
    </row>
    <row r="724" spans="1:21">
      <c r="A724" s="41">
        <v>2213</v>
      </c>
      <c r="B724" s="41" t="s">
        <v>3121</v>
      </c>
      <c r="D724" s="41">
        <v>5308</v>
      </c>
      <c r="E724" s="41" t="s">
        <v>3122</v>
      </c>
      <c r="F724" s="41" t="s">
        <v>28</v>
      </c>
      <c r="G724" s="41" t="s">
        <v>293</v>
      </c>
      <c r="I724" s="41" t="s">
        <v>3123</v>
      </c>
      <c r="J724" s="41" t="s">
        <v>672</v>
      </c>
      <c r="K724" s="42"/>
      <c r="L724" s="41" t="s">
        <v>3124</v>
      </c>
      <c r="M724" s="41">
        <v>110</v>
      </c>
      <c r="N724" s="41" t="s">
        <v>67</v>
      </c>
      <c r="O724" s="41" t="s">
        <v>2215</v>
      </c>
      <c r="P724" s="41" t="s">
        <v>68</v>
      </c>
      <c r="Q724" s="41" t="s">
        <v>69</v>
      </c>
      <c r="R724" s="41" t="s">
        <v>39</v>
      </c>
      <c r="S724" s="41" t="s">
        <v>40</v>
      </c>
      <c r="T724" s="41" t="s">
        <v>40</v>
      </c>
      <c r="U724" s="41" t="s">
        <v>40</v>
      </c>
    </row>
    <row r="725" spans="1:21">
      <c r="A725" s="41">
        <v>2212</v>
      </c>
      <c r="B725" s="41" t="s">
        <v>3125</v>
      </c>
      <c r="D725" s="41">
        <v>5306</v>
      </c>
      <c r="E725" s="41" t="s">
        <v>998</v>
      </c>
      <c r="F725" s="41" t="s">
        <v>53</v>
      </c>
      <c r="G725" s="41" t="s">
        <v>1071</v>
      </c>
      <c r="I725" s="41" t="s">
        <v>2817</v>
      </c>
      <c r="J725" s="41" t="s">
        <v>672</v>
      </c>
      <c r="K725" s="42"/>
      <c r="L725" s="41" t="s">
        <v>3126</v>
      </c>
      <c r="M725" s="41">
        <v>15</v>
      </c>
      <c r="N725" s="41" t="s">
        <v>1623</v>
      </c>
      <c r="O725" s="41" t="s">
        <v>3127</v>
      </c>
      <c r="P725" s="41" t="s">
        <v>60</v>
      </c>
      <c r="Q725" s="41" t="s">
        <v>1344</v>
      </c>
      <c r="R725" s="41" t="s">
        <v>132</v>
      </c>
      <c r="S725" s="41" t="s">
        <v>40</v>
      </c>
      <c r="T725" s="41" t="s">
        <v>40</v>
      </c>
      <c r="U725" s="41" t="s">
        <v>40</v>
      </c>
    </row>
    <row r="726" spans="1:21">
      <c r="A726" s="41">
        <v>2211</v>
      </c>
      <c r="B726" s="41" t="s">
        <v>3128</v>
      </c>
      <c r="E726" s="41" t="s">
        <v>1739</v>
      </c>
      <c r="F726" s="41" t="s">
        <v>53</v>
      </c>
      <c r="G726" s="41" t="s">
        <v>43</v>
      </c>
      <c r="I726" s="41" t="s">
        <v>2817</v>
      </c>
      <c r="J726" s="41" t="s">
        <v>672</v>
      </c>
      <c r="K726" s="42"/>
      <c r="L726" s="41" t="s">
        <v>1344</v>
      </c>
      <c r="M726" s="41">
        <v>15</v>
      </c>
      <c r="N726" s="41" t="s">
        <v>1623</v>
      </c>
      <c r="O726" s="41" t="s">
        <v>3127</v>
      </c>
      <c r="P726" s="41" t="s">
        <v>60</v>
      </c>
      <c r="Q726" s="41" t="s">
        <v>1344</v>
      </c>
      <c r="R726" s="41" t="s">
        <v>132</v>
      </c>
      <c r="S726" s="41" t="s">
        <v>40</v>
      </c>
      <c r="T726" s="41" t="s">
        <v>40</v>
      </c>
      <c r="U726" s="41" t="s">
        <v>40</v>
      </c>
    </row>
    <row r="727" spans="1:21">
      <c r="A727" s="41">
        <v>2210</v>
      </c>
      <c r="B727" s="41" t="s">
        <v>3129</v>
      </c>
      <c r="D727" s="41">
        <v>5305</v>
      </c>
      <c r="E727" s="41" t="s">
        <v>1475</v>
      </c>
      <c r="F727" s="41" t="s">
        <v>53</v>
      </c>
      <c r="G727" s="41" t="s">
        <v>127</v>
      </c>
      <c r="I727" s="41" t="s">
        <v>56</v>
      </c>
      <c r="J727" s="41" t="s">
        <v>32</v>
      </c>
      <c r="K727" s="42"/>
      <c r="L727" s="41" t="s">
        <v>3130</v>
      </c>
      <c r="M727" s="41">
        <v>154</v>
      </c>
      <c r="N727" s="41" t="s">
        <v>395</v>
      </c>
      <c r="O727" s="41" t="s">
        <v>3131</v>
      </c>
      <c r="P727" s="41" t="s">
        <v>172</v>
      </c>
      <c r="Q727" s="41" t="s">
        <v>1011</v>
      </c>
      <c r="R727" s="41" t="s">
        <v>132</v>
      </c>
      <c r="S727" s="41" t="s">
        <v>40</v>
      </c>
      <c r="T727" s="41" t="s">
        <v>40</v>
      </c>
      <c r="U727" s="41" t="s">
        <v>40</v>
      </c>
    </row>
    <row r="728" spans="1:21">
      <c r="A728" s="41">
        <v>2209</v>
      </c>
      <c r="B728" s="41" t="s">
        <v>1441</v>
      </c>
      <c r="E728" s="41" t="s">
        <v>1442</v>
      </c>
      <c r="F728" s="41" t="s">
        <v>42</v>
      </c>
      <c r="G728" s="41" t="s">
        <v>43</v>
      </c>
      <c r="I728" s="41" t="s">
        <v>1686</v>
      </c>
      <c r="J728" s="41" t="s">
        <v>32</v>
      </c>
      <c r="K728" s="42"/>
      <c r="L728" s="41" t="s">
        <v>1444</v>
      </c>
      <c r="M728" s="41">
        <v>22</v>
      </c>
      <c r="N728" s="41" t="s">
        <v>1026</v>
      </c>
      <c r="O728" s="41" t="s">
        <v>36</v>
      </c>
      <c r="P728" s="41" t="s">
        <v>179</v>
      </c>
      <c r="Q728" s="41" t="s">
        <v>532</v>
      </c>
      <c r="R728" s="41" t="s">
        <v>39</v>
      </c>
      <c r="S728" s="41" t="s">
        <v>40</v>
      </c>
      <c r="T728" s="41" t="s">
        <v>40</v>
      </c>
      <c r="U728" s="41" t="s">
        <v>40</v>
      </c>
    </row>
    <row r="729" spans="1:21">
      <c r="A729" s="41">
        <v>2208</v>
      </c>
      <c r="B729" s="41" t="s">
        <v>3132</v>
      </c>
      <c r="D729" s="41">
        <v>5302</v>
      </c>
      <c r="E729" s="41" t="s">
        <v>1248</v>
      </c>
      <c r="F729" s="41" t="s">
        <v>53</v>
      </c>
      <c r="G729" s="41" t="s">
        <v>141</v>
      </c>
      <c r="I729" s="41" t="s">
        <v>521</v>
      </c>
      <c r="J729" s="41" t="s">
        <v>672</v>
      </c>
      <c r="K729" s="42"/>
      <c r="L729" s="41" t="s">
        <v>3133</v>
      </c>
      <c r="M729" s="41">
        <v>13</v>
      </c>
      <c r="N729" s="41" t="s">
        <v>2517</v>
      </c>
      <c r="O729" s="41" t="s">
        <v>663</v>
      </c>
      <c r="P729" s="41" t="s">
        <v>1046</v>
      </c>
      <c r="Q729" s="41" t="s">
        <v>1682</v>
      </c>
      <c r="R729" s="41" t="s">
        <v>132</v>
      </c>
      <c r="S729" s="41" t="s">
        <v>3134</v>
      </c>
      <c r="T729" s="41" t="s">
        <v>2512</v>
      </c>
      <c r="U729" s="41" t="s">
        <v>40</v>
      </c>
    </row>
    <row r="730" spans="1:21">
      <c r="A730" s="41">
        <v>2207</v>
      </c>
      <c r="B730" s="41" t="s">
        <v>3135</v>
      </c>
      <c r="D730" s="41">
        <v>5303</v>
      </c>
      <c r="E730" s="41" t="s">
        <v>1248</v>
      </c>
      <c r="F730" s="41" t="s">
        <v>53</v>
      </c>
      <c r="G730" s="41" t="s">
        <v>141</v>
      </c>
      <c r="I730" s="41" t="s">
        <v>521</v>
      </c>
      <c r="J730" s="41" t="s">
        <v>672</v>
      </c>
      <c r="K730" s="42"/>
      <c r="L730" s="41" t="s">
        <v>3133</v>
      </c>
      <c r="M730" s="41">
        <v>13</v>
      </c>
      <c r="N730" s="41" t="s">
        <v>2517</v>
      </c>
      <c r="O730" s="41" t="s">
        <v>650</v>
      </c>
      <c r="P730" s="41" t="s">
        <v>1046</v>
      </c>
      <c r="Q730" s="41" t="s">
        <v>3136</v>
      </c>
      <c r="R730" s="41" t="s">
        <v>132</v>
      </c>
      <c r="S730" s="41" t="s">
        <v>3137</v>
      </c>
      <c r="T730" s="41" t="s">
        <v>2512</v>
      </c>
      <c r="U730" s="41" t="s">
        <v>40</v>
      </c>
    </row>
    <row r="731" spans="1:21">
      <c r="A731" s="41">
        <v>2206</v>
      </c>
      <c r="B731" s="41" t="s">
        <v>3138</v>
      </c>
      <c r="D731" s="41">
        <v>5304</v>
      </c>
      <c r="E731" s="41" t="s">
        <v>3139</v>
      </c>
      <c r="F731" s="41" t="s">
        <v>53</v>
      </c>
      <c r="G731" s="41" t="s">
        <v>64</v>
      </c>
      <c r="I731" s="41" t="s">
        <v>2649</v>
      </c>
      <c r="J731" s="41" t="s">
        <v>32</v>
      </c>
      <c r="K731" s="42"/>
      <c r="L731" s="41" t="s">
        <v>3140</v>
      </c>
      <c r="M731" s="41">
        <v>220</v>
      </c>
      <c r="N731" s="41" t="s">
        <v>805</v>
      </c>
      <c r="O731" s="41" t="s">
        <v>1376</v>
      </c>
      <c r="P731" s="41" t="s">
        <v>172</v>
      </c>
      <c r="Q731" s="41" t="s">
        <v>253</v>
      </c>
      <c r="R731" s="41" t="s">
        <v>62</v>
      </c>
      <c r="S731" s="41" t="s">
        <v>40</v>
      </c>
      <c r="T731" s="41" t="s">
        <v>40</v>
      </c>
      <c r="U731" s="41" t="s">
        <v>40</v>
      </c>
    </row>
    <row r="732" spans="1:21">
      <c r="A732" s="41">
        <v>2205</v>
      </c>
      <c r="B732" s="41" t="s">
        <v>3141</v>
      </c>
      <c r="D732" s="41">
        <v>5301</v>
      </c>
      <c r="E732" s="41" t="s">
        <v>3142</v>
      </c>
      <c r="F732" s="41" t="s">
        <v>28</v>
      </c>
      <c r="G732" s="41" t="s">
        <v>301</v>
      </c>
      <c r="I732" s="41" t="s">
        <v>3101</v>
      </c>
      <c r="J732" s="41" t="s">
        <v>1652</v>
      </c>
      <c r="K732" s="42"/>
      <c r="L732" s="41" t="s">
        <v>3143</v>
      </c>
      <c r="M732" s="41">
        <v>220</v>
      </c>
      <c r="N732" s="41" t="s">
        <v>1335</v>
      </c>
      <c r="O732" s="41" t="s">
        <v>2045</v>
      </c>
      <c r="P732" s="41" t="s">
        <v>37</v>
      </c>
      <c r="Q732" s="41" t="s">
        <v>38</v>
      </c>
      <c r="R732" s="41" t="s">
        <v>39</v>
      </c>
      <c r="S732" s="41" t="s">
        <v>3144</v>
      </c>
      <c r="T732" s="41" t="s">
        <v>1449</v>
      </c>
      <c r="U732" s="41" t="s">
        <v>40</v>
      </c>
    </row>
    <row r="733" spans="1:21">
      <c r="A733" s="41">
        <v>2204</v>
      </c>
      <c r="B733" s="41" t="s">
        <v>3145</v>
      </c>
      <c r="D733" s="41">
        <v>5296</v>
      </c>
      <c r="E733" s="41" t="s">
        <v>1248</v>
      </c>
      <c r="F733" s="41" t="s">
        <v>53</v>
      </c>
      <c r="G733" s="41" t="s">
        <v>1071</v>
      </c>
      <c r="I733" s="41" t="s">
        <v>3146</v>
      </c>
      <c r="J733" s="41" t="s">
        <v>672</v>
      </c>
      <c r="K733" s="42"/>
      <c r="L733" s="41" t="s">
        <v>3147</v>
      </c>
      <c r="M733" s="41">
        <v>13</v>
      </c>
      <c r="N733" s="41" t="s">
        <v>1241</v>
      </c>
      <c r="O733" s="41" t="s">
        <v>650</v>
      </c>
      <c r="P733" s="41" t="s">
        <v>382</v>
      </c>
      <c r="Q733" s="41" t="s">
        <v>3148</v>
      </c>
      <c r="R733" s="41" t="s">
        <v>62</v>
      </c>
      <c r="S733" s="41" t="s">
        <v>3149</v>
      </c>
      <c r="T733" s="41" t="s">
        <v>40</v>
      </c>
      <c r="U733" s="41" t="s">
        <v>40</v>
      </c>
    </row>
    <row r="734" spans="1:21">
      <c r="A734" s="41">
        <v>2203</v>
      </c>
      <c r="B734" s="41" t="s">
        <v>3150</v>
      </c>
      <c r="D734" s="41">
        <v>5297</v>
      </c>
      <c r="E734" s="41" t="s">
        <v>1248</v>
      </c>
      <c r="F734" s="41" t="s">
        <v>53</v>
      </c>
      <c r="G734" s="41" t="s">
        <v>1071</v>
      </c>
      <c r="I734" s="41" t="s">
        <v>3151</v>
      </c>
      <c r="J734" s="41" t="s">
        <v>672</v>
      </c>
      <c r="K734" s="42"/>
      <c r="L734" s="41" t="s">
        <v>3147</v>
      </c>
      <c r="M734" s="41">
        <v>13</v>
      </c>
      <c r="N734" s="41" t="s">
        <v>2517</v>
      </c>
      <c r="O734" s="41" t="s">
        <v>362</v>
      </c>
      <c r="P734" s="41" t="s">
        <v>382</v>
      </c>
      <c r="Q734" s="41" t="s">
        <v>3148</v>
      </c>
      <c r="R734" s="41" t="s">
        <v>132</v>
      </c>
      <c r="S734" s="41" t="s">
        <v>3149</v>
      </c>
      <c r="T734" s="41" t="s">
        <v>40</v>
      </c>
      <c r="U734" s="41" t="s">
        <v>40</v>
      </c>
    </row>
    <row r="735" spans="1:21">
      <c r="A735" s="41">
        <v>2202</v>
      </c>
      <c r="B735" s="41" t="s">
        <v>3152</v>
      </c>
      <c r="D735" s="41">
        <v>5295</v>
      </c>
      <c r="E735" s="41" t="s">
        <v>3153</v>
      </c>
      <c r="F735" s="41" t="s">
        <v>28</v>
      </c>
      <c r="G735" s="41" t="s">
        <v>301</v>
      </c>
      <c r="I735" s="41" t="s">
        <v>149</v>
      </c>
      <c r="J735" s="41" t="s">
        <v>672</v>
      </c>
      <c r="K735" s="42"/>
      <c r="L735" s="41" t="s">
        <v>3154</v>
      </c>
      <c r="M735" s="41">
        <v>110</v>
      </c>
      <c r="N735" s="41" t="s">
        <v>3155</v>
      </c>
      <c r="O735" s="41" t="s">
        <v>178</v>
      </c>
      <c r="P735" s="41" t="s">
        <v>78</v>
      </c>
      <c r="Q735" s="41" t="s">
        <v>1729</v>
      </c>
      <c r="R735" s="41" t="s">
        <v>39</v>
      </c>
      <c r="S735" s="41" t="s">
        <v>3156</v>
      </c>
      <c r="T735" s="41" t="s">
        <v>3157</v>
      </c>
      <c r="U735" s="41" t="s">
        <v>40</v>
      </c>
    </row>
    <row r="736" spans="1:21">
      <c r="A736" s="41">
        <v>2201</v>
      </c>
      <c r="B736" s="41" t="s">
        <v>3158</v>
      </c>
      <c r="D736" s="41">
        <v>5291</v>
      </c>
      <c r="E736" s="41" t="s">
        <v>1112</v>
      </c>
      <c r="F736" s="41" t="s">
        <v>53</v>
      </c>
      <c r="G736" s="41" t="s">
        <v>54</v>
      </c>
      <c r="I736" s="41" t="s">
        <v>45</v>
      </c>
      <c r="J736" s="41" t="s">
        <v>32</v>
      </c>
      <c r="K736" s="42"/>
      <c r="L736" s="41" t="s">
        <v>3159</v>
      </c>
      <c r="M736" s="41">
        <v>220</v>
      </c>
      <c r="N736" s="41" t="s">
        <v>3160</v>
      </c>
      <c r="O736" s="41" t="s">
        <v>3161</v>
      </c>
      <c r="P736" s="41" t="s">
        <v>78</v>
      </c>
      <c r="Q736" s="41" t="s">
        <v>278</v>
      </c>
      <c r="R736" s="41" t="s">
        <v>62</v>
      </c>
      <c r="S736" s="41" t="s">
        <v>40</v>
      </c>
      <c r="T736" s="41" t="s">
        <v>40</v>
      </c>
      <c r="U736" s="41" t="s">
        <v>40</v>
      </c>
    </row>
    <row r="737" spans="1:21">
      <c r="A737" s="41">
        <v>2200</v>
      </c>
      <c r="B737" s="41" t="s">
        <v>3162</v>
      </c>
      <c r="D737" s="41">
        <v>5290</v>
      </c>
      <c r="E737" s="41" t="s">
        <v>2354</v>
      </c>
      <c r="F737" s="41" t="s">
        <v>28</v>
      </c>
      <c r="G737" s="41" t="s">
        <v>64</v>
      </c>
      <c r="I737" s="41" t="s">
        <v>966</v>
      </c>
      <c r="J737" s="41" t="s">
        <v>32</v>
      </c>
      <c r="K737" s="42"/>
      <c r="L737" s="41" t="s">
        <v>3163</v>
      </c>
      <c r="M737" s="41">
        <v>220</v>
      </c>
      <c r="N737" s="41" t="s">
        <v>3163</v>
      </c>
      <c r="O737" s="41" t="s">
        <v>3163</v>
      </c>
      <c r="P737" s="41" t="s">
        <v>37</v>
      </c>
      <c r="Q737" s="41" t="s">
        <v>38</v>
      </c>
      <c r="R737" s="41" t="s">
        <v>39</v>
      </c>
      <c r="S737" s="41" t="s">
        <v>40</v>
      </c>
      <c r="T737" s="41" t="s">
        <v>40</v>
      </c>
      <c r="U737" s="41" t="s">
        <v>40</v>
      </c>
    </row>
    <row r="738" spans="1:21">
      <c r="A738" s="41">
        <v>2199</v>
      </c>
      <c r="B738" s="41" t="s">
        <v>3164</v>
      </c>
      <c r="D738" s="41">
        <v>5288</v>
      </c>
      <c r="E738" s="41" t="s">
        <v>1286</v>
      </c>
      <c r="F738" s="41" t="s">
        <v>28</v>
      </c>
      <c r="G738" s="41" t="s">
        <v>307</v>
      </c>
      <c r="I738" s="41" t="s">
        <v>3165</v>
      </c>
      <c r="J738" s="41" t="s">
        <v>32</v>
      </c>
      <c r="K738" s="42"/>
      <c r="L738" s="41" t="s">
        <v>3166</v>
      </c>
      <c r="M738" s="41">
        <v>23</v>
      </c>
      <c r="N738" s="41" t="s">
        <v>3167</v>
      </c>
      <c r="O738" s="41" t="s">
        <v>3167</v>
      </c>
      <c r="P738" s="41" t="s">
        <v>98</v>
      </c>
      <c r="Q738" s="41" t="s">
        <v>569</v>
      </c>
      <c r="R738" s="41" t="s">
        <v>39</v>
      </c>
      <c r="S738" s="41" t="s">
        <v>3168</v>
      </c>
      <c r="T738" s="41" t="s">
        <v>3157</v>
      </c>
      <c r="U738" s="41" t="s">
        <v>40</v>
      </c>
    </row>
    <row r="739" spans="1:21">
      <c r="A739" s="41">
        <v>2198</v>
      </c>
      <c r="B739" s="41" t="s">
        <v>3164</v>
      </c>
      <c r="D739" s="41">
        <v>5289</v>
      </c>
      <c r="E739" s="41" t="s">
        <v>1286</v>
      </c>
      <c r="F739" s="41" t="s">
        <v>42</v>
      </c>
      <c r="G739" s="41" t="s">
        <v>1175</v>
      </c>
      <c r="I739" s="41" t="s">
        <v>3165</v>
      </c>
      <c r="J739" s="41" t="s">
        <v>32</v>
      </c>
      <c r="K739" s="42"/>
      <c r="L739" s="41" t="s">
        <v>3166</v>
      </c>
      <c r="M739" s="41">
        <v>23</v>
      </c>
      <c r="N739" s="41" t="s">
        <v>3167</v>
      </c>
      <c r="O739" s="41" t="s">
        <v>3167</v>
      </c>
      <c r="P739" s="41" t="s">
        <v>98</v>
      </c>
      <c r="Q739" s="41" t="s">
        <v>569</v>
      </c>
      <c r="R739" s="41" t="s">
        <v>39</v>
      </c>
      <c r="S739" s="41" t="s">
        <v>40</v>
      </c>
      <c r="T739" s="41" t="s">
        <v>40</v>
      </c>
      <c r="U739" s="41" t="s">
        <v>40</v>
      </c>
    </row>
    <row r="740" spans="1:21">
      <c r="A740" s="41">
        <v>2197</v>
      </c>
      <c r="B740" s="41" t="s">
        <v>3169</v>
      </c>
      <c r="D740" s="41">
        <v>5276</v>
      </c>
      <c r="E740" s="41" t="s">
        <v>3170</v>
      </c>
      <c r="F740" s="41" t="s">
        <v>53</v>
      </c>
      <c r="G740" s="41" t="s">
        <v>188</v>
      </c>
      <c r="I740" s="41" t="s">
        <v>3171</v>
      </c>
      <c r="J740" s="41" t="s">
        <v>380</v>
      </c>
      <c r="K740" s="42"/>
      <c r="L740" s="41" t="s">
        <v>3172</v>
      </c>
      <c r="M740" s="41">
        <v>220</v>
      </c>
      <c r="N740" s="41" t="s">
        <v>805</v>
      </c>
      <c r="O740" s="41" t="s">
        <v>3173</v>
      </c>
      <c r="P740" s="41" t="s">
        <v>83</v>
      </c>
      <c r="Q740" s="41" t="s">
        <v>1357</v>
      </c>
      <c r="R740" s="41" t="s">
        <v>62</v>
      </c>
      <c r="S740" s="41" t="s">
        <v>40</v>
      </c>
      <c r="T740" s="41" t="s">
        <v>40</v>
      </c>
      <c r="U740" s="41" t="s">
        <v>40</v>
      </c>
    </row>
    <row r="741" spans="1:21">
      <c r="A741" s="41">
        <v>2196</v>
      </c>
      <c r="B741" s="41" t="s">
        <v>3174</v>
      </c>
      <c r="D741" s="41">
        <v>5284</v>
      </c>
      <c r="E741" s="41" t="s">
        <v>1286</v>
      </c>
      <c r="F741" s="41" t="s">
        <v>28</v>
      </c>
      <c r="G741" s="41" t="s">
        <v>301</v>
      </c>
      <c r="I741" s="41" t="s">
        <v>162</v>
      </c>
      <c r="J741" s="41" t="s">
        <v>32</v>
      </c>
      <c r="K741" s="42"/>
      <c r="L741" s="41" t="s">
        <v>3175</v>
      </c>
      <c r="M741" s="41">
        <v>33</v>
      </c>
      <c r="N741" s="41" t="s">
        <v>3176</v>
      </c>
      <c r="O741" s="41" t="s">
        <v>2299</v>
      </c>
      <c r="P741" s="41" t="s">
        <v>98</v>
      </c>
      <c r="Q741" s="41" t="s">
        <v>2300</v>
      </c>
      <c r="R741" s="41" t="s">
        <v>39</v>
      </c>
      <c r="S741" s="41" t="s">
        <v>3177</v>
      </c>
      <c r="T741" s="41" t="s">
        <v>2539</v>
      </c>
      <c r="U741" s="41" t="s">
        <v>40</v>
      </c>
    </row>
    <row r="742" spans="1:21">
      <c r="A742" s="41">
        <v>2195</v>
      </c>
      <c r="B742" s="41" t="s">
        <v>3178</v>
      </c>
      <c r="D742" s="41">
        <v>5286</v>
      </c>
      <c r="E742" s="41" t="s">
        <v>1286</v>
      </c>
      <c r="F742" s="41" t="s">
        <v>42</v>
      </c>
      <c r="G742" s="41" t="s">
        <v>1175</v>
      </c>
      <c r="I742" s="41" t="s">
        <v>162</v>
      </c>
      <c r="J742" s="41" t="s">
        <v>32</v>
      </c>
      <c r="K742" s="42"/>
      <c r="L742" s="41" t="s">
        <v>3175</v>
      </c>
      <c r="M742" s="41">
        <v>33</v>
      </c>
      <c r="N742" s="41" t="s">
        <v>3176</v>
      </c>
      <c r="O742" s="41" t="s">
        <v>2299</v>
      </c>
      <c r="P742" s="41" t="s">
        <v>98</v>
      </c>
      <c r="Q742" s="41" t="s">
        <v>2300</v>
      </c>
      <c r="R742" s="41" t="s">
        <v>39</v>
      </c>
      <c r="S742" s="41" t="s">
        <v>40</v>
      </c>
      <c r="T742" s="41" t="s">
        <v>40</v>
      </c>
      <c r="U742" s="41" t="s">
        <v>40</v>
      </c>
    </row>
    <row r="743" spans="1:21">
      <c r="A743" s="41">
        <v>2194</v>
      </c>
      <c r="B743" s="41" t="s">
        <v>3179</v>
      </c>
      <c r="D743" s="41">
        <v>5279</v>
      </c>
      <c r="E743" s="41" t="s">
        <v>3180</v>
      </c>
      <c r="F743" s="41" t="s">
        <v>28</v>
      </c>
      <c r="G743" s="41" t="s">
        <v>301</v>
      </c>
      <c r="I743" s="41" t="s">
        <v>406</v>
      </c>
      <c r="J743" s="41" t="s">
        <v>32</v>
      </c>
      <c r="K743" s="42"/>
      <c r="L743" s="41" t="s">
        <v>3181</v>
      </c>
      <c r="M743" s="41">
        <v>110</v>
      </c>
      <c r="N743" s="41" t="s">
        <v>311</v>
      </c>
      <c r="O743" s="41" t="s">
        <v>311</v>
      </c>
      <c r="P743" s="41" t="s">
        <v>179</v>
      </c>
      <c r="Q743" s="41" t="s">
        <v>1116</v>
      </c>
      <c r="R743" s="41" t="s">
        <v>39</v>
      </c>
      <c r="S743" s="41" t="s">
        <v>40</v>
      </c>
      <c r="T743" s="41" t="s">
        <v>2539</v>
      </c>
      <c r="U743" s="41" t="s">
        <v>40</v>
      </c>
    </row>
    <row r="744" spans="1:21">
      <c r="A744" s="41">
        <v>2193</v>
      </c>
      <c r="B744" s="41" t="s">
        <v>3182</v>
      </c>
      <c r="D744" s="41">
        <v>5285</v>
      </c>
      <c r="E744" s="41" t="s">
        <v>1286</v>
      </c>
      <c r="F744" s="41" t="s">
        <v>28</v>
      </c>
      <c r="G744" s="41" t="s">
        <v>307</v>
      </c>
      <c r="I744" s="41" t="s">
        <v>464</v>
      </c>
      <c r="J744" s="41" t="s">
        <v>32</v>
      </c>
      <c r="K744" s="42"/>
      <c r="L744" s="41" t="s">
        <v>3183</v>
      </c>
      <c r="M744" s="41">
        <v>33</v>
      </c>
      <c r="N744" s="41" t="s">
        <v>1288</v>
      </c>
      <c r="O744" s="41" t="s">
        <v>2299</v>
      </c>
      <c r="P744" s="41" t="s">
        <v>68</v>
      </c>
      <c r="Q744" s="41" t="s">
        <v>69</v>
      </c>
      <c r="R744" s="41" t="s">
        <v>39</v>
      </c>
      <c r="S744" s="41" t="s">
        <v>3184</v>
      </c>
      <c r="T744" s="41" t="s">
        <v>3185</v>
      </c>
      <c r="U744" s="41" t="s">
        <v>40</v>
      </c>
    </row>
    <row r="745" spans="1:21">
      <c r="A745" s="41">
        <v>2192</v>
      </c>
      <c r="B745" s="41" t="s">
        <v>3186</v>
      </c>
      <c r="D745" s="41">
        <v>5287</v>
      </c>
      <c r="E745" s="41" t="s">
        <v>1286</v>
      </c>
      <c r="F745" s="41" t="s">
        <v>42</v>
      </c>
      <c r="G745" s="41" t="s">
        <v>1175</v>
      </c>
      <c r="I745" s="41" t="s">
        <v>464</v>
      </c>
      <c r="J745" s="41" t="s">
        <v>32</v>
      </c>
      <c r="K745" s="42"/>
      <c r="L745" s="41" t="s">
        <v>3187</v>
      </c>
      <c r="M745" s="41">
        <v>33</v>
      </c>
      <c r="N745" s="41" t="s">
        <v>1288</v>
      </c>
      <c r="O745" s="41" t="s">
        <v>2299</v>
      </c>
      <c r="P745" s="41" t="s">
        <v>68</v>
      </c>
      <c r="Q745" s="41" t="s">
        <v>69</v>
      </c>
      <c r="R745" s="41" t="s">
        <v>39</v>
      </c>
      <c r="S745" s="41" t="s">
        <v>40</v>
      </c>
      <c r="T745" s="41" t="s">
        <v>40</v>
      </c>
      <c r="U745" s="41" t="s">
        <v>40</v>
      </c>
    </row>
    <row r="746" spans="1:21">
      <c r="A746" s="41">
        <v>2191</v>
      </c>
      <c r="B746" s="41" t="s">
        <v>3188</v>
      </c>
      <c r="D746" s="41">
        <v>5266</v>
      </c>
      <c r="E746" s="41" t="s">
        <v>2521</v>
      </c>
      <c r="F746" s="41" t="s">
        <v>42</v>
      </c>
      <c r="G746" s="41" t="s">
        <v>1175</v>
      </c>
      <c r="I746" s="41" t="s">
        <v>406</v>
      </c>
      <c r="J746" s="41" t="s">
        <v>672</v>
      </c>
      <c r="K746" s="42"/>
      <c r="L746" s="41" t="s">
        <v>2522</v>
      </c>
      <c r="M746" s="41">
        <v>23</v>
      </c>
      <c r="N746" s="41" t="s">
        <v>3189</v>
      </c>
      <c r="O746" s="41" t="s">
        <v>2523</v>
      </c>
      <c r="P746" s="41" t="s">
        <v>98</v>
      </c>
      <c r="Q746" s="41" t="s">
        <v>98</v>
      </c>
      <c r="R746" s="41" t="s">
        <v>39</v>
      </c>
      <c r="S746" s="41" t="s">
        <v>40</v>
      </c>
      <c r="T746" s="41" t="s">
        <v>40</v>
      </c>
      <c r="U746" s="41" t="s">
        <v>40</v>
      </c>
    </row>
    <row r="747" spans="1:21">
      <c r="A747" s="41">
        <v>2190</v>
      </c>
      <c r="B747" s="41" t="s">
        <v>3190</v>
      </c>
      <c r="D747" s="41">
        <v>5280</v>
      </c>
      <c r="E747" s="41" t="s">
        <v>1286</v>
      </c>
      <c r="F747" s="41" t="s">
        <v>28</v>
      </c>
      <c r="G747" s="41" t="s">
        <v>307</v>
      </c>
      <c r="I747" s="41" t="s">
        <v>3165</v>
      </c>
      <c r="J747" s="41" t="s">
        <v>32</v>
      </c>
      <c r="K747" s="42"/>
      <c r="L747" s="41" t="s">
        <v>3166</v>
      </c>
      <c r="M747" s="41">
        <v>23</v>
      </c>
      <c r="N747" s="41" t="s">
        <v>3167</v>
      </c>
      <c r="O747" s="41" t="s">
        <v>3167</v>
      </c>
      <c r="P747" s="41" t="s">
        <v>98</v>
      </c>
      <c r="Q747" s="41" t="s">
        <v>569</v>
      </c>
      <c r="R747" s="41" t="s">
        <v>39</v>
      </c>
      <c r="S747" s="41" t="s">
        <v>3191</v>
      </c>
      <c r="T747" s="41" t="s">
        <v>3157</v>
      </c>
      <c r="U747" s="41" t="s">
        <v>40</v>
      </c>
    </row>
    <row r="748" spans="1:21">
      <c r="A748" s="41">
        <v>2189</v>
      </c>
      <c r="B748" s="41" t="s">
        <v>3192</v>
      </c>
      <c r="D748" s="41">
        <v>5281</v>
      </c>
      <c r="E748" s="41" t="s">
        <v>1286</v>
      </c>
      <c r="F748" s="41" t="s">
        <v>28</v>
      </c>
      <c r="G748" s="41" t="s">
        <v>301</v>
      </c>
      <c r="I748" s="41" t="s">
        <v>464</v>
      </c>
      <c r="J748" s="41" t="s">
        <v>32</v>
      </c>
      <c r="K748" s="42"/>
      <c r="L748" s="41" t="s">
        <v>3193</v>
      </c>
      <c r="M748" s="41">
        <v>33</v>
      </c>
      <c r="N748" s="41" t="s">
        <v>2299</v>
      </c>
      <c r="O748" s="41" t="s">
        <v>2299</v>
      </c>
      <c r="P748" s="41" t="s">
        <v>68</v>
      </c>
      <c r="Q748" s="41" t="s">
        <v>69</v>
      </c>
      <c r="R748" s="41" t="s">
        <v>39</v>
      </c>
      <c r="S748" s="41" t="s">
        <v>3194</v>
      </c>
      <c r="T748" s="41" t="s">
        <v>3195</v>
      </c>
      <c r="U748" s="41" t="s">
        <v>40</v>
      </c>
    </row>
    <row r="749" spans="1:21">
      <c r="A749" s="41">
        <v>2188</v>
      </c>
      <c r="B749" s="41" t="s">
        <v>3196</v>
      </c>
      <c r="D749" s="41">
        <v>5283</v>
      </c>
      <c r="E749" s="41" t="s">
        <v>1286</v>
      </c>
      <c r="F749" s="41" t="s">
        <v>42</v>
      </c>
      <c r="G749" s="41" t="s">
        <v>1175</v>
      </c>
      <c r="I749" s="41" t="s">
        <v>464</v>
      </c>
      <c r="J749" s="41" t="s">
        <v>32</v>
      </c>
      <c r="K749" s="42"/>
      <c r="L749" s="41" t="s">
        <v>3193</v>
      </c>
      <c r="M749" s="41">
        <v>33</v>
      </c>
      <c r="N749" s="41" t="s">
        <v>2299</v>
      </c>
      <c r="O749" s="41" t="s">
        <v>2299</v>
      </c>
      <c r="P749" s="41" t="s">
        <v>68</v>
      </c>
      <c r="Q749" s="41" t="s">
        <v>69</v>
      </c>
      <c r="R749" s="41" t="s">
        <v>39</v>
      </c>
      <c r="S749" s="41" t="s">
        <v>40</v>
      </c>
      <c r="T749" s="41" t="s">
        <v>40</v>
      </c>
      <c r="U749" s="41" t="s">
        <v>40</v>
      </c>
    </row>
    <row r="750" spans="1:21">
      <c r="A750" s="41">
        <v>2187</v>
      </c>
      <c r="B750" s="41" t="s">
        <v>3197</v>
      </c>
      <c r="D750" s="41">
        <v>5282</v>
      </c>
      <c r="E750" s="41" t="s">
        <v>1286</v>
      </c>
      <c r="F750" s="41" t="s">
        <v>28</v>
      </c>
      <c r="G750" s="41" t="s">
        <v>307</v>
      </c>
      <c r="I750" s="41" t="s">
        <v>3198</v>
      </c>
      <c r="J750" s="41" t="s">
        <v>32</v>
      </c>
      <c r="K750" s="42"/>
      <c r="L750" s="41" t="s">
        <v>3199</v>
      </c>
      <c r="M750" s="41">
        <v>33</v>
      </c>
      <c r="N750" s="41" t="s">
        <v>2299</v>
      </c>
      <c r="O750" s="41" t="s">
        <v>3200</v>
      </c>
      <c r="P750" s="41" t="s">
        <v>98</v>
      </c>
      <c r="Q750" s="41" t="s">
        <v>569</v>
      </c>
      <c r="R750" s="41" t="s">
        <v>39</v>
      </c>
      <c r="S750" s="41" t="s">
        <v>3201</v>
      </c>
      <c r="T750" s="41" t="s">
        <v>3157</v>
      </c>
      <c r="U750" s="41" t="s">
        <v>40</v>
      </c>
    </row>
    <row r="751" spans="1:21">
      <c r="A751" s="41">
        <v>2186</v>
      </c>
      <c r="B751" s="41" t="s">
        <v>3202</v>
      </c>
      <c r="D751" s="41">
        <v>5270</v>
      </c>
      <c r="E751" s="41" t="s">
        <v>1395</v>
      </c>
      <c r="F751" s="41" t="s">
        <v>53</v>
      </c>
      <c r="G751" s="41" t="s">
        <v>64</v>
      </c>
      <c r="I751" s="41" t="s">
        <v>3203</v>
      </c>
      <c r="J751" s="41" t="s">
        <v>380</v>
      </c>
      <c r="K751" s="42"/>
      <c r="L751" s="41" t="s">
        <v>3172</v>
      </c>
      <c r="M751" s="41">
        <v>220</v>
      </c>
      <c r="N751" s="41" t="s">
        <v>1629</v>
      </c>
      <c r="O751" s="41" t="s">
        <v>3204</v>
      </c>
      <c r="P751" s="41" t="s">
        <v>83</v>
      </c>
      <c r="Q751" s="41" t="s">
        <v>1357</v>
      </c>
      <c r="R751" s="41" t="s">
        <v>62</v>
      </c>
      <c r="S751" s="41" t="s">
        <v>40</v>
      </c>
      <c r="T751" s="41" t="s">
        <v>40</v>
      </c>
      <c r="U751" s="41" t="s">
        <v>40</v>
      </c>
    </row>
    <row r="752" spans="1:21">
      <c r="A752" s="41">
        <v>2185</v>
      </c>
      <c r="B752" s="41" t="s">
        <v>3205</v>
      </c>
      <c r="D752" s="41">
        <v>5264</v>
      </c>
      <c r="E752" s="41" t="s">
        <v>1286</v>
      </c>
      <c r="F752" s="41" t="s">
        <v>42</v>
      </c>
      <c r="G752" s="41" t="s">
        <v>121</v>
      </c>
      <c r="I752" s="41" t="s">
        <v>162</v>
      </c>
      <c r="J752" s="41" t="s">
        <v>32</v>
      </c>
      <c r="K752" s="42"/>
      <c r="L752" s="41" t="s">
        <v>3206</v>
      </c>
      <c r="M752" s="41">
        <v>33</v>
      </c>
      <c r="N752" s="41" t="s">
        <v>2299</v>
      </c>
      <c r="O752" s="41" t="s">
        <v>2299</v>
      </c>
      <c r="P752" s="41" t="s">
        <v>98</v>
      </c>
      <c r="Q752" s="41" t="s">
        <v>116</v>
      </c>
      <c r="R752" s="41" t="s">
        <v>39</v>
      </c>
      <c r="S752" s="41" t="s">
        <v>40</v>
      </c>
      <c r="T752" s="41" t="s">
        <v>2101</v>
      </c>
      <c r="U752" s="41" t="s">
        <v>40</v>
      </c>
    </row>
    <row r="753" spans="1:21">
      <c r="A753" s="41">
        <v>2184</v>
      </c>
      <c r="B753" s="41" t="s">
        <v>3207</v>
      </c>
      <c r="D753" s="41">
        <v>5265</v>
      </c>
      <c r="E753" s="41" t="s">
        <v>1286</v>
      </c>
      <c r="F753" s="41" t="s">
        <v>42</v>
      </c>
      <c r="G753" s="41" t="s">
        <v>1369</v>
      </c>
      <c r="I753" s="41" t="s">
        <v>3208</v>
      </c>
      <c r="J753" s="41" t="s">
        <v>32</v>
      </c>
      <c r="K753" s="42"/>
      <c r="L753" s="41" t="s">
        <v>3209</v>
      </c>
      <c r="M753" s="41">
        <v>33</v>
      </c>
      <c r="N753" s="41" t="s">
        <v>1288</v>
      </c>
      <c r="O753" s="41" t="s">
        <v>2299</v>
      </c>
      <c r="P753" s="41" t="s">
        <v>1046</v>
      </c>
      <c r="Q753" s="41" t="s">
        <v>1047</v>
      </c>
      <c r="R753" s="41" t="s">
        <v>39</v>
      </c>
      <c r="S753" s="41" t="s">
        <v>40</v>
      </c>
      <c r="T753" s="41" t="s">
        <v>40</v>
      </c>
      <c r="U753" s="41" t="s">
        <v>40</v>
      </c>
    </row>
    <row r="754" spans="1:21">
      <c r="A754" s="41">
        <v>2183</v>
      </c>
      <c r="B754" s="41" t="s">
        <v>3210</v>
      </c>
      <c r="D754" s="41">
        <v>5261</v>
      </c>
      <c r="E754" s="41" t="s">
        <v>3211</v>
      </c>
      <c r="F754" s="41" t="s">
        <v>28</v>
      </c>
      <c r="G754" s="41" t="s">
        <v>301</v>
      </c>
      <c r="I754" s="41" t="s">
        <v>464</v>
      </c>
      <c r="J754" s="41" t="s">
        <v>32</v>
      </c>
      <c r="K754" s="42"/>
      <c r="L754" s="41" t="s">
        <v>3212</v>
      </c>
      <c r="M754" s="41">
        <v>220</v>
      </c>
      <c r="N754" s="41" t="s">
        <v>395</v>
      </c>
      <c r="O754" s="41" t="s">
        <v>3213</v>
      </c>
      <c r="P754" s="41" t="s">
        <v>153</v>
      </c>
      <c r="Q754" s="41" t="s">
        <v>329</v>
      </c>
      <c r="R754" s="41" t="s">
        <v>39</v>
      </c>
      <c r="S754" s="41" t="s">
        <v>3214</v>
      </c>
      <c r="T754" s="41" t="s">
        <v>313</v>
      </c>
      <c r="U754" s="41" t="s">
        <v>40</v>
      </c>
    </row>
    <row r="755" spans="1:21">
      <c r="A755" s="41">
        <v>2182</v>
      </c>
      <c r="B755" s="41" t="s">
        <v>3215</v>
      </c>
      <c r="D755" s="41">
        <v>5262</v>
      </c>
      <c r="E755" s="41" t="s">
        <v>2356</v>
      </c>
      <c r="F755" s="41" t="s">
        <v>42</v>
      </c>
      <c r="G755" s="41" t="s">
        <v>1369</v>
      </c>
      <c r="I755" s="41" t="s">
        <v>426</v>
      </c>
      <c r="J755" s="41" t="s">
        <v>32</v>
      </c>
      <c r="K755" s="42"/>
      <c r="L755" s="41" t="s">
        <v>3216</v>
      </c>
      <c r="M755" s="41">
        <v>23</v>
      </c>
      <c r="N755" s="41" t="s">
        <v>3217</v>
      </c>
      <c r="O755" s="41" t="s">
        <v>3218</v>
      </c>
      <c r="P755" s="41" t="s">
        <v>179</v>
      </c>
      <c r="Q755" s="41" t="s">
        <v>524</v>
      </c>
      <c r="R755" s="41" t="s">
        <v>39</v>
      </c>
      <c r="S755" s="41" t="s">
        <v>40</v>
      </c>
      <c r="T755" s="41" t="s">
        <v>40</v>
      </c>
      <c r="U755" s="41" t="s">
        <v>40</v>
      </c>
    </row>
    <row r="756" spans="1:21">
      <c r="A756" s="41">
        <v>2181</v>
      </c>
      <c r="B756" s="41" t="s">
        <v>3219</v>
      </c>
      <c r="D756" s="41">
        <v>5263</v>
      </c>
      <c r="E756" s="41" t="s">
        <v>2356</v>
      </c>
      <c r="F756" s="41" t="s">
        <v>42</v>
      </c>
      <c r="G756" s="41" t="s">
        <v>1175</v>
      </c>
      <c r="I756" s="41" t="s">
        <v>231</v>
      </c>
      <c r="J756" s="41" t="s">
        <v>32</v>
      </c>
      <c r="K756" s="42"/>
      <c r="L756" s="41" t="s">
        <v>2706</v>
      </c>
      <c r="M756" s="41">
        <v>23</v>
      </c>
      <c r="N756" s="41" t="s">
        <v>1020</v>
      </c>
      <c r="O756" s="41" t="s">
        <v>3220</v>
      </c>
      <c r="P756" s="41" t="s">
        <v>179</v>
      </c>
      <c r="Q756" s="41" t="s">
        <v>592</v>
      </c>
      <c r="R756" s="41" t="s">
        <v>39</v>
      </c>
      <c r="S756" s="41" t="s">
        <v>40</v>
      </c>
      <c r="T756" s="41" t="s">
        <v>40</v>
      </c>
      <c r="U756" s="41" t="s">
        <v>40</v>
      </c>
    </row>
    <row r="757" spans="1:21">
      <c r="A757" s="41">
        <v>2180</v>
      </c>
      <c r="B757" s="41" t="s">
        <v>3221</v>
      </c>
      <c r="D757" s="41">
        <v>5259</v>
      </c>
      <c r="E757" s="41" t="s">
        <v>1106</v>
      </c>
      <c r="F757" s="41" t="s">
        <v>53</v>
      </c>
      <c r="G757" s="41" t="s">
        <v>141</v>
      </c>
      <c r="I757" s="41" t="s">
        <v>56</v>
      </c>
      <c r="J757" s="41" t="s">
        <v>32</v>
      </c>
      <c r="K757" s="42"/>
      <c r="L757" s="41" t="s">
        <v>3222</v>
      </c>
      <c r="M757" s="41">
        <v>66</v>
      </c>
      <c r="N757" s="41" t="s">
        <v>1020</v>
      </c>
      <c r="O757" s="41" t="s">
        <v>3223</v>
      </c>
      <c r="P757" s="41" t="s">
        <v>83</v>
      </c>
      <c r="Q757" s="41" t="s">
        <v>3008</v>
      </c>
      <c r="R757" s="41" t="s">
        <v>132</v>
      </c>
      <c r="S757" s="41" t="s">
        <v>3224</v>
      </c>
      <c r="T757" s="41" t="s">
        <v>1289</v>
      </c>
      <c r="U757" s="41" t="s">
        <v>40</v>
      </c>
    </row>
    <row r="758" spans="1:21">
      <c r="A758" s="41">
        <v>2179</v>
      </c>
      <c r="B758" s="41" t="s">
        <v>771</v>
      </c>
      <c r="D758" s="41">
        <v>5260</v>
      </c>
      <c r="E758" s="41" t="s">
        <v>772</v>
      </c>
      <c r="F758" s="41" t="s">
        <v>53</v>
      </c>
      <c r="G758" s="41" t="s">
        <v>141</v>
      </c>
      <c r="I758" s="41" t="s">
        <v>2580</v>
      </c>
      <c r="J758" s="41" t="s">
        <v>672</v>
      </c>
      <c r="K758" s="42"/>
      <c r="L758" s="41" t="s">
        <v>775</v>
      </c>
      <c r="M758" s="41">
        <v>500</v>
      </c>
      <c r="N758" s="41" t="s">
        <v>776</v>
      </c>
      <c r="O758" s="41" t="s">
        <v>777</v>
      </c>
      <c r="P758" s="41" t="s">
        <v>68</v>
      </c>
      <c r="Q758" s="41" t="s">
        <v>159</v>
      </c>
      <c r="R758" s="41" t="s">
        <v>62</v>
      </c>
      <c r="S758" s="41" t="s">
        <v>778</v>
      </c>
      <c r="T758" s="41" t="s">
        <v>779</v>
      </c>
      <c r="U758" s="41" t="s">
        <v>40</v>
      </c>
    </row>
    <row r="759" spans="1:21">
      <c r="A759" s="41">
        <v>2178</v>
      </c>
      <c r="B759" s="41" t="s">
        <v>3225</v>
      </c>
      <c r="D759" s="41">
        <v>5256</v>
      </c>
      <c r="E759" s="41" t="s">
        <v>1080</v>
      </c>
      <c r="F759" s="41" t="s">
        <v>53</v>
      </c>
      <c r="G759" s="41" t="s">
        <v>307</v>
      </c>
      <c r="I759" s="41" t="s">
        <v>3226</v>
      </c>
      <c r="J759" s="41" t="s">
        <v>672</v>
      </c>
      <c r="K759" s="42"/>
      <c r="L759" s="41" t="s">
        <v>3227</v>
      </c>
      <c r="M759" s="41">
        <v>110</v>
      </c>
      <c r="N759" s="41" t="s">
        <v>3228</v>
      </c>
      <c r="O759" s="41" t="s">
        <v>3229</v>
      </c>
      <c r="P759" s="41" t="s">
        <v>78</v>
      </c>
      <c r="Q759" s="41" t="s">
        <v>3094</v>
      </c>
      <c r="R759" s="41" t="s">
        <v>132</v>
      </c>
      <c r="S759" s="41" t="s">
        <v>3230</v>
      </c>
      <c r="T759" s="41" t="s">
        <v>2101</v>
      </c>
      <c r="U759" s="41" t="s">
        <v>40</v>
      </c>
    </row>
    <row r="760" spans="1:21">
      <c r="A760" s="41">
        <v>2177</v>
      </c>
      <c r="B760" s="41" t="s">
        <v>3231</v>
      </c>
      <c r="D760" s="41">
        <v>5257</v>
      </c>
      <c r="E760" s="41" t="s">
        <v>1080</v>
      </c>
      <c r="F760" s="41" t="s">
        <v>53</v>
      </c>
      <c r="G760" s="41" t="s">
        <v>307</v>
      </c>
      <c r="I760" s="41" t="s">
        <v>3226</v>
      </c>
      <c r="J760" s="41" t="s">
        <v>672</v>
      </c>
      <c r="K760" s="42"/>
      <c r="L760" s="41" t="s">
        <v>3232</v>
      </c>
      <c r="M760" s="41">
        <v>110</v>
      </c>
      <c r="N760" s="41" t="s">
        <v>3228</v>
      </c>
      <c r="O760" s="41" t="s">
        <v>3233</v>
      </c>
      <c r="P760" s="41" t="s">
        <v>78</v>
      </c>
      <c r="Q760" s="41" t="s">
        <v>3094</v>
      </c>
      <c r="R760" s="41" t="s">
        <v>132</v>
      </c>
      <c r="S760" s="41" t="s">
        <v>3234</v>
      </c>
      <c r="T760" s="41" t="s">
        <v>210</v>
      </c>
      <c r="U760" s="41" t="s">
        <v>40</v>
      </c>
    </row>
    <row r="761" spans="1:21">
      <c r="A761" s="41">
        <v>2176</v>
      </c>
      <c r="B761" s="41" t="s">
        <v>3235</v>
      </c>
      <c r="D761" s="41">
        <v>5258</v>
      </c>
      <c r="E761" s="41" t="s">
        <v>3236</v>
      </c>
      <c r="F761" s="41" t="s">
        <v>42</v>
      </c>
      <c r="G761" s="41" t="s">
        <v>141</v>
      </c>
      <c r="I761" s="41" t="s">
        <v>521</v>
      </c>
      <c r="J761" s="41" t="s">
        <v>32</v>
      </c>
      <c r="K761" s="42"/>
      <c r="L761" s="41" t="s">
        <v>3237</v>
      </c>
      <c r="M761" s="41">
        <v>13</v>
      </c>
      <c r="N761" s="41" t="s">
        <v>3238</v>
      </c>
      <c r="O761" s="41" t="s">
        <v>3239</v>
      </c>
      <c r="P761" s="41" t="s">
        <v>546</v>
      </c>
      <c r="Q761" s="41" t="s">
        <v>2100</v>
      </c>
      <c r="R761" s="41" t="s">
        <v>39</v>
      </c>
      <c r="S761" s="41" t="s">
        <v>40</v>
      </c>
      <c r="T761" s="41" t="s">
        <v>313</v>
      </c>
      <c r="U761" s="41" t="s">
        <v>40</v>
      </c>
    </row>
    <row r="762" spans="1:21">
      <c r="A762" s="41">
        <v>2175</v>
      </c>
      <c r="B762" s="41" t="s">
        <v>3240</v>
      </c>
      <c r="D762" s="41">
        <v>5248</v>
      </c>
      <c r="E762" s="41" t="s">
        <v>1091</v>
      </c>
      <c r="F762" s="41" t="s">
        <v>53</v>
      </c>
      <c r="G762" s="41" t="s">
        <v>307</v>
      </c>
      <c r="I762" s="41" t="s">
        <v>1092</v>
      </c>
      <c r="J762" s="41" t="s">
        <v>672</v>
      </c>
      <c r="K762" s="42"/>
      <c r="L762" s="41" t="s">
        <v>2160</v>
      </c>
      <c r="M762" s="41">
        <v>12</v>
      </c>
      <c r="N762" s="41" t="s">
        <v>2506</v>
      </c>
      <c r="O762" s="41" t="s">
        <v>3241</v>
      </c>
      <c r="P762" s="41" t="s">
        <v>68</v>
      </c>
      <c r="Q762" s="41" t="s">
        <v>2163</v>
      </c>
      <c r="R762" s="41" t="s">
        <v>132</v>
      </c>
      <c r="S762" s="41" t="s">
        <v>3242</v>
      </c>
      <c r="T762" s="41" t="s">
        <v>1773</v>
      </c>
      <c r="U762" s="41" t="s">
        <v>40</v>
      </c>
    </row>
    <row r="763" spans="1:21">
      <c r="A763" s="41">
        <v>2174</v>
      </c>
      <c r="B763" s="41" t="s">
        <v>3243</v>
      </c>
      <c r="D763" s="41">
        <v>5249</v>
      </c>
      <c r="E763" s="41" t="s">
        <v>1091</v>
      </c>
      <c r="F763" s="41" t="s">
        <v>53</v>
      </c>
      <c r="G763" s="41" t="s">
        <v>307</v>
      </c>
      <c r="I763" s="41" t="s">
        <v>1092</v>
      </c>
      <c r="J763" s="41" t="s">
        <v>672</v>
      </c>
      <c r="K763" s="42"/>
      <c r="L763" s="41" t="s">
        <v>3244</v>
      </c>
      <c r="M763" s="41">
        <v>12</v>
      </c>
      <c r="N763" s="41" t="s">
        <v>3245</v>
      </c>
      <c r="O763" s="41" t="s">
        <v>3246</v>
      </c>
      <c r="P763" s="41" t="s">
        <v>68</v>
      </c>
      <c r="Q763" s="41" t="s">
        <v>3247</v>
      </c>
      <c r="R763" s="41" t="s">
        <v>132</v>
      </c>
      <c r="S763" s="41" t="s">
        <v>3248</v>
      </c>
      <c r="T763" s="41" t="s">
        <v>210</v>
      </c>
      <c r="U763" s="41" t="s">
        <v>40</v>
      </c>
    </row>
    <row r="764" spans="1:21">
      <c r="A764" s="41">
        <v>2173</v>
      </c>
      <c r="B764" s="41" t="s">
        <v>3249</v>
      </c>
      <c r="D764" s="41">
        <v>5250</v>
      </c>
      <c r="E764" s="41" t="s">
        <v>1091</v>
      </c>
      <c r="F764" s="41" t="s">
        <v>53</v>
      </c>
      <c r="G764" s="41" t="s">
        <v>307</v>
      </c>
      <c r="I764" s="41" t="s">
        <v>1092</v>
      </c>
      <c r="J764" s="41" t="s">
        <v>672</v>
      </c>
      <c r="K764" s="42"/>
      <c r="L764" s="41" t="s">
        <v>1252</v>
      </c>
      <c r="M764" s="41">
        <v>12</v>
      </c>
      <c r="N764" s="41" t="s">
        <v>1360</v>
      </c>
      <c r="O764" s="41" t="s">
        <v>3250</v>
      </c>
      <c r="P764" s="41" t="s">
        <v>68</v>
      </c>
      <c r="Q764" s="41" t="s">
        <v>1254</v>
      </c>
      <c r="R764" s="41" t="s">
        <v>132</v>
      </c>
      <c r="S764" s="41" t="s">
        <v>3251</v>
      </c>
      <c r="T764" s="41" t="s">
        <v>210</v>
      </c>
      <c r="U764" s="41" t="s">
        <v>40</v>
      </c>
    </row>
    <row r="765" spans="1:21">
      <c r="A765" s="41">
        <v>2172</v>
      </c>
      <c r="B765" s="41" t="s">
        <v>3252</v>
      </c>
      <c r="D765" s="41">
        <v>5251</v>
      </c>
      <c r="E765" s="41" t="s">
        <v>987</v>
      </c>
      <c r="F765" s="41" t="s">
        <v>53</v>
      </c>
      <c r="G765" s="41" t="s">
        <v>141</v>
      </c>
      <c r="I765" s="41" t="s">
        <v>149</v>
      </c>
      <c r="J765" s="41" t="s">
        <v>32</v>
      </c>
      <c r="K765" s="42"/>
      <c r="L765" s="41" t="s">
        <v>3253</v>
      </c>
      <c r="M765" s="41">
        <v>66</v>
      </c>
      <c r="N765" s="41" t="s">
        <v>67</v>
      </c>
      <c r="O765" s="41" t="s">
        <v>388</v>
      </c>
      <c r="P765" s="41" t="s">
        <v>1046</v>
      </c>
      <c r="Q765" s="41" t="s">
        <v>3254</v>
      </c>
      <c r="R765" s="41" t="s">
        <v>132</v>
      </c>
      <c r="S765" s="41" t="s">
        <v>3255</v>
      </c>
      <c r="T765" s="41" t="s">
        <v>2539</v>
      </c>
      <c r="U765" s="41" t="s">
        <v>40</v>
      </c>
    </row>
    <row r="766" spans="1:21">
      <c r="A766" s="41">
        <v>2171</v>
      </c>
      <c r="B766" s="41" t="s">
        <v>3256</v>
      </c>
      <c r="D766" s="41">
        <v>5252</v>
      </c>
      <c r="E766" s="41" t="s">
        <v>987</v>
      </c>
      <c r="F766" s="41" t="s">
        <v>53</v>
      </c>
      <c r="G766" s="41" t="s">
        <v>141</v>
      </c>
      <c r="I766" s="41" t="s">
        <v>149</v>
      </c>
      <c r="J766" s="41" t="s">
        <v>32</v>
      </c>
      <c r="K766" s="42"/>
      <c r="L766" s="41" t="s">
        <v>3257</v>
      </c>
      <c r="M766" s="41">
        <v>66</v>
      </c>
      <c r="N766" s="41" t="s">
        <v>67</v>
      </c>
      <c r="O766" s="41" t="s">
        <v>388</v>
      </c>
      <c r="P766" s="41" t="s">
        <v>153</v>
      </c>
      <c r="Q766" s="41" t="s">
        <v>1280</v>
      </c>
      <c r="R766" s="41" t="s">
        <v>132</v>
      </c>
      <c r="S766" s="41" t="s">
        <v>3258</v>
      </c>
      <c r="T766" s="41" t="s">
        <v>3157</v>
      </c>
      <c r="U766" s="41" t="s">
        <v>40</v>
      </c>
    </row>
    <row r="767" spans="1:21">
      <c r="A767" s="41">
        <v>2170</v>
      </c>
      <c r="B767" s="41" t="s">
        <v>3259</v>
      </c>
      <c r="D767" s="41">
        <v>5241</v>
      </c>
      <c r="E767" s="41" t="s">
        <v>3260</v>
      </c>
      <c r="F767" s="41" t="s">
        <v>53</v>
      </c>
      <c r="G767" s="41" t="s">
        <v>43</v>
      </c>
      <c r="I767" s="41" t="s">
        <v>1142</v>
      </c>
      <c r="J767" s="41" t="s">
        <v>672</v>
      </c>
      <c r="K767" s="42"/>
      <c r="L767" s="41" t="s">
        <v>3261</v>
      </c>
      <c r="M767" s="41">
        <v>12</v>
      </c>
      <c r="N767" s="41" t="s">
        <v>3262</v>
      </c>
      <c r="O767" s="41" t="s">
        <v>3263</v>
      </c>
      <c r="P767" s="41" t="s">
        <v>68</v>
      </c>
      <c r="Q767" s="41" t="s">
        <v>184</v>
      </c>
      <c r="R767" s="41" t="s">
        <v>132</v>
      </c>
      <c r="S767" s="41" t="s">
        <v>40</v>
      </c>
      <c r="T767" s="41" t="s">
        <v>40</v>
      </c>
      <c r="U767" s="41" t="s">
        <v>40</v>
      </c>
    </row>
    <row r="768" spans="1:21">
      <c r="A768" s="41">
        <v>2169</v>
      </c>
      <c r="B768" s="41" t="s">
        <v>3264</v>
      </c>
      <c r="D768" s="41">
        <v>5242</v>
      </c>
      <c r="E768" s="41" t="s">
        <v>3260</v>
      </c>
      <c r="F768" s="41" t="s">
        <v>53</v>
      </c>
      <c r="G768" s="41" t="s">
        <v>43</v>
      </c>
      <c r="I768" s="41" t="s">
        <v>1142</v>
      </c>
      <c r="J768" s="41" t="s">
        <v>672</v>
      </c>
      <c r="K768" s="42"/>
      <c r="L768" s="41" t="s">
        <v>3261</v>
      </c>
      <c r="M768" s="41">
        <v>12</v>
      </c>
      <c r="N768" s="41" t="s">
        <v>3262</v>
      </c>
      <c r="O768" s="41" t="s">
        <v>3265</v>
      </c>
      <c r="P768" s="41" t="s">
        <v>68</v>
      </c>
      <c r="Q768" s="41" t="s">
        <v>184</v>
      </c>
      <c r="R768" s="41" t="s">
        <v>132</v>
      </c>
      <c r="S768" s="41" t="s">
        <v>40</v>
      </c>
      <c r="T768" s="41" t="s">
        <v>40</v>
      </c>
      <c r="U768" s="41" t="s">
        <v>40</v>
      </c>
    </row>
    <row r="769" spans="1:21">
      <c r="A769" s="41">
        <v>2168</v>
      </c>
      <c r="B769" s="41" t="s">
        <v>3266</v>
      </c>
      <c r="D769" s="41">
        <v>5243</v>
      </c>
      <c r="E769" s="41" t="s">
        <v>1091</v>
      </c>
      <c r="F769" s="41" t="s">
        <v>53</v>
      </c>
      <c r="G769" s="41" t="s">
        <v>307</v>
      </c>
      <c r="I769" s="41" t="s">
        <v>1092</v>
      </c>
      <c r="J769" s="41" t="s">
        <v>672</v>
      </c>
      <c r="K769" s="42"/>
      <c r="L769" s="41" t="s">
        <v>3267</v>
      </c>
      <c r="M769" s="41">
        <v>12</v>
      </c>
      <c r="N769" s="41" t="s">
        <v>1253</v>
      </c>
      <c r="O769" s="41" t="s">
        <v>3268</v>
      </c>
      <c r="P769" s="41" t="s">
        <v>68</v>
      </c>
      <c r="Q769" s="41" t="s">
        <v>3269</v>
      </c>
      <c r="R769" s="41" t="s">
        <v>132</v>
      </c>
      <c r="S769" s="41" t="s">
        <v>3270</v>
      </c>
      <c r="T769" s="41" t="s">
        <v>2101</v>
      </c>
      <c r="U769" s="41" t="s">
        <v>40</v>
      </c>
    </row>
    <row r="770" spans="1:21">
      <c r="A770" s="41">
        <v>2167</v>
      </c>
      <c r="B770" s="41" t="s">
        <v>3271</v>
      </c>
      <c r="D770" s="41">
        <v>5244</v>
      </c>
      <c r="E770" s="41" t="s">
        <v>1091</v>
      </c>
      <c r="F770" s="41" t="s">
        <v>53</v>
      </c>
      <c r="G770" s="41" t="s">
        <v>307</v>
      </c>
      <c r="I770" s="41" t="s">
        <v>1092</v>
      </c>
      <c r="J770" s="41" t="s">
        <v>672</v>
      </c>
      <c r="K770" s="42"/>
      <c r="L770" s="41" t="s">
        <v>3272</v>
      </c>
      <c r="M770" s="41">
        <v>12</v>
      </c>
      <c r="N770" s="41" t="s">
        <v>1094</v>
      </c>
      <c r="O770" s="41" t="s">
        <v>362</v>
      </c>
      <c r="P770" s="41" t="s">
        <v>68</v>
      </c>
      <c r="Q770" s="41" t="s">
        <v>1096</v>
      </c>
      <c r="R770" s="41" t="s">
        <v>132</v>
      </c>
      <c r="S770" s="41" t="s">
        <v>3273</v>
      </c>
      <c r="T770" s="41" t="s">
        <v>1773</v>
      </c>
      <c r="U770" s="41" t="s">
        <v>40</v>
      </c>
    </row>
    <row r="771" spans="1:21">
      <c r="A771" s="41">
        <v>2166</v>
      </c>
      <c r="B771" s="41" t="s">
        <v>3274</v>
      </c>
      <c r="D771" s="41">
        <v>5245</v>
      </c>
      <c r="E771" s="41" t="s">
        <v>1091</v>
      </c>
      <c r="F771" s="41" t="s">
        <v>53</v>
      </c>
      <c r="G771" s="41" t="s">
        <v>307</v>
      </c>
      <c r="I771" s="41" t="s">
        <v>1092</v>
      </c>
      <c r="J771" s="41" t="s">
        <v>672</v>
      </c>
      <c r="K771" s="42"/>
      <c r="L771" s="41" t="s">
        <v>3275</v>
      </c>
      <c r="M771" s="41">
        <v>12</v>
      </c>
      <c r="N771" s="41" t="s">
        <v>3276</v>
      </c>
      <c r="O771" s="41" t="s">
        <v>2149</v>
      </c>
      <c r="P771" s="41" t="s">
        <v>68</v>
      </c>
      <c r="Q771" s="41" t="s">
        <v>2884</v>
      </c>
      <c r="R771" s="41" t="s">
        <v>132</v>
      </c>
      <c r="S771" s="41" t="s">
        <v>3277</v>
      </c>
      <c r="T771" s="41" t="s">
        <v>210</v>
      </c>
      <c r="U771" s="41" t="s">
        <v>40</v>
      </c>
    </row>
    <row r="772" spans="1:21">
      <c r="A772" s="41">
        <v>2165</v>
      </c>
      <c r="B772" s="41" t="s">
        <v>3278</v>
      </c>
      <c r="D772" s="41">
        <v>5227</v>
      </c>
      <c r="E772" s="41" t="s">
        <v>1161</v>
      </c>
      <c r="F772" s="41" t="s">
        <v>53</v>
      </c>
      <c r="G772" s="41" t="s">
        <v>141</v>
      </c>
      <c r="I772" s="41" t="s">
        <v>464</v>
      </c>
      <c r="J772" s="41" t="s">
        <v>295</v>
      </c>
      <c r="K772" s="42"/>
      <c r="L772" s="41" t="s">
        <v>3279</v>
      </c>
      <c r="M772" s="41">
        <v>12</v>
      </c>
      <c r="N772" s="41" t="s">
        <v>3280</v>
      </c>
      <c r="O772" s="41" t="s">
        <v>3281</v>
      </c>
      <c r="P772" s="41" t="s">
        <v>68</v>
      </c>
      <c r="Q772" s="41" t="s">
        <v>1165</v>
      </c>
      <c r="R772" s="41" t="s">
        <v>132</v>
      </c>
      <c r="S772" s="41" t="s">
        <v>3282</v>
      </c>
      <c r="T772" s="41" t="s">
        <v>2512</v>
      </c>
      <c r="U772" s="41" t="s">
        <v>40</v>
      </c>
    </row>
    <row r="773" spans="1:21">
      <c r="A773" s="41">
        <v>2164</v>
      </c>
      <c r="B773" s="41" t="s">
        <v>3283</v>
      </c>
      <c r="D773" s="41">
        <v>5247</v>
      </c>
      <c r="E773" s="41" t="s">
        <v>3284</v>
      </c>
      <c r="F773" s="41" t="s">
        <v>53</v>
      </c>
      <c r="G773" s="41" t="s">
        <v>141</v>
      </c>
      <c r="I773" s="41" t="s">
        <v>56</v>
      </c>
      <c r="J773" s="41" t="s">
        <v>32</v>
      </c>
      <c r="K773" s="42"/>
      <c r="L773" s="41" t="s">
        <v>3285</v>
      </c>
      <c r="M773" s="41">
        <v>110</v>
      </c>
      <c r="N773" s="41" t="s">
        <v>3286</v>
      </c>
      <c r="O773" s="41" t="s">
        <v>747</v>
      </c>
      <c r="P773" s="41" t="s">
        <v>179</v>
      </c>
      <c r="Q773" s="41" t="s">
        <v>538</v>
      </c>
      <c r="R773" s="41" t="s">
        <v>132</v>
      </c>
      <c r="S773" s="41" t="s">
        <v>3287</v>
      </c>
      <c r="T773" s="41" t="s">
        <v>779</v>
      </c>
      <c r="U773" s="41" t="s">
        <v>40</v>
      </c>
    </row>
    <row r="774" spans="1:21">
      <c r="A774" s="41">
        <v>2163</v>
      </c>
      <c r="B774" s="41" t="s">
        <v>3288</v>
      </c>
      <c r="D774" s="41">
        <v>5236</v>
      </c>
      <c r="E774" s="41" t="s">
        <v>1091</v>
      </c>
      <c r="F774" s="41" t="s">
        <v>53</v>
      </c>
      <c r="G774" s="41" t="s">
        <v>307</v>
      </c>
      <c r="I774" s="41" t="s">
        <v>1092</v>
      </c>
      <c r="J774" s="41" t="s">
        <v>672</v>
      </c>
      <c r="K774" s="42"/>
      <c r="L774" s="41" t="s">
        <v>3289</v>
      </c>
      <c r="M774" s="41">
        <v>12</v>
      </c>
      <c r="N774" s="41" t="s">
        <v>1094</v>
      </c>
      <c r="O774" s="41" t="s">
        <v>650</v>
      </c>
      <c r="P774" s="41" t="s">
        <v>68</v>
      </c>
      <c r="Q774" s="41" t="s">
        <v>1096</v>
      </c>
      <c r="R774" s="41" t="s">
        <v>132</v>
      </c>
      <c r="S774" s="41" t="s">
        <v>3290</v>
      </c>
      <c r="T774" s="41" t="s">
        <v>1773</v>
      </c>
      <c r="U774" s="41" t="s">
        <v>40</v>
      </c>
    </row>
    <row r="775" spans="1:21">
      <c r="A775" s="41">
        <v>2162</v>
      </c>
      <c r="B775" s="41" t="s">
        <v>3291</v>
      </c>
      <c r="D775" s="41">
        <v>5237</v>
      </c>
      <c r="E775" s="41" t="s">
        <v>1091</v>
      </c>
      <c r="F775" s="41" t="s">
        <v>53</v>
      </c>
      <c r="G775" s="41" t="s">
        <v>307</v>
      </c>
      <c r="I775" s="41" t="s">
        <v>1092</v>
      </c>
      <c r="J775" s="41" t="s">
        <v>672</v>
      </c>
      <c r="K775" s="42"/>
      <c r="L775" s="41" t="s">
        <v>3275</v>
      </c>
      <c r="M775" s="41">
        <v>12</v>
      </c>
      <c r="N775" s="41" t="s">
        <v>3276</v>
      </c>
      <c r="O775" s="41" t="s">
        <v>1925</v>
      </c>
      <c r="P775" s="41" t="s">
        <v>68</v>
      </c>
      <c r="Q775" s="41" t="s">
        <v>2884</v>
      </c>
      <c r="R775" s="41" t="s">
        <v>62</v>
      </c>
      <c r="S775" s="41" t="s">
        <v>3292</v>
      </c>
      <c r="T775" s="41" t="s">
        <v>210</v>
      </c>
      <c r="U775" s="41" t="s">
        <v>40</v>
      </c>
    </row>
    <row r="776" spans="1:21">
      <c r="A776" s="41">
        <v>2161</v>
      </c>
      <c r="B776" s="41" t="s">
        <v>3293</v>
      </c>
      <c r="D776" s="41">
        <v>5238</v>
      </c>
      <c r="E776" s="41" t="s">
        <v>1248</v>
      </c>
      <c r="F776" s="41" t="s">
        <v>53</v>
      </c>
      <c r="G776" s="41" t="s">
        <v>1071</v>
      </c>
      <c r="I776" s="41" t="s">
        <v>3083</v>
      </c>
      <c r="J776" s="41" t="s">
        <v>672</v>
      </c>
      <c r="K776" s="42"/>
      <c r="L776" s="41" t="s">
        <v>3294</v>
      </c>
      <c r="M776" s="41">
        <v>23</v>
      </c>
      <c r="N776" s="41" t="s">
        <v>3295</v>
      </c>
      <c r="O776" s="41" t="s">
        <v>3296</v>
      </c>
      <c r="P776" s="41" t="s">
        <v>83</v>
      </c>
      <c r="Q776" s="41" t="s">
        <v>3297</v>
      </c>
      <c r="R776" s="41" t="s">
        <v>132</v>
      </c>
      <c r="S776" s="41" t="s">
        <v>3298</v>
      </c>
      <c r="T776" s="41" t="s">
        <v>40</v>
      </c>
      <c r="U776" s="41" t="s">
        <v>40</v>
      </c>
    </row>
    <row r="777" spans="1:21">
      <c r="A777" s="41">
        <v>2160</v>
      </c>
      <c r="B777" s="41" t="s">
        <v>3299</v>
      </c>
      <c r="D777" s="41">
        <v>5239</v>
      </c>
      <c r="E777" s="41" t="s">
        <v>1248</v>
      </c>
      <c r="F777" s="41" t="s">
        <v>53</v>
      </c>
      <c r="G777" s="41" t="s">
        <v>1071</v>
      </c>
      <c r="I777" s="41" t="s">
        <v>1249</v>
      </c>
      <c r="J777" s="41" t="s">
        <v>672</v>
      </c>
      <c r="K777" s="42"/>
      <c r="L777" s="41" t="s">
        <v>3294</v>
      </c>
      <c r="M777" s="41">
        <v>23</v>
      </c>
      <c r="N777" s="41" t="s">
        <v>3300</v>
      </c>
      <c r="O777" s="41" t="s">
        <v>989</v>
      </c>
      <c r="P777" s="41" t="s">
        <v>83</v>
      </c>
      <c r="Q777" s="41" t="s">
        <v>3297</v>
      </c>
      <c r="R777" s="41" t="s">
        <v>132</v>
      </c>
      <c r="S777" s="41" t="s">
        <v>3298</v>
      </c>
      <c r="T777" s="41" t="s">
        <v>40</v>
      </c>
      <c r="U777" s="41" t="s">
        <v>40</v>
      </c>
    </row>
    <row r="778" spans="1:21">
      <c r="A778" s="41">
        <v>2159</v>
      </c>
      <c r="B778" s="41" t="s">
        <v>3301</v>
      </c>
      <c r="D778" s="41">
        <v>5203</v>
      </c>
      <c r="E778" s="41" t="s">
        <v>1724</v>
      </c>
      <c r="F778" s="41" t="s">
        <v>42</v>
      </c>
      <c r="G778" s="41" t="s">
        <v>141</v>
      </c>
      <c r="I778" s="41" t="s">
        <v>3302</v>
      </c>
      <c r="J778" s="41" t="s">
        <v>32</v>
      </c>
      <c r="K778" s="42"/>
      <c r="L778" s="41" t="s">
        <v>3303</v>
      </c>
      <c r="M778" s="41">
        <v>33</v>
      </c>
      <c r="N778" s="41" t="s">
        <v>3304</v>
      </c>
      <c r="O778" s="41" t="s">
        <v>36</v>
      </c>
      <c r="P778" s="41" t="s">
        <v>98</v>
      </c>
      <c r="Q778" s="41" t="s">
        <v>116</v>
      </c>
      <c r="R778" s="41" t="s">
        <v>39</v>
      </c>
      <c r="S778" s="41" t="s">
        <v>40</v>
      </c>
      <c r="T778" s="41" t="s">
        <v>313</v>
      </c>
      <c r="U778" s="41" t="s">
        <v>40</v>
      </c>
    </row>
    <row r="779" spans="1:21">
      <c r="A779" s="41">
        <v>2158</v>
      </c>
      <c r="B779" s="41" t="s">
        <v>3305</v>
      </c>
      <c r="D779" s="41">
        <v>5225</v>
      </c>
      <c r="E779" s="41" t="s">
        <v>3306</v>
      </c>
      <c r="F779" s="41" t="s">
        <v>28</v>
      </c>
      <c r="G779" s="41" t="s">
        <v>301</v>
      </c>
      <c r="I779" s="41" t="s">
        <v>231</v>
      </c>
      <c r="J779" s="41" t="s">
        <v>32</v>
      </c>
      <c r="K779" s="42"/>
      <c r="L779" s="41" t="s">
        <v>3307</v>
      </c>
      <c r="M779" s="41">
        <v>110</v>
      </c>
      <c r="N779" s="41" t="s">
        <v>1869</v>
      </c>
      <c r="O779" s="41" t="s">
        <v>178</v>
      </c>
      <c r="P779" s="41" t="s">
        <v>98</v>
      </c>
      <c r="Q779" s="41" t="s">
        <v>98</v>
      </c>
      <c r="R779" s="41" t="s">
        <v>39</v>
      </c>
      <c r="S779" s="41" t="s">
        <v>3308</v>
      </c>
      <c r="T779" s="41" t="s">
        <v>313</v>
      </c>
      <c r="U779" s="41" t="s">
        <v>40</v>
      </c>
    </row>
    <row r="780" spans="1:21">
      <c r="A780" s="41">
        <v>2157</v>
      </c>
      <c r="B780" s="41" t="s">
        <v>3309</v>
      </c>
      <c r="D780" s="41">
        <v>5224</v>
      </c>
      <c r="E780" s="41" t="s">
        <v>1091</v>
      </c>
      <c r="F780" s="41" t="s">
        <v>53</v>
      </c>
      <c r="G780" s="41" t="s">
        <v>307</v>
      </c>
      <c r="I780" s="41" t="s">
        <v>1092</v>
      </c>
      <c r="J780" s="41" t="s">
        <v>672</v>
      </c>
      <c r="K780" s="42"/>
      <c r="L780" s="41" t="s">
        <v>3310</v>
      </c>
      <c r="M780" s="41">
        <v>12</v>
      </c>
      <c r="N780" s="41" t="s">
        <v>3311</v>
      </c>
      <c r="O780" s="41" t="s">
        <v>1788</v>
      </c>
      <c r="P780" s="41" t="s">
        <v>68</v>
      </c>
      <c r="Q780" s="41" t="s">
        <v>2137</v>
      </c>
      <c r="R780" s="41" t="s">
        <v>132</v>
      </c>
      <c r="S780" s="41" t="s">
        <v>3312</v>
      </c>
      <c r="T780" s="41" t="s">
        <v>1773</v>
      </c>
      <c r="U780" s="41" t="s">
        <v>40</v>
      </c>
    </row>
    <row r="781" spans="1:21">
      <c r="A781" s="41">
        <v>2156</v>
      </c>
      <c r="B781" s="41" t="s">
        <v>3313</v>
      </c>
      <c r="D781" s="41">
        <v>5223</v>
      </c>
      <c r="E781" s="41" t="s">
        <v>1191</v>
      </c>
      <c r="F781" s="41" t="s">
        <v>53</v>
      </c>
      <c r="G781" s="41" t="s">
        <v>64</v>
      </c>
      <c r="I781" s="41" t="s">
        <v>338</v>
      </c>
      <c r="J781" s="41" t="s">
        <v>32</v>
      </c>
      <c r="K781" s="42"/>
      <c r="L781" s="41" t="s">
        <v>3314</v>
      </c>
      <c r="M781" s="41">
        <v>220</v>
      </c>
      <c r="N781" s="41" t="s">
        <v>1741</v>
      </c>
      <c r="O781" s="41" t="s">
        <v>1827</v>
      </c>
      <c r="P781" s="41" t="s">
        <v>172</v>
      </c>
      <c r="Q781" s="41" t="s">
        <v>1803</v>
      </c>
      <c r="R781" s="41" t="s">
        <v>62</v>
      </c>
      <c r="S781" s="41" t="s">
        <v>40</v>
      </c>
      <c r="T781" s="41" t="s">
        <v>40</v>
      </c>
      <c r="U781" s="41" t="s">
        <v>40</v>
      </c>
    </row>
    <row r="782" spans="1:21">
      <c r="A782" s="41">
        <v>2155</v>
      </c>
      <c r="B782" s="41" t="s">
        <v>3315</v>
      </c>
      <c r="D782" s="41">
        <v>5222</v>
      </c>
      <c r="E782" s="41" t="s">
        <v>1191</v>
      </c>
      <c r="F782" s="41" t="s">
        <v>53</v>
      </c>
      <c r="G782" s="41" t="s">
        <v>64</v>
      </c>
      <c r="I782" s="41" t="s">
        <v>338</v>
      </c>
      <c r="J782" s="41" t="s">
        <v>32</v>
      </c>
      <c r="K782" s="42"/>
      <c r="L782" s="41" t="s">
        <v>3314</v>
      </c>
      <c r="M782" s="41">
        <v>220</v>
      </c>
      <c r="N782" s="41" t="s">
        <v>1741</v>
      </c>
      <c r="O782" s="41" t="s">
        <v>2854</v>
      </c>
      <c r="P782" s="41" t="s">
        <v>172</v>
      </c>
      <c r="Q782" s="41" t="s">
        <v>1803</v>
      </c>
      <c r="R782" s="41" t="s">
        <v>62</v>
      </c>
      <c r="S782" s="41" t="s">
        <v>40</v>
      </c>
      <c r="T782" s="41" t="s">
        <v>40</v>
      </c>
      <c r="U782" s="41" t="s">
        <v>40</v>
      </c>
    </row>
    <row r="783" spans="1:21">
      <c r="A783" s="41">
        <v>2154</v>
      </c>
      <c r="B783" s="41" t="s">
        <v>3316</v>
      </c>
      <c r="D783" s="41">
        <v>5221</v>
      </c>
      <c r="E783" s="41" t="s">
        <v>1076</v>
      </c>
      <c r="F783" s="41" t="s">
        <v>42</v>
      </c>
      <c r="G783" s="41" t="s">
        <v>141</v>
      </c>
      <c r="I783" s="41" t="s">
        <v>231</v>
      </c>
      <c r="J783" s="41" t="s">
        <v>32</v>
      </c>
      <c r="K783" s="42"/>
      <c r="L783" s="41" t="s">
        <v>3317</v>
      </c>
      <c r="M783" s="41">
        <v>33</v>
      </c>
      <c r="N783" s="41" t="s">
        <v>67</v>
      </c>
      <c r="O783" s="41" t="s">
        <v>77</v>
      </c>
      <c r="P783" s="41" t="s">
        <v>334</v>
      </c>
      <c r="Q783" s="41" t="s">
        <v>2815</v>
      </c>
      <c r="R783" s="41" t="s">
        <v>39</v>
      </c>
      <c r="S783" s="41" t="s">
        <v>40</v>
      </c>
      <c r="T783" s="41" t="s">
        <v>1433</v>
      </c>
      <c r="U783" s="41" t="s">
        <v>40</v>
      </c>
    </row>
    <row r="784" spans="1:21">
      <c r="A784" s="41">
        <v>2153</v>
      </c>
      <c r="B784" s="41" t="s">
        <v>3318</v>
      </c>
      <c r="D784" s="41">
        <v>5226</v>
      </c>
      <c r="E784" s="41" t="s">
        <v>3089</v>
      </c>
      <c r="F784" s="41" t="s">
        <v>28</v>
      </c>
      <c r="G784" s="41" t="s">
        <v>64</v>
      </c>
      <c r="I784" s="41" t="s">
        <v>399</v>
      </c>
      <c r="J784" s="41" t="s">
        <v>32</v>
      </c>
      <c r="K784" s="42"/>
      <c r="L784" s="41" t="s">
        <v>3319</v>
      </c>
      <c r="M784" s="41">
        <v>23</v>
      </c>
      <c r="N784" s="41" t="s">
        <v>1052</v>
      </c>
      <c r="O784" s="41" t="s">
        <v>3296</v>
      </c>
      <c r="P784" s="41" t="s">
        <v>78</v>
      </c>
      <c r="Q784" s="41" t="s">
        <v>1065</v>
      </c>
      <c r="R784" s="41" t="s">
        <v>39</v>
      </c>
      <c r="S784" s="41" t="s">
        <v>40</v>
      </c>
      <c r="T784" s="41" t="s">
        <v>40</v>
      </c>
      <c r="U784" s="41" t="s">
        <v>40</v>
      </c>
    </row>
    <row r="785" spans="1:21">
      <c r="A785" s="41">
        <v>2151</v>
      </c>
      <c r="B785" s="41" t="s">
        <v>3320</v>
      </c>
      <c r="E785" s="41" t="s">
        <v>1161</v>
      </c>
      <c r="F785" s="41" t="s">
        <v>53</v>
      </c>
      <c r="G785" s="41" t="s">
        <v>43</v>
      </c>
      <c r="I785" s="41" t="s">
        <v>464</v>
      </c>
      <c r="J785" s="41" t="s">
        <v>295</v>
      </c>
      <c r="K785" s="42"/>
      <c r="L785" s="41" t="s">
        <v>3321</v>
      </c>
      <c r="M785" s="41">
        <v>12</v>
      </c>
      <c r="N785" s="41" t="s">
        <v>1908</v>
      </c>
      <c r="O785" s="41" t="s">
        <v>3281</v>
      </c>
      <c r="P785" s="41" t="s">
        <v>68</v>
      </c>
      <c r="Q785" s="41" t="s">
        <v>1165</v>
      </c>
      <c r="R785" s="41" t="s">
        <v>132</v>
      </c>
      <c r="S785" s="41" t="s">
        <v>40</v>
      </c>
      <c r="T785" s="41" t="s">
        <v>40</v>
      </c>
      <c r="U785" s="41" t="s">
        <v>40</v>
      </c>
    </row>
    <row r="786" spans="1:21">
      <c r="A786" s="41">
        <v>2150</v>
      </c>
      <c r="B786" s="41" t="s">
        <v>3322</v>
      </c>
      <c r="D786" s="41">
        <v>5220</v>
      </c>
      <c r="E786" s="41" t="s">
        <v>2639</v>
      </c>
      <c r="F786" s="41" t="s">
        <v>53</v>
      </c>
      <c r="G786" s="41" t="s">
        <v>64</v>
      </c>
      <c r="I786" s="41" t="s">
        <v>149</v>
      </c>
      <c r="J786" s="41" t="s">
        <v>32</v>
      </c>
      <c r="K786" s="42"/>
      <c r="L786" s="41" t="s">
        <v>3323</v>
      </c>
      <c r="M786" s="41">
        <v>23</v>
      </c>
      <c r="N786" s="41" t="s">
        <v>3324</v>
      </c>
      <c r="O786" s="41" t="s">
        <v>3325</v>
      </c>
      <c r="P786" s="41" t="s">
        <v>153</v>
      </c>
      <c r="Q786" s="41" t="s">
        <v>1280</v>
      </c>
      <c r="R786" s="41" t="s">
        <v>132</v>
      </c>
      <c r="S786" s="41" t="s">
        <v>40</v>
      </c>
      <c r="T786" s="41" t="s">
        <v>40</v>
      </c>
      <c r="U786" s="41" t="s">
        <v>40</v>
      </c>
    </row>
    <row r="787" spans="1:21">
      <c r="A787" s="41">
        <v>2149</v>
      </c>
      <c r="B787" s="41" t="s">
        <v>3326</v>
      </c>
      <c r="D787" s="41">
        <v>5219</v>
      </c>
      <c r="E787" s="41" t="s">
        <v>1227</v>
      </c>
      <c r="F787" s="41" t="s">
        <v>53</v>
      </c>
      <c r="G787" s="41" t="s">
        <v>54</v>
      </c>
      <c r="I787" s="41" t="s">
        <v>3327</v>
      </c>
      <c r="J787" s="41" t="s">
        <v>32</v>
      </c>
      <c r="K787" s="42"/>
      <c r="L787" s="41" t="s">
        <v>3328</v>
      </c>
      <c r="M787" s="41">
        <v>110</v>
      </c>
      <c r="N787" s="41" t="s">
        <v>395</v>
      </c>
      <c r="O787" s="41" t="s">
        <v>1799</v>
      </c>
      <c r="P787" s="41" t="s">
        <v>172</v>
      </c>
      <c r="Q787" s="41" t="s">
        <v>3329</v>
      </c>
      <c r="R787" s="41" t="s">
        <v>132</v>
      </c>
      <c r="S787" s="41" t="s">
        <v>40</v>
      </c>
      <c r="T787" s="41" t="s">
        <v>40</v>
      </c>
      <c r="U787" s="41" t="s">
        <v>40</v>
      </c>
    </row>
    <row r="788" spans="1:21">
      <c r="A788" s="41">
        <v>2148</v>
      </c>
      <c r="B788" s="41" t="s">
        <v>3330</v>
      </c>
      <c r="D788" s="41">
        <v>5218</v>
      </c>
      <c r="E788" s="41" t="s">
        <v>1248</v>
      </c>
      <c r="F788" s="41" t="s">
        <v>53</v>
      </c>
      <c r="G788" s="41" t="s">
        <v>1071</v>
      </c>
      <c r="I788" s="41" t="s">
        <v>3331</v>
      </c>
      <c r="J788" s="41" t="s">
        <v>672</v>
      </c>
      <c r="K788" s="42"/>
      <c r="L788" s="41" t="s">
        <v>3332</v>
      </c>
      <c r="M788" s="41">
        <v>23</v>
      </c>
      <c r="N788" s="41" t="s">
        <v>2517</v>
      </c>
      <c r="O788" s="41" t="s">
        <v>989</v>
      </c>
      <c r="P788" s="41" t="s">
        <v>83</v>
      </c>
      <c r="Q788" s="41" t="s">
        <v>84</v>
      </c>
      <c r="R788" s="41" t="s">
        <v>132</v>
      </c>
      <c r="S788" s="41" t="s">
        <v>40</v>
      </c>
      <c r="T788" s="41" t="s">
        <v>40</v>
      </c>
      <c r="U788" s="41" t="s">
        <v>40</v>
      </c>
    </row>
    <row r="789" spans="1:21">
      <c r="A789" s="41">
        <v>2147</v>
      </c>
      <c r="B789" s="41" t="s">
        <v>3333</v>
      </c>
      <c r="D789" s="41">
        <v>5202</v>
      </c>
      <c r="E789" s="41" t="s">
        <v>3334</v>
      </c>
      <c r="F789" s="41" t="s">
        <v>53</v>
      </c>
      <c r="G789" s="41" t="s">
        <v>64</v>
      </c>
      <c r="I789" s="41" t="s">
        <v>999</v>
      </c>
      <c r="J789" s="41" t="s">
        <v>672</v>
      </c>
      <c r="K789" s="42"/>
      <c r="L789" s="41" t="s">
        <v>3261</v>
      </c>
      <c r="M789" s="41">
        <v>12</v>
      </c>
      <c r="N789" s="41" t="s">
        <v>340</v>
      </c>
      <c r="O789" s="41" t="s">
        <v>3335</v>
      </c>
      <c r="P789" s="41" t="s">
        <v>68</v>
      </c>
      <c r="Q789" s="41" t="s">
        <v>184</v>
      </c>
      <c r="R789" s="41" t="s">
        <v>132</v>
      </c>
      <c r="S789" s="41" t="s">
        <v>40</v>
      </c>
      <c r="T789" s="41" t="s">
        <v>40</v>
      </c>
      <c r="U789" s="41" t="s">
        <v>40</v>
      </c>
    </row>
    <row r="790" spans="1:21">
      <c r="A790" s="41">
        <v>2146</v>
      </c>
      <c r="B790" s="41" t="s">
        <v>3336</v>
      </c>
      <c r="D790" s="41">
        <v>5201</v>
      </c>
      <c r="E790" s="41" t="s">
        <v>1617</v>
      </c>
      <c r="F790" s="41" t="s">
        <v>53</v>
      </c>
      <c r="G790" s="41" t="s">
        <v>141</v>
      </c>
      <c r="I790" s="41" t="s">
        <v>231</v>
      </c>
      <c r="J790" s="41" t="s">
        <v>32</v>
      </c>
      <c r="K790" s="42"/>
      <c r="L790" s="41" t="s">
        <v>3337</v>
      </c>
      <c r="M790" s="41">
        <v>66</v>
      </c>
      <c r="N790" s="41" t="s">
        <v>67</v>
      </c>
      <c r="O790" s="41" t="s">
        <v>2721</v>
      </c>
      <c r="P790" s="41" t="s">
        <v>546</v>
      </c>
      <c r="Q790" s="41" t="s">
        <v>2100</v>
      </c>
      <c r="R790" s="41" t="s">
        <v>62</v>
      </c>
      <c r="S790" s="41" t="s">
        <v>3338</v>
      </c>
      <c r="T790" s="41" t="s">
        <v>146</v>
      </c>
      <c r="U790" s="41" t="s">
        <v>40</v>
      </c>
    </row>
    <row r="791" spans="1:21">
      <c r="A791" s="41">
        <v>2145</v>
      </c>
      <c r="B791" s="41" t="s">
        <v>3210</v>
      </c>
      <c r="D791" s="41">
        <v>5200</v>
      </c>
      <c r="E791" s="41" t="s">
        <v>3211</v>
      </c>
      <c r="F791" s="41" t="s">
        <v>42</v>
      </c>
      <c r="G791" s="41" t="s">
        <v>1175</v>
      </c>
      <c r="I791" s="41" t="s">
        <v>464</v>
      </c>
      <c r="J791" s="41" t="s">
        <v>32</v>
      </c>
      <c r="K791" s="42"/>
      <c r="L791" s="41" t="s">
        <v>3339</v>
      </c>
      <c r="M791" s="41">
        <v>33</v>
      </c>
      <c r="N791" s="41" t="s">
        <v>3340</v>
      </c>
      <c r="O791" s="41" t="s">
        <v>3341</v>
      </c>
      <c r="P791" s="41" t="s">
        <v>153</v>
      </c>
      <c r="Q791" s="41" t="s">
        <v>329</v>
      </c>
      <c r="R791" s="41" t="s">
        <v>39</v>
      </c>
      <c r="S791" s="41" t="s">
        <v>40</v>
      </c>
      <c r="T791" s="41" t="s">
        <v>40</v>
      </c>
      <c r="U791" s="41" t="s">
        <v>40</v>
      </c>
    </row>
    <row r="792" spans="1:21">
      <c r="A792" s="41">
        <v>2144</v>
      </c>
      <c r="B792" s="41" t="s">
        <v>3342</v>
      </c>
      <c r="D792" s="41">
        <v>5199</v>
      </c>
      <c r="E792" s="41" t="s">
        <v>2487</v>
      </c>
      <c r="F792" s="41" t="s">
        <v>53</v>
      </c>
      <c r="G792" s="41" t="s">
        <v>141</v>
      </c>
      <c r="I792" s="41" t="s">
        <v>162</v>
      </c>
      <c r="J792" s="41" t="s">
        <v>32</v>
      </c>
      <c r="K792" s="42"/>
      <c r="L792" s="41" t="s">
        <v>3343</v>
      </c>
      <c r="M792" s="41">
        <v>154</v>
      </c>
      <c r="N792" s="41" t="s">
        <v>395</v>
      </c>
      <c r="O792" s="41" t="s">
        <v>3131</v>
      </c>
      <c r="P792" s="41" t="s">
        <v>172</v>
      </c>
      <c r="Q792" s="41" t="s">
        <v>1011</v>
      </c>
      <c r="R792" s="41" t="s">
        <v>132</v>
      </c>
      <c r="S792" s="41" t="s">
        <v>3344</v>
      </c>
      <c r="T792" s="41" t="s">
        <v>3157</v>
      </c>
      <c r="U792" s="41" t="s">
        <v>40</v>
      </c>
    </row>
    <row r="793" spans="1:21">
      <c r="A793" s="41">
        <v>2143</v>
      </c>
      <c r="B793" s="41" t="s">
        <v>3345</v>
      </c>
      <c r="D793" s="41">
        <v>5198</v>
      </c>
      <c r="E793" s="41" t="s">
        <v>987</v>
      </c>
      <c r="F793" s="41" t="s">
        <v>53</v>
      </c>
      <c r="G793" s="41" t="s">
        <v>141</v>
      </c>
      <c r="I793" s="41" t="s">
        <v>149</v>
      </c>
      <c r="J793" s="41" t="s">
        <v>32</v>
      </c>
      <c r="K793" s="42"/>
      <c r="L793" s="41" t="s">
        <v>3346</v>
      </c>
      <c r="M793" s="41">
        <v>66</v>
      </c>
      <c r="N793" s="41" t="s">
        <v>979</v>
      </c>
      <c r="O793" s="41" t="s">
        <v>482</v>
      </c>
      <c r="P793" s="41" t="s">
        <v>382</v>
      </c>
      <c r="Q793" s="41" t="s">
        <v>3148</v>
      </c>
      <c r="R793" s="41" t="s">
        <v>132</v>
      </c>
      <c r="S793" s="41" t="s">
        <v>3347</v>
      </c>
      <c r="T793" s="41" t="s">
        <v>165</v>
      </c>
      <c r="U793" s="41" t="s">
        <v>40</v>
      </c>
    </row>
    <row r="794" spans="1:21">
      <c r="A794" s="41">
        <v>2142</v>
      </c>
      <c r="B794" s="41" t="s">
        <v>3348</v>
      </c>
      <c r="D794" s="41">
        <v>5197</v>
      </c>
      <c r="E794" s="41" t="s">
        <v>987</v>
      </c>
      <c r="F794" s="41" t="s">
        <v>53</v>
      </c>
      <c r="G794" s="41" t="s">
        <v>141</v>
      </c>
      <c r="I794" s="41" t="s">
        <v>149</v>
      </c>
      <c r="J794" s="41" t="s">
        <v>32</v>
      </c>
      <c r="K794" s="42"/>
      <c r="L794" s="41" t="s">
        <v>3349</v>
      </c>
      <c r="M794" s="41">
        <v>66</v>
      </c>
      <c r="N794" s="41" t="s">
        <v>67</v>
      </c>
      <c r="O794" s="41" t="s">
        <v>388</v>
      </c>
      <c r="P794" s="41" t="s">
        <v>1046</v>
      </c>
      <c r="Q794" s="41" t="s">
        <v>3350</v>
      </c>
      <c r="R794" s="41" t="s">
        <v>132</v>
      </c>
      <c r="S794" s="41" t="s">
        <v>3351</v>
      </c>
      <c r="T794" s="41" t="s">
        <v>2539</v>
      </c>
      <c r="U794" s="41" t="s">
        <v>40</v>
      </c>
    </row>
    <row r="795" spans="1:21">
      <c r="A795" s="41">
        <v>2141</v>
      </c>
      <c r="B795" s="41" t="s">
        <v>3352</v>
      </c>
      <c r="D795" s="41">
        <v>5196</v>
      </c>
      <c r="E795" s="41" t="s">
        <v>987</v>
      </c>
      <c r="F795" s="41" t="s">
        <v>53</v>
      </c>
      <c r="G795" s="41" t="s">
        <v>64</v>
      </c>
      <c r="I795" s="41" t="s">
        <v>149</v>
      </c>
      <c r="J795" s="41" t="s">
        <v>32</v>
      </c>
      <c r="K795" s="42"/>
      <c r="L795" s="41" t="s">
        <v>2776</v>
      </c>
      <c r="M795" s="41">
        <v>66</v>
      </c>
      <c r="N795" s="41" t="s">
        <v>67</v>
      </c>
      <c r="O795" s="41" t="s">
        <v>482</v>
      </c>
      <c r="P795" s="41" t="s">
        <v>1046</v>
      </c>
      <c r="Q795" s="41" t="s">
        <v>1110</v>
      </c>
      <c r="R795" s="41" t="s">
        <v>132</v>
      </c>
      <c r="S795" s="41" t="s">
        <v>40</v>
      </c>
      <c r="T795" s="41" t="s">
        <v>40</v>
      </c>
      <c r="U795" s="41" t="s">
        <v>40</v>
      </c>
    </row>
    <row r="796" spans="1:21">
      <c r="A796" s="41">
        <v>2140</v>
      </c>
      <c r="B796" s="41" t="s">
        <v>3353</v>
      </c>
      <c r="D796" s="41">
        <v>5195</v>
      </c>
      <c r="E796" s="41" t="s">
        <v>987</v>
      </c>
      <c r="F796" s="41" t="s">
        <v>53</v>
      </c>
      <c r="G796" s="41" t="s">
        <v>141</v>
      </c>
      <c r="I796" s="41" t="s">
        <v>149</v>
      </c>
      <c r="J796" s="41" t="s">
        <v>32</v>
      </c>
      <c r="K796" s="42"/>
      <c r="L796" s="41" t="s">
        <v>3354</v>
      </c>
      <c r="M796" s="41">
        <v>66</v>
      </c>
      <c r="N796" s="41" t="s">
        <v>67</v>
      </c>
      <c r="O796" s="41" t="s">
        <v>1151</v>
      </c>
      <c r="P796" s="41" t="s">
        <v>37</v>
      </c>
      <c r="Q796" s="41" t="s">
        <v>3355</v>
      </c>
      <c r="R796" s="41" t="s">
        <v>132</v>
      </c>
      <c r="S796" s="41" t="s">
        <v>3356</v>
      </c>
      <c r="T796" s="41" t="s">
        <v>165</v>
      </c>
      <c r="U796" s="41" t="s">
        <v>40</v>
      </c>
    </row>
    <row r="797" spans="1:21">
      <c r="A797" s="41">
        <v>2139</v>
      </c>
      <c r="B797" s="41" t="s">
        <v>3357</v>
      </c>
      <c r="D797" s="41">
        <v>5194</v>
      </c>
      <c r="E797" s="41" t="s">
        <v>2415</v>
      </c>
      <c r="F797" s="41" t="s">
        <v>53</v>
      </c>
      <c r="G797" s="41" t="s">
        <v>141</v>
      </c>
      <c r="I797" s="41" t="s">
        <v>56</v>
      </c>
      <c r="J797" s="41" t="s">
        <v>32</v>
      </c>
      <c r="K797" s="42"/>
      <c r="L797" s="41" t="s">
        <v>3358</v>
      </c>
      <c r="M797" s="41">
        <v>110</v>
      </c>
      <c r="N797" s="41" t="s">
        <v>3359</v>
      </c>
      <c r="O797" s="41" t="s">
        <v>747</v>
      </c>
      <c r="P797" s="41" t="s">
        <v>78</v>
      </c>
      <c r="Q797" s="41" t="s">
        <v>1065</v>
      </c>
      <c r="R797" s="41" t="s">
        <v>132</v>
      </c>
      <c r="S797" s="41" t="s">
        <v>3360</v>
      </c>
      <c r="T797" s="41" t="s">
        <v>1699</v>
      </c>
      <c r="U797" s="41" t="s">
        <v>40</v>
      </c>
    </row>
    <row r="798" spans="1:21">
      <c r="A798" s="41">
        <v>2138</v>
      </c>
      <c r="B798" s="41" t="s">
        <v>3361</v>
      </c>
      <c r="D798" s="41">
        <v>5193</v>
      </c>
      <c r="E798" s="41" t="s">
        <v>3362</v>
      </c>
      <c r="F798" s="41" t="s">
        <v>28</v>
      </c>
      <c r="G798" s="41" t="s">
        <v>1162</v>
      </c>
      <c r="I798" s="41" t="s">
        <v>1480</v>
      </c>
      <c r="J798" s="41" t="s">
        <v>380</v>
      </c>
      <c r="K798" s="42"/>
      <c r="L798" s="41" t="s">
        <v>3363</v>
      </c>
      <c r="M798" s="41">
        <v>220</v>
      </c>
      <c r="N798" s="41" t="s">
        <v>67</v>
      </c>
      <c r="O798" s="41" t="s">
        <v>36</v>
      </c>
      <c r="P798" s="41" t="s">
        <v>37</v>
      </c>
      <c r="Q798" s="41" t="s">
        <v>38</v>
      </c>
      <c r="R798" s="41" t="s">
        <v>39</v>
      </c>
      <c r="S798" s="41" t="s">
        <v>40</v>
      </c>
      <c r="T798" s="41" t="s">
        <v>40</v>
      </c>
      <c r="U798" s="41" t="s">
        <v>40</v>
      </c>
    </row>
    <row r="799" spans="1:21">
      <c r="A799" s="41">
        <v>2137</v>
      </c>
      <c r="B799" s="41" t="s">
        <v>3364</v>
      </c>
      <c r="D799" s="41">
        <v>5192</v>
      </c>
      <c r="E799" s="41" t="s">
        <v>3365</v>
      </c>
      <c r="F799" s="41" t="s">
        <v>53</v>
      </c>
      <c r="G799" s="41" t="s">
        <v>64</v>
      </c>
      <c r="I799" s="41" t="s">
        <v>3366</v>
      </c>
      <c r="J799" s="41" t="s">
        <v>380</v>
      </c>
      <c r="K799" s="42"/>
      <c r="L799" s="41" t="s">
        <v>3367</v>
      </c>
      <c r="M799" s="41">
        <v>220</v>
      </c>
      <c r="N799" s="41" t="s">
        <v>805</v>
      </c>
      <c r="O799" s="41" t="s">
        <v>3204</v>
      </c>
      <c r="P799" s="41" t="s">
        <v>83</v>
      </c>
      <c r="Q799" s="41" t="s">
        <v>2000</v>
      </c>
      <c r="R799" s="41" t="s">
        <v>62</v>
      </c>
      <c r="S799" s="41" t="s">
        <v>40</v>
      </c>
      <c r="T799" s="41" t="s">
        <v>40</v>
      </c>
      <c r="U799" s="41" t="s">
        <v>40</v>
      </c>
    </row>
    <row r="800" spans="1:21">
      <c r="A800" s="41">
        <v>2136</v>
      </c>
      <c r="B800" s="41" t="s">
        <v>3368</v>
      </c>
      <c r="D800" s="41">
        <v>5191</v>
      </c>
      <c r="E800" s="41" t="s">
        <v>2415</v>
      </c>
      <c r="F800" s="41" t="s">
        <v>53</v>
      </c>
      <c r="G800" s="41" t="s">
        <v>141</v>
      </c>
      <c r="I800" s="41" t="s">
        <v>194</v>
      </c>
      <c r="J800" s="41" t="s">
        <v>32</v>
      </c>
      <c r="K800" s="42"/>
      <c r="L800" s="41" t="s">
        <v>3369</v>
      </c>
      <c r="M800" s="41">
        <v>13</v>
      </c>
      <c r="N800" s="41" t="s">
        <v>3370</v>
      </c>
      <c r="O800" s="41" t="s">
        <v>663</v>
      </c>
      <c r="P800" s="41" t="s">
        <v>60</v>
      </c>
      <c r="Q800" s="41" t="s">
        <v>1348</v>
      </c>
      <c r="R800" s="41" t="s">
        <v>132</v>
      </c>
      <c r="S800" s="41" t="s">
        <v>3371</v>
      </c>
      <c r="T800" s="41" t="s">
        <v>1894</v>
      </c>
      <c r="U800" s="41" t="s">
        <v>40</v>
      </c>
    </row>
    <row r="801" spans="1:21">
      <c r="A801" s="41">
        <v>2135</v>
      </c>
      <c r="B801" s="41" t="s">
        <v>3372</v>
      </c>
      <c r="D801" s="41">
        <v>5027</v>
      </c>
      <c r="E801" s="41" t="s">
        <v>1227</v>
      </c>
      <c r="F801" s="41" t="s">
        <v>28</v>
      </c>
      <c r="G801" s="41" t="s">
        <v>301</v>
      </c>
      <c r="I801" s="41" t="s">
        <v>1425</v>
      </c>
      <c r="J801" s="41" t="s">
        <v>32</v>
      </c>
      <c r="K801" s="42"/>
      <c r="L801" s="41" t="s">
        <v>3373</v>
      </c>
      <c r="M801" s="41">
        <v>220</v>
      </c>
      <c r="N801" s="41" t="s">
        <v>719</v>
      </c>
      <c r="O801" s="41" t="s">
        <v>3374</v>
      </c>
      <c r="P801" s="41" t="s">
        <v>98</v>
      </c>
      <c r="Q801" s="41" t="s">
        <v>370</v>
      </c>
      <c r="R801" s="41" t="s">
        <v>39</v>
      </c>
      <c r="S801" s="41" t="s">
        <v>3375</v>
      </c>
      <c r="T801" s="41" t="s">
        <v>2101</v>
      </c>
      <c r="U801" s="41" t="s">
        <v>40</v>
      </c>
    </row>
    <row r="802" spans="1:21">
      <c r="A802" s="41">
        <v>2134</v>
      </c>
      <c r="B802" s="41" t="s">
        <v>2369</v>
      </c>
      <c r="D802" s="41">
        <v>5183</v>
      </c>
      <c r="E802" s="41" t="s">
        <v>2370</v>
      </c>
      <c r="F802" s="41" t="s">
        <v>42</v>
      </c>
      <c r="G802" s="41" t="s">
        <v>43</v>
      </c>
      <c r="I802" s="41" t="s">
        <v>966</v>
      </c>
      <c r="J802" s="41" t="s">
        <v>32</v>
      </c>
      <c r="K802" s="42"/>
      <c r="L802" s="41" t="s">
        <v>2371</v>
      </c>
      <c r="M802" s="41">
        <v>22</v>
      </c>
      <c r="N802" s="41" t="s">
        <v>59</v>
      </c>
      <c r="O802" s="41" t="s">
        <v>311</v>
      </c>
      <c r="P802" s="41" t="s">
        <v>68</v>
      </c>
      <c r="Q802" s="41" t="s">
        <v>699</v>
      </c>
      <c r="R802" s="41" t="s">
        <v>39</v>
      </c>
      <c r="S802" s="41" t="s">
        <v>40</v>
      </c>
      <c r="T802" s="41" t="s">
        <v>40</v>
      </c>
      <c r="U802" s="41" t="s">
        <v>40</v>
      </c>
    </row>
    <row r="803" spans="1:21">
      <c r="A803" s="41">
        <v>2133</v>
      </c>
      <c r="B803" s="41" t="s">
        <v>1452</v>
      </c>
      <c r="D803" s="41">
        <v>5188</v>
      </c>
      <c r="E803" s="41" t="s">
        <v>3376</v>
      </c>
      <c r="F803" s="41" t="s">
        <v>42</v>
      </c>
      <c r="G803" s="41" t="s">
        <v>1175</v>
      </c>
      <c r="I803" s="41" t="s">
        <v>464</v>
      </c>
      <c r="J803" s="41" t="s">
        <v>32</v>
      </c>
      <c r="K803" s="42"/>
      <c r="L803" s="41" t="s">
        <v>3377</v>
      </c>
      <c r="M803" s="41">
        <v>66</v>
      </c>
      <c r="N803" s="41" t="s">
        <v>67</v>
      </c>
      <c r="O803" s="41" t="s">
        <v>1194</v>
      </c>
      <c r="P803" s="41" t="s">
        <v>50</v>
      </c>
      <c r="Q803" s="41" t="s">
        <v>51</v>
      </c>
      <c r="R803" s="41" t="s">
        <v>39</v>
      </c>
      <c r="S803" s="41" t="s">
        <v>40</v>
      </c>
      <c r="T803" s="41" t="s">
        <v>40</v>
      </c>
      <c r="U803" s="41" t="s">
        <v>40</v>
      </c>
    </row>
    <row r="804" spans="1:21">
      <c r="A804" s="41">
        <v>2132</v>
      </c>
      <c r="B804" s="41" t="s">
        <v>3378</v>
      </c>
      <c r="D804" s="41">
        <v>5187</v>
      </c>
      <c r="E804" s="41" t="s">
        <v>3379</v>
      </c>
      <c r="F804" s="41" t="s">
        <v>53</v>
      </c>
      <c r="G804" s="41" t="s">
        <v>64</v>
      </c>
      <c r="I804" s="41" t="s">
        <v>411</v>
      </c>
      <c r="J804" s="41" t="s">
        <v>32</v>
      </c>
      <c r="K804" s="42"/>
      <c r="L804" s="41" t="s">
        <v>3380</v>
      </c>
      <c r="M804" s="41">
        <v>66</v>
      </c>
      <c r="N804" s="41" t="s">
        <v>67</v>
      </c>
      <c r="O804" s="41" t="s">
        <v>2721</v>
      </c>
      <c r="P804" s="41" t="s">
        <v>172</v>
      </c>
      <c r="Q804" s="41" t="s">
        <v>173</v>
      </c>
      <c r="R804" s="41" t="s">
        <v>132</v>
      </c>
      <c r="S804" s="41" t="s">
        <v>40</v>
      </c>
      <c r="T804" s="41" t="s">
        <v>40</v>
      </c>
      <c r="U804" s="41" t="s">
        <v>40</v>
      </c>
    </row>
    <row r="805" spans="1:21">
      <c r="A805" s="41">
        <v>2131</v>
      </c>
      <c r="B805" s="41" t="s">
        <v>3381</v>
      </c>
      <c r="D805" s="41">
        <v>5182</v>
      </c>
      <c r="E805" s="41" t="s">
        <v>1475</v>
      </c>
      <c r="F805" s="41" t="s">
        <v>53</v>
      </c>
      <c r="G805" s="41" t="s">
        <v>141</v>
      </c>
      <c r="I805" s="41" t="s">
        <v>56</v>
      </c>
      <c r="J805" s="41" t="s">
        <v>32</v>
      </c>
      <c r="K805" s="42"/>
      <c r="L805" s="41" t="s">
        <v>3382</v>
      </c>
      <c r="M805" s="41">
        <v>110</v>
      </c>
      <c r="N805" s="41" t="s">
        <v>3383</v>
      </c>
      <c r="O805" s="41" t="s">
        <v>1799</v>
      </c>
      <c r="P805" s="41" t="s">
        <v>179</v>
      </c>
      <c r="Q805" s="41" t="s">
        <v>524</v>
      </c>
      <c r="R805" s="41" t="s">
        <v>132</v>
      </c>
      <c r="S805" s="41" t="s">
        <v>3384</v>
      </c>
      <c r="T805" s="41" t="s">
        <v>779</v>
      </c>
      <c r="U805" s="41" t="s">
        <v>40</v>
      </c>
    </row>
    <row r="806" spans="1:21">
      <c r="A806" s="41">
        <v>2130</v>
      </c>
      <c r="B806" s="41" t="s">
        <v>3385</v>
      </c>
      <c r="E806" s="41" t="s">
        <v>3379</v>
      </c>
      <c r="F806" s="41" t="s">
        <v>53</v>
      </c>
      <c r="G806" s="41" t="s">
        <v>64</v>
      </c>
      <c r="I806" s="41" t="s">
        <v>231</v>
      </c>
      <c r="J806" s="41" t="s">
        <v>32</v>
      </c>
      <c r="K806" s="42"/>
      <c r="L806" s="41" t="s">
        <v>2826</v>
      </c>
      <c r="M806" s="41">
        <v>44</v>
      </c>
      <c r="N806" s="41" t="s">
        <v>1241</v>
      </c>
      <c r="O806" s="41" t="s">
        <v>663</v>
      </c>
      <c r="P806" s="41" t="s">
        <v>68</v>
      </c>
      <c r="Q806" s="41" t="s">
        <v>1156</v>
      </c>
      <c r="R806" s="41" t="s">
        <v>132</v>
      </c>
      <c r="S806" s="41" t="s">
        <v>40</v>
      </c>
      <c r="T806" s="41" t="s">
        <v>40</v>
      </c>
      <c r="U806" s="41" t="s">
        <v>40</v>
      </c>
    </row>
    <row r="807" spans="1:21">
      <c r="A807" s="41">
        <v>2128</v>
      </c>
      <c r="B807" s="41" t="s">
        <v>3386</v>
      </c>
      <c r="D807" s="41">
        <v>5184</v>
      </c>
      <c r="E807" s="41" t="s">
        <v>3387</v>
      </c>
      <c r="F807" s="41" t="s">
        <v>53</v>
      </c>
      <c r="G807" s="41" t="s">
        <v>43</v>
      </c>
      <c r="I807" s="41" t="s">
        <v>1168</v>
      </c>
      <c r="J807" s="41" t="s">
        <v>380</v>
      </c>
      <c r="K807" s="42"/>
      <c r="L807" s="41" t="s">
        <v>3388</v>
      </c>
      <c r="M807" s="41">
        <v>220</v>
      </c>
      <c r="N807" s="41" t="s">
        <v>1653</v>
      </c>
      <c r="O807" s="41" t="s">
        <v>1834</v>
      </c>
      <c r="P807" s="41" t="s">
        <v>1046</v>
      </c>
      <c r="Q807" s="41" t="s">
        <v>3389</v>
      </c>
      <c r="R807" s="41" t="s">
        <v>62</v>
      </c>
      <c r="S807" s="41" t="s">
        <v>40</v>
      </c>
      <c r="T807" s="41" t="s">
        <v>40</v>
      </c>
      <c r="U807" s="41" t="s">
        <v>40</v>
      </c>
    </row>
    <row r="808" spans="1:21">
      <c r="A808" s="41">
        <v>2127</v>
      </c>
      <c r="B808" s="41" t="s">
        <v>3390</v>
      </c>
      <c r="D808" s="41">
        <v>5181</v>
      </c>
      <c r="E808" s="41" t="s">
        <v>1248</v>
      </c>
      <c r="F808" s="41" t="s">
        <v>53</v>
      </c>
      <c r="G808" s="41" t="s">
        <v>1071</v>
      </c>
      <c r="I808" s="41" t="s">
        <v>2477</v>
      </c>
      <c r="J808" s="41" t="s">
        <v>672</v>
      </c>
      <c r="K808" s="42"/>
      <c r="L808" s="41" t="s">
        <v>3391</v>
      </c>
      <c r="M808" s="41">
        <v>23</v>
      </c>
      <c r="N808" s="41" t="s">
        <v>2517</v>
      </c>
      <c r="O808" s="41" t="s">
        <v>565</v>
      </c>
      <c r="P808" s="41" t="s">
        <v>382</v>
      </c>
      <c r="Q808" s="41" t="s">
        <v>383</v>
      </c>
      <c r="R808" s="41" t="s">
        <v>132</v>
      </c>
      <c r="S808" s="41" t="s">
        <v>40</v>
      </c>
      <c r="T808" s="41" t="s">
        <v>40</v>
      </c>
      <c r="U808" s="41" t="s">
        <v>40</v>
      </c>
    </row>
    <row r="809" spans="1:21">
      <c r="A809" s="41">
        <v>2126</v>
      </c>
      <c r="B809" s="41" t="s">
        <v>3392</v>
      </c>
      <c r="D809" s="41">
        <v>5180</v>
      </c>
      <c r="E809" s="41" t="s">
        <v>1136</v>
      </c>
      <c r="F809" s="41" t="s">
        <v>53</v>
      </c>
      <c r="G809" s="41" t="s">
        <v>141</v>
      </c>
      <c r="I809" s="41" t="s">
        <v>3393</v>
      </c>
      <c r="J809" s="41" t="s">
        <v>32</v>
      </c>
      <c r="K809" s="42"/>
      <c r="L809" s="41" t="s">
        <v>3394</v>
      </c>
      <c r="M809" s="41">
        <v>154</v>
      </c>
      <c r="N809" s="41" t="s">
        <v>1335</v>
      </c>
      <c r="O809" s="41" t="s">
        <v>1615</v>
      </c>
      <c r="P809" s="41" t="s">
        <v>334</v>
      </c>
      <c r="Q809" s="41" t="s">
        <v>1591</v>
      </c>
      <c r="R809" s="41" t="s">
        <v>132</v>
      </c>
      <c r="S809" s="41" t="s">
        <v>3395</v>
      </c>
      <c r="T809" s="41" t="s">
        <v>779</v>
      </c>
      <c r="U809" s="41" t="s">
        <v>40</v>
      </c>
    </row>
    <row r="810" spans="1:21">
      <c r="A810" s="41">
        <v>2122</v>
      </c>
      <c r="B810" s="41" t="s">
        <v>3396</v>
      </c>
      <c r="D810" s="41">
        <v>5179</v>
      </c>
      <c r="E810" s="41" t="s">
        <v>1921</v>
      </c>
      <c r="F810" s="41" t="s">
        <v>53</v>
      </c>
      <c r="G810" s="41" t="s">
        <v>64</v>
      </c>
      <c r="I810" s="41" t="s">
        <v>56</v>
      </c>
      <c r="J810" s="41" t="s">
        <v>380</v>
      </c>
      <c r="K810" s="42"/>
      <c r="L810" s="41" t="s">
        <v>3397</v>
      </c>
      <c r="M810" s="41">
        <v>66</v>
      </c>
      <c r="N810" s="41" t="s">
        <v>1908</v>
      </c>
      <c r="O810" s="41" t="s">
        <v>3398</v>
      </c>
      <c r="P810" s="41" t="s">
        <v>83</v>
      </c>
      <c r="Q810" s="41" t="s">
        <v>467</v>
      </c>
      <c r="R810" s="41" t="s">
        <v>132</v>
      </c>
      <c r="S810" s="41" t="s">
        <v>40</v>
      </c>
      <c r="T810" s="41" t="s">
        <v>40</v>
      </c>
      <c r="U810" s="41" t="s">
        <v>40</v>
      </c>
    </row>
    <row r="811" spans="1:21">
      <c r="A811" s="41">
        <v>2121</v>
      </c>
      <c r="B811" s="41" t="s">
        <v>3190</v>
      </c>
      <c r="D811" s="41">
        <v>5172</v>
      </c>
      <c r="E811" s="41" t="s">
        <v>1286</v>
      </c>
      <c r="F811" s="41" t="s">
        <v>42</v>
      </c>
      <c r="G811" s="41" t="s">
        <v>1175</v>
      </c>
      <c r="I811" s="41" t="s">
        <v>3165</v>
      </c>
      <c r="J811" s="41" t="s">
        <v>32</v>
      </c>
      <c r="K811" s="42"/>
      <c r="L811" s="41" t="s">
        <v>3166</v>
      </c>
      <c r="M811" s="41">
        <v>23</v>
      </c>
      <c r="N811" s="41" t="s">
        <v>1288</v>
      </c>
      <c r="O811" s="41" t="s">
        <v>3167</v>
      </c>
      <c r="P811" s="41" t="s">
        <v>98</v>
      </c>
      <c r="Q811" s="41" t="s">
        <v>569</v>
      </c>
      <c r="R811" s="41" t="s">
        <v>39</v>
      </c>
      <c r="S811" s="41" t="s">
        <v>40</v>
      </c>
      <c r="T811" s="41" t="s">
        <v>40</v>
      </c>
      <c r="U811" s="41" t="s">
        <v>40</v>
      </c>
    </row>
    <row r="812" spans="1:21">
      <c r="A812" s="41">
        <v>2120</v>
      </c>
      <c r="B812" s="41" t="s">
        <v>3197</v>
      </c>
      <c r="D812" s="41">
        <v>5171</v>
      </c>
      <c r="E812" s="41" t="s">
        <v>1286</v>
      </c>
      <c r="F812" s="41" t="s">
        <v>42</v>
      </c>
      <c r="G812" s="41" t="s">
        <v>1175</v>
      </c>
      <c r="I812" s="41" t="s">
        <v>3399</v>
      </c>
      <c r="J812" s="41" t="s">
        <v>32</v>
      </c>
      <c r="K812" s="42"/>
      <c r="L812" s="41" t="s">
        <v>3199</v>
      </c>
      <c r="M812" s="41">
        <v>33</v>
      </c>
      <c r="N812" s="41" t="s">
        <v>3400</v>
      </c>
      <c r="O812" s="41" t="s">
        <v>2299</v>
      </c>
      <c r="P812" s="41" t="s">
        <v>98</v>
      </c>
      <c r="Q812" s="41" t="s">
        <v>569</v>
      </c>
      <c r="R812" s="41" t="s">
        <v>39</v>
      </c>
      <c r="S812" s="41" t="s">
        <v>40</v>
      </c>
      <c r="T812" s="41" t="s">
        <v>40</v>
      </c>
      <c r="U812" s="41" t="s">
        <v>40</v>
      </c>
    </row>
    <row r="813" spans="1:21">
      <c r="A813" s="41">
        <v>2119</v>
      </c>
      <c r="B813" s="41" t="s">
        <v>2262</v>
      </c>
      <c r="D813" s="41">
        <v>5170</v>
      </c>
      <c r="E813" s="41" t="s">
        <v>2263</v>
      </c>
      <c r="F813" s="41" t="s">
        <v>42</v>
      </c>
      <c r="G813" s="41" t="s">
        <v>121</v>
      </c>
      <c r="I813" s="41" t="s">
        <v>3401</v>
      </c>
      <c r="J813" s="41" t="s">
        <v>32</v>
      </c>
      <c r="K813" s="42"/>
      <c r="L813" s="41" t="s">
        <v>2264</v>
      </c>
      <c r="M813" s="41">
        <v>23</v>
      </c>
      <c r="N813" s="41" t="s">
        <v>2265</v>
      </c>
      <c r="O813" s="41" t="s">
        <v>2266</v>
      </c>
      <c r="P813" s="41" t="s">
        <v>179</v>
      </c>
      <c r="Q813" s="41" t="s">
        <v>524</v>
      </c>
      <c r="R813" s="41" t="s">
        <v>39</v>
      </c>
      <c r="S813" s="41" t="s">
        <v>40</v>
      </c>
      <c r="T813" s="41" t="s">
        <v>1773</v>
      </c>
      <c r="U813" s="41" t="s">
        <v>40</v>
      </c>
    </row>
    <row r="814" spans="1:21">
      <c r="A814" s="41">
        <v>2118</v>
      </c>
      <c r="B814" s="41" t="s">
        <v>3402</v>
      </c>
      <c r="D814" s="41">
        <v>5167</v>
      </c>
      <c r="E814" s="41" t="s">
        <v>3403</v>
      </c>
      <c r="F814" s="41" t="s">
        <v>53</v>
      </c>
      <c r="G814" s="41" t="s">
        <v>64</v>
      </c>
      <c r="I814" s="41" t="s">
        <v>45</v>
      </c>
      <c r="J814" s="41" t="s">
        <v>32</v>
      </c>
      <c r="K814" s="42"/>
      <c r="L814" s="41" t="s">
        <v>3404</v>
      </c>
      <c r="M814" s="41">
        <v>220</v>
      </c>
      <c r="N814" s="41" t="s">
        <v>228</v>
      </c>
      <c r="O814" s="41" t="s">
        <v>3405</v>
      </c>
      <c r="P814" s="41" t="s">
        <v>179</v>
      </c>
      <c r="Q814" s="41" t="s">
        <v>524</v>
      </c>
      <c r="R814" s="41" t="s">
        <v>132</v>
      </c>
      <c r="S814" s="41" t="s">
        <v>40</v>
      </c>
      <c r="T814" s="41" t="s">
        <v>40</v>
      </c>
      <c r="U814" s="41" t="s">
        <v>40</v>
      </c>
    </row>
    <row r="815" spans="1:21">
      <c r="A815" s="41">
        <v>2117</v>
      </c>
      <c r="B815" s="41" t="s">
        <v>3406</v>
      </c>
      <c r="D815" s="41">
        <v>5166</v>
      </c>
      <c r="E815" s="41" t="s">
        <v>1196</v>
      </c>
      <c r="F815" s="41" t="s">
        <v>28</v>
      </c>
      <c r="G815" s="41" t="s">
        <v>301</v>
      </c>
      <c r="I815" s="41" t="s">
        <v>3407</v>
      </c>
      <c r="J815" s="41" t="s">
        <v>32</v>
      </c>
      <c r="K815" s="42"/>
      <c r="L815" s="41" t="s">
        <v>3408</v>
      </c>
      <c r="M815" s="41">
        <v>33</v>
      </c>
      <c r="N815" s="41" t="s">
        <v>1347</v>
      </c>
      <c r="O815" s="41" t="s">
        <v>3409</v>
      </c>
      <c r="P815" s="41" t="s">
        <v>60</v>
      </c>
      <c r="Q815" s="41" t="s">
        <v>1348</v>
      </c>
      <c r="R815" s="41" t="s">
        <v>39</v>
      </c>
      <c r="S815" s="41" t="s">
        <v>3410</v>
      </c>
      <c r="T815" s="41" t="s">
        <v>146</v>
      </c>
      <c r="U815" s="41" t="s">
        <v>40</v>
      </c>
    </row>
    <row r="816" spans="1:21">
      <c r="A816" s="41">
        <v>2116</v>
      </c>
      <c r="B816" s="41" t="s">
        <v>3411</v>
      </c>
      <c r="D816" s="41">
        <v>5169</v>
      </c>
      <c r="E816" s="41" t="s">
        <v>3412</v>
      </c>
      <c r="F816" s="41" t="s">
        <v>28</v>
      </c>
      <c r="G816" s="41" t="s">
        <v>64</v>
      </c>
      <c r="I816" s="41" t="s">
        <v>966</v>
      </c>
      <c r="J816" s="41" t="s">
        <v>380</v>
      </c>
      <c r="K816" s="42"/>
      <c r="L816" s="41" t="s">
        <v>3413</v>
      </c>
      <c r="M816" s="41">
        <v>220</v>
      </c>
      <c r="N816" s="41" t="s">
        <v>67</v>
      </c>
      <c r="O816" s="41" t="s">
        <v>3414</v>
      </c>
      <c r="P816" s="41" t="s">
        <v>37</v>
      </c>
      <c r="Q816" s="41" t="s">
        <v>1661</v>
      </c>
      <c r="R816" s="41" t="s">
        <v>39</v>
      </c>
      <c r="S816" s="41" t="s">
        <v>40</v>
      </c>
      <c r="T816" s="41" t="s">
        <v>40</v>
      </c>
      <c r="U816" s="41" t="s">
        <v>40</v>
      </c>
    </row>
    <row r="817" spans="1:21">
      <c r="A817" s="41">
        <v>2115</v>
      </c>
      <c r="B817" s="41" t="s">
        <v>3415</v>
      </c>
      <c r="D817" s="41">
        <v>5165</v>
      </c>
      <c r="E817" s="41" t="s">
        <v>1882</v>
      </c>
      <c r="F817" s="41" t="s">
        <v>42</v>
      </c>
      <c r="G817" s="41" t="s">
        <v>141</v>
      </c>
      <c r="I817" s="41" t="s">
        <v>464</v>
      </c>
      <c r="J817" s="41" t="s">
        <v>32</v>
      </c>
      <c r="K817" s="42"/>
      <c r="L817" s="41" t="s">
        <v>3416</v>
      </c>
      <c r="M817" s="41">
        <v>33</v>
      </c>
      <c r="N817" s="41" t="s">
        <v>67</v>
      </c>
      <c r="O817" s="41" t="s">
        <v>3417</v>
      </c>
      <c r="P817" s="41" t="s">
        <v>172</v>
      </c>
      <c r="Q817" s="41" t="s">
        <v>1011</v>
      </c>
      <c r="R817" s="41" t="s">
        <v>39</v>
      </c>
      <c r="S817" s="41" t="s">
        <v>40</v>
      </c>
      <c r="T817" s="41" t="s">
        <v>2539</v>
      </c>
      <c r="U817" s="41" t="s">
        <v>40</v>
      </c>
    </row>
    <row r="818" spans="1:21">
      <c r="A818" s="41">
        <v>2114</v>
      </c>
      <c r="B818" s="41" t="s">
        <v>3418</v>
      </c>
      <c r="D818" s="41">
        <v>5168</v>
      </c>
      <c r="E818" s="41" t="s">
        <v>3419</v>
      </c>
      <c r="F818" s="41" t="s">
        <v>42</v>
      </c>
      <c r="G818" s="41" t="s">
        <v>121</v>
      </c>
      <c r="I818" s="41" t="s">
        <v>3420</v>
      </c>
      <c r="J818" s="41" t="s">
        <v>32</v>
      </c>
      <c r="K818" s="42"/>
      <c r="L818" s="41" t="s">
        <v>2860</v>
      </c>
      <c r="M818" s="41">
        <v>33</v>
      </c>
      <c r="N818" s="41" t="s">
        <v>2861</v>
      </c>
      <c r="O818" s="41" t="s">
        <v>36</v>
      </c>
      <c r="P818" s="41" t="s">
        <v>98</v>
      </c>
      <c r="Q818" s="41" t="s">
        <v>116</v>
      </c>
      <c r="R818" s="41" t="s">
        <v>39</v>
      </c>
      <c r="S818" s="41" t="s">
        <v>40</v>
      </c>
      <c r="T818" s="41" t="s">
        <v>1773</v>
      </c>
      <c r="U818" s="41" t="s">
        <v>40</v>
      </c>
    </row>
    <row r="819" spans="1:21">
      <c r="A819" s="41">
        <v>2113</v>
      </c>
      <c r="B819" s="41" t="s">
        <v>3418</v>
      </c>
      <c r="E819" s="41" t="s">
        <v>2932</v>
      </c>
      <c r="F819" s="41" t="s">
        <v>42</v>
      </c>
      <c r="G819" s="41" t="s">
        <v>43</v>
      </c>
      <c r="I819" s="41" t="s">
        <v>3420</v>
      </c>
      <c r="J819" s="41" t="s">
        <v>32</v>
      </c>
      <c r="K819" s="42"/>
      <c r="L819" s="41" t="s">
        <v>3421</v>
      </c>
      <c r="M819" s="41">
        <v>33</v>
      </c>
      <c r="N819" s="41" t="s">
        <v>2861</v>
      </c>
      <c r="O819" s="41" t="s">
        <v>36</v>
      </c>
      <c r="P819" s="41" t="s">
        <v>98</v>
      </c>
      <c r="Q819" s="41" t="s">
        <v>116</v>
      </c>
      <c r="R819" s="41" t="s">
        <v>39</v>
      </c>
      <c r="S819" s="41" t="s">
        <v>40</v>
      </c>
      <c r="T819" s="41" t="s">
        <v>40</v>
      </c>
      <c r="U819" s="41" t="s">
        <v>40</v>
      </c>
    </row>
    <row r="820" spans="1:21">
      <c r="A820" s="41">
        <v>2112</v>
      </c>
      <c r="B820" s="41" t="s">
        <v>3422</v>
      </c>
      <c r="D820" s="41">
        <v>5156</v>
      </c>
      <c r="E820" s="41" t="s">
        <v>1882</v>
      </c>
      <c r="F820" s="41" t="s">
        <v>42</v>
      </c>
      <c r="G820" s="41" t="s">
        <v>141</v>
      </c>
      <c r="I820" s="41" t="s">
        <v>325</v>
      </c>
      <c r="J820" s="41" t="s">
        <v>32</v>
      </c>
      <c r="K820" s="42"/>
      <c r="L820" s="41" t="s">
        <v>3423</v>
      </c>
      <c r="M820" s="41">
        <v>33</v>
      </c>
      <c r="N820" s="41" t="s">
        <v>67</v>
      </c>
      <c r="O820" s="41" t="s">
        <v>3417</v>
      </c>
      <c r="P820" s="41" t="s">
        <v>172</v>
      </c>
      <c r="Q820" s="41" t="s">
        <v>197</v>
      </c>
      <c r="R820" s="41" t="s">
        <v>39</v>
      </c>
      <c r="S820" s="41" t="s">
        <v>40</v>
      </c>
      <c r="T820" s="41" t="s">
        <v>2145</v>
      </c>
      <c r="U820" s="41" t="s">
        <v>40</v>
      </c>
    </row>
    <row r="821" spans="1:21">
      <c r="A821" s="41">
        <v>2111</v>
      </c>
      <c r="B821" s="41" t="s">
        <v>3424</v>
      </c>
      <c r="D821" s="41">
        <v>5155</v>
      </c>
      <c r="E821" s="41" t="s">
        <v>1227</v>
      </c>
      <c r="F821" s="41" t="s">
        <v>42</v>
      </c>
      <c r="G821" s="41" t="s">
        <v>1197</v>
      </c>
      <c r="I821" s="41" t="s">
        <v>1168</v>
      </c>
      <c r="J821" s="41" t="s">
        <v>32</v>
      </c>
      <c r="K821" s="42"/>
      <c r="L821" s="41" t="s">
        <v>1701</v>
      </c>
      <c r="M821" s="41">
        <v>33</v>
      </c>
      <c r="N821" s="41" t="s">
        <v>67</v>
      </c>
      <c r="O821" s="41" t="s">
        <v>77</v>
      </c>
      <c r="P821" s="41" t="s">
        <v>98</v>
      </c>
      <c r="Q821" s="41" t="s">
        <v>99</v>
      </c>
      <c r="R821" s="41" t="s">
        <v>39</v>
      </c>
      <c r="S821" s="41" t="s">
        <v>40</v>
      </c>
      <c r="T821" s="41" t="s">
        <v>40</v>
      </c>
      <c r="U821" s="41" t="s">
        <v>40</v>
      </c>
    </row>
    <row r="822" spans="1:21">
      <c r="A822" s="41">
        <v>2110</v>
      </c>
      <c r="B822" s="41" t="s">
        <v>3425</v>
      </c>
      <c r="D822" s="41">
        <v>5152</v>
      </c>
      <c r="E822" s="41" t="s">
        <v>1227</v>
      </c>
      <c r="F822" s="41" t="s">
        <v>28</v>
      </c>
      <c r="G822" s="41" t="s">
        <v>301</v>
      </c>
      <c r="I822" s="41" t="s">
        <v>3426</v>
      </c>
      <c r="J822" s="41" t="s">
        <v>32</v>
      </c>
      <c r="K822" s="42"/>
      <c r="L822" s="41" t="s">
        <v>3427</v>
      </c>
      <c r="M822" s="41">
        <v>23</v>
      </c>
      <c r="N822" s="41" t="s">
        <v>59</v>
      </c>
      <c r="O822" s="41" t="s">
        <v>77</v>
      </c>
      <c r="P822" s="41" t="s">
        <v>179</v>
      </c>
      <c r="Q822" s="41" t="s">
        <v>538</v>
      </c>
      <c r="R822" s="41" t="s">
        <v>39</v>
      </c>
      <c r="S822" s="41" t="s">
        <v>3428</v>
      </c>
      <c r="T822" s="41" t="s">
        <v>3429</v>
      </c>
      <c r="U822" s="41" t="s">
        <v>40</v>
      </c>
    </row>
    <row r="823" spans="1:21">
      <c r="A823" s="41">
        <v>2109</v>
      </c>
      <c r="B823" s="41" t="s">
        <v>3430</v>
      </c>
      <c r="D823" s="41">
        <v>5151</v>
      </c>
      <c r="E823" s="41" t="s">
        <v>1882</v>
      </c>
      <c r="F823" s="41" t="s">
        <v>42</v>
      </c>
      <c r="G823" s="41" t="s">
        <v>1197</v>
      </c>
      <c r="I823" s="41" t="s">
        <v>1024</v>
      </c>
      <c r="J823" s="41" t="s">
        <v>32</v>
      </c>
      <c r="K823" s="42"/>
      <c r="L823" s="41" t="s">
        <v>3431</v>
      </c>
      <c r="M823" s="41">
        <v>33</v>
      </c>
      <c r="N823" s="41" t="s">
        <v>67</v>
      </c>
      <c r="O823" s="41" t="s">
        <v>3417</v>
      </c>
      <c r="P823" s="41" t="s">
        <v>98</v>
      </c>
      <c r="Q823" s="41" t="s">
        <v>569</v>
      </c>
      <c r="R823" s="41" t="s">
        <v>39</v>
      </c>
      <c r="S823" s="41" t="s">
        <v>40</v>
      </c>
      <c r="T823" s="41" t="s">
        <v>40</v>
      </c>
      <c r="U823" s="41" t="s">
        <v>40</v>
      </c>
    </row>
    <row r="824" spans="1:21">
      <c r="A824" s="41">
        <v>2108</v>
      </c>
      <c r="B824" s="41" t="s">
        <v>3432</v>
      </c>
      <c r="D824" s="41">
        <v>5153</v>
      </c>
      <c r="E824" s="41" t="s">
        <v>3433</v>
      </c>
      <c r="F824" s="41" t="s">
        <v>42</v>
      </c>
      <c r="G824" s="41" t="s">
        <v>141</v>
      </c>
      <c r="I824" s="41" t="s">
        <v>1068</v>
      </c>
      <c r="J824" s="41" t="s">
        <v>32</v>
      </c>
      <c r="K824" s="42"/>
      <c r="L824" s="41" t="s">
        <v>3434</v>
      </c>
      <c r="M824" s="41">
        <v>23</v>
      </c>
      <c r="N824" s="41" t="s">
        <v>59</v>
      </c>
      <c r="O824" s="41" t="s">
        <v>36</v>
      </c>
      <c r="P824" s="41" t="s">
        <v>68</v>
      </c>
      <c r="Q824" s="41" t="s">
        <v>3435</v>
      </c>
      <c r="R824" s="41" t="s">
        <v>39</v>
      </c>
      <c r="S824" s="41" t="s">
        <v>40</v>
      </c>
      <c r="T824" s="41" t="s">
        <v>305</v>
      </c>
      <c r="U824" s="41" t="s">
        <v>40</v>
      </c>
    </row>
    <row r="825" spans="1:21">
      <c r="A825" s="41">
        <v>2107</v>
      </c>
      <c r="B825" s="41" t="s">
        <v>3436</v>
      </c>
      <c r="D825" s="41">
        <v>5150</v>
      </c>
      <c r="E825" s="41" t="s">
        <v>1248</v>
      </c>
      <c r="F825" s="41" t="s">
        <v>53</v>
      </c>
      <c r="G825" s="41" t="s">
        <v>1071</v>
      </c>
      <c r="I825" s="41" t="s">
        <v>2477</v>
      </c>
      <c r="J825" s="41" t="s">
        <v>672</v>
      </c>
      <c r="K825" s="42"/>
      <c r="L825" s="41" t="s">
        <v>2256</v>
      </c>
      <c r="M825" s="41">
        <v>13</v>
      </c>
      <c r="N825" s="41" t="s">
        <v>3295</v>
      </c>
      <c r="O825" s="41" t="s">
        <v>402</v>
      </c>
      <c r="P825" s="41" t="s">
        <v>382</v>
      </c>
      <c r="Q825" s="41" t="s">
        <v>83</v>
      </c>
      <c r="R825" s="41" t="s">
        <v>132</v>
      </c>
      <c r="S825" s="41" t="s">
        <v>40</v>
      </c>
      <c r="T825" s="41" t="s">
        <v>40</v>
      </c>
      <c r="U825" s="41" t="s">
        <v>40</v>
      </c>
    </row>
    <row r="826" spans="1:21">
      <c r="A826" s="41">
        <v>2106</v>
      </c>
      <c r="B826" s="41" t="s">
        <v>3437</v>
      </c>
      <c r="D826" s="41">
        <v>5149</v>
      </c>
      <c r="E826" s="41" t="s">
        <v>3438</v>
      </c>
      <c r="F826" s="41" t="s">
        <v>28</v>
      </c>
      <c r="G826" s="41" t="s">
        <v>1300</v>
      </c>
      <c r="I826" s="41" t="s">
        <v>426</v>
      </c>
      <c r="J826" s="41" t="s">
        <v>672</v>
      </c>
      <c r="K826" s="42"/>
      <c r="L826" s="41" t="s">
        <v>3439</v>
      </c>
      <c r="M826" s="41">
        <v>110</v>
      </c>
      <c r="N826" s="41" t="s">
        <v>3440</v>
      </c>
      <c r="O826" s="41" t="s">
        <v>2709</v>
      </c>
      <c r="P826" s="41" t="s">
        <v>98</v>
      </c>
      <c r="Q826" s="41" t="s">
        <v>491</v>
      </c>
      <c r="R826" s="41" t="s">
        <v>39</v>
      </c>
      <c r="S826" s="41" t="s">
        <v>40</v>
      </c>
      <c r="T826" s="41" t="s">
        <v>40</v>
      </c>
      <c r="U826" s="41" t="s">
        <v>40</v>
      </c>
    </row>
    <row r="827" spans="1:21">
      <c r="A827" s="41">
        <v>2105</v>
      </c>
      <c r="B827" s="41" t="s">
        <v>3441</v>
      </c>
      <c r="D827" s="41">
        <v>5148</v>
      </c>
      <c r="E827" s="41" t="s">
        <v>3438</v>
      </c>
      <c r="F827" s="41" t="s">
        <v>53</v>
      </c>
      <c r="G827" s="41" t="s">
        <v>141</v>
      </c>
      <c r="I827" s="41" t="s">
        <v>3442</v>
      </c>
      <c r="J827" s="41" t="s">
        <v>672</v>
      </c>
      <c r="K827" s="42"/>
      <c r="L827" s="41" t="s">
        <v>3443</v>
      </c>
      <c r="M827" s="41">
        <v>23</v>
      </c>
      <c r="N827" s="41" t="s">
        <v>18</v>
      </c>
      <c r="O827" s="41" t="s">
        <v>3444</v>
      </c>
      <c r="P827" s="41" t="s">
        <v>98</v>
      </c>
      <c r="Q827" s="41" t="s">
        <v>491</v>
      </c>
      <c r="R827" s="41" t="s">
        <v>132</v>
      </c>
      <c r="S827" s="41" t="s">
        <v>3445</v>
      </c>
      <c r="T827" s="41" t="s">
        <v>2690</v>
      </c>
      <c r="U827" s="41" t="s">
        <v>40</v>
      </c>
    </row>
    <row r="828" spans="1:21">
      <c r="A828" s="41">
        <v>2104</v>
      </c>
      <c r="B828" s="41" t="s">
        <v>3446</v>
      </c>
      <c r="D828" s="41">
        <v>5108</v>
      </c>
      <c r="E828" s="41" t="s">
        <v>1118</v>
      </c>
      <c r="F828" s="41" t="s">
        <v>42</v>
      </c>
      <c r="G828" s="41" t="s">
        <v>121</v>
      </c>
      <c r="I828" s="41" t="s">
        <v>3447</v>
      </c>
      <c r="J828" s="41" t="s">
        <v>672</v>
      </c>
      <c r="K828" s="42"/>
      <c r="L828" s="41" t="s">
        <v>3448</v>
      </c>
      <c r="M828" s="41">
        <v>220</v>
      </c>
      <c r="N828" s="41" t="s">
        <v>67</v>
      </c>
      <c r="O828" s="41" t="s">
        <v>3449</v>
      </c>
      <c r="P828" s="41" t="s">
        <v>98</v>
      </c>
      <c r="Q828" s="41" t="s">
        <v>569</v>
      </c>
      <c r="R828" s="41" t="s">
        <v>39</v>
      </c>
      <c r="S828" s="41" t="s">
        <v>40</v>
      </c>
      <c r="T828" s="41" t="s">
        <v>3450</v>
      </c>
      <c r="U828" s="41" t="s">
        <v>40</v>
      </c>
    </row>
    <row r="829" spans="1:21">
      <c r="A829" s="41">
        <v>2103</v>
      </c>
      <c r="B829" s="41" t="s">
        <v>3406</v>
      </c>
      <c r="D829" s="41">
        <v>5116</v>
      </c>
      <c r="E829" s="41" t="s">
        <v>1196</v>
      </c>
      <c r="F829" s="41" t="s">
        <v>42</v>
      </c>
      <c r="G829" s="41" t="s">
        <v>1175</v>
      </c>
      <c r="I829" s="41" t="s">
        <v>3407</v>
      </c>
      <c r="J829" s="41" t="s">
        <v>32</v>
      </c>
      <c r="K829" s="42"/>
      <c r="L829" s="41" t="s">
        <v>3451</v>
      </c>
      <c r="M829" s="41">
        <v>33</v>
      </c>
      <c r="N829" s="41" t="s">
        <v>1347</v>
      </c>
      <c r="O829" s="41" t="s">
        <v>1200</v>
      </c>
      <c r="P829" s="41" t="s">
        <v>60</v>
      </c>
      <c r="Q829" s="41" t="s">
        <v>1348</v>
      </c>
      <c r="R829" s="41" t="s">
        <v>39</v>
      </c>
      <c r="S829" s="41" t="s">
        <v>40</v>
      </c>
      <c r="T829" s="41" t="s">
        <v>40</v>
      </c>
      <c r="U829" s="41" t="s">
        <v>40</v>
      </c>
    </row>
    <row r="830" spans="1:21">
      <c r="A830" s="41">
        <v>2102</v>
      </c>
      <c r="B830" s="41" t="s">
        <v>3452</v>
      </c>
      <c r="D830" s="41">
        <v>5115</v>
      </c>
      <c r="E830" s="41" t="s">
        <v>1882</v>
      </c>
      <c r="F830" s="41" t="s">
        <v>42</v>
      </c>
      <c r="G830" s="41" t="s">
        <v>141</v>
      </c>
      <c r="I830" s="41" t="s">
        <v>966</v>
      </c>
      <c r="J830" s="41" t="s">
        <v>32</v>
      </c>
      <c r="K830" s="42"/>
      <c r="L830" s="41" t="s">
        <v>3453</v>
      </c>
      <c r="M830" s="41">
        <v>36</v>
      </c>
      <c r="N830" s="41" t="s">
        <v>67</v>
      </c>
      <c r="O830" s="41" t="s">
        <v>3417</v>
      </c>
      <c r="P830" s="41" t="s">
        <v>172</v>
      </c>
      <c r="Q830" s="41" t="s">
        <v>197</v>
      </c>
      <c r="R830" s="41" t="s">
        <v>39</v>
      </c>
      <c r="S830" s="41" t="s">
        <v>40</v>
      </c>
      <c r="T830" s="41" t="s">
        <v>1699</v>
      </c>
      <c r="U830" s="41" t="s">
        <v>40</v>
      </c>
    </row>
    <row r="831" spans="1:21">
      <c r="A831" s="41">
        <v>2101</v>
      </c>
      <c r="B831" s="41" t="s">
        <v>3454</v>
      </c>
      <c r="D831" s="41">
        <v>5117</v>
      </c>
      <c r="E831" s="41" t="s">
        <v>3455</v>
      </c>
      <c r="F831" s="41" t="s">
        <v>28</v>
      </c>
      <c r="G831" s="41" t="s">
        <v>293</v>
      </c>
      <c r="I831" s="41" t="s">
        <v>999</v>
      </c>
      <c r="J831" s="41" t="s">
        <v>672</v>
      </c>
      <c r="K831" s="42"/>
      <c r="L831" s="41" t="s">
        <v>487</v>
      </c>
      <c r="M831" s="41">
        <v>33</v>
      </c>
      <c r="N831" s="41" t="s">
        <v>3456</v>
      </c>
      <c r="O831" s="41" t="s">
        <v>3457</v>
      </c>
      <c r="P831" s="41" t="s">
        <v>98</v>
      </c>
      <c r="Q831" s="41" t="s">
        <v>204</v>
      </c>
      <c r="R831" s="41" t="s">
        <v>39</v>
      </c>
      <c r="S831" s="41" t="s">
        <v>40</v>
      </c>
      <c r="T831" s="41" t="s">
        <v>40</v>
      </c>
      <c r="U831" s="41" t="s">
        <v>40</v>
      </c>
    </row>
    <row r="832" spans="1:21">
      <c r="A832" s="41">
        <v>2100</v>
      </c>
      <c r="B832" s="41" t="s">
        <v>3458</v>
      </c>
      <c r="D832" s="41">
        <v>5113</v>
      </c>
      <c r="E832" s="41" t="s">
        <v>2063</v>
      </c>
      <c r="F832" s="41" t="s">
        <v>42</v>
      </c>
      <c r="G832" s="41" t="s">
        <v>141</v>
      </c>
      <c r="I832" s="41" t="s">
        <v>999</v>
      </c>
      <c r="J832" s="41" t="s">
        <v>672</v>
      </c>
      <c r="K832" s="42"/>
      <c r="L832" s="41" t="s">
        <v>3459</v>
      </c>
      <c r="M832" s="41">
        <v>23</v>
      </c>
      <c r="N832" s="41" t="s">
        <v>3460</v>
      </c>
      <c r="O832" s="41" t="s">
        <v>3461</v>
      </c>
      <c r="P832" s="41" t="s">
        <v>98</v>
      </c>
      <c r="Q832" s="41" t="s">
        <v>204</v>
      </c>
      <c r="R832" s="41" t="s">
        <v>39</v>
      </c>
      <c r="S832" s="41" t="s">
        <v>40</v>
      </c>
      <c r="T832" s="41" t="s">
        <v>3450</v>
      </c>
      <c r="U832" s="41" t="s">
        <v>40</v>
      </c>
    </row>
    <row r="833" spans="1:21">
      <c r="A833" s="41">
        <v>2099</v>
      </c>
      <c r="B833" s="41" t="s">
        <v>3462</v>
      </c>
      <c r="D833" s="41">
        <v>5114</v>
      </c>
      <c r="E833" s="41" t="s">
        <v>2248</v>
      </c>
      <c r="F833" s="41" t="s">
        <v>42</v>
      </c>
      <c r="G833" s="41" t="s">
        <v>141</v>
      </c>
      <c r="I833" s="41" t="s">
        <v>3463</v>
      </c>
      <c r="J833" s="41" t="s">
        <v>32</v>
      </c>
      <c r="K833" s="42"/>
      <c r="L833" s="41" t="s">
        <v>3464</v>
      </c>
      <c r="M833" s="41">
        <v>33</v>
      </c>
      <c r="N833" s="41" t="s">
        <v>1082</v>
      </c>
      <c r="O833" s="41" t="s">
        <v>3465</v>
      </c>
      <c r="P833" s="41" t="s">
        <v>179</v>
      </c>
      <c r="Q833" s="41" t="s">
        <v>592</v>
      </c>
      <c r="R833" s="41" t="s">
        <v>39</v>
      </c>
      <c r="S833" s="41" t="s">
        <v>40</v>
      </c>
      <c r="T833" s="41" t="s">
        <v>3429</v>
      </c>
      <c r="U833" s="41" t="s">
        <v>40</v>
      </c>
    </row>
    <row r="834" spans="1:21">
      <c r="A834" s="41">
        <v>2097</v>
      </c>
      <c r="B834" s="41" t="s">
        <v>3466</v>
      </c>
      <c r="D834" s="41">
        <v>5109</v>
      </c>
      <c r="E834" s="41" t="s">
        <v>3467</v>
      </c>
      <c r="F834" s="41" t="s">
        <v>28</v>
      </c>
      <c r="G834" s="41" t="s">
        <v>286</v>
      </c>
      <c r="I834" s="41" t="s">
        <v>3468</v>
      </c>
      <c r="J834" s="41" t="s">
        <v>672</v>
      </c>
      <c r="K834" s="42"/>
      <c r="L834" s="41" t="s">
        <v>3469</v>
      </c>
      <c r="M834" s="41">
        <v>23</v>
      </c>
      <c r="N834" s="41" t="s">
        <v>3470</v>
      </c>
      <c r="O834" s="41" t="s">
        <v>3471</v>
      </c>
      <c r="P834" s="41" t="s">
        <v>179</v>
      </c>
      <c r="Q834" s="41" t="s">
        <v>1116</v>
      </c>
      <c r="R834" s="41" t="s">
        <v>39</v>
      </c>
      <c r="S834" s="41" t="s">
        <v>40</v>
      </c>
      <c r="T834" s="41" t="s">
        <v>40</v>
      </c>
      <c r="U834" s="41" t="s">
        <v>40</v>
      </c>
    </row>
    <row r="835" spans="1:21">
      <c r="A835" s="41">
        <v>2096</v>
      </c>
      <c r="B835" s="41" t="s">
        <v>3472</v>
      </c>
      <c r="D835" s="41">
        <v>5093</v>
      </c>
      <c r="E835" s="41" t="s">
        <v>2063</v>
      </c>
      <c r="F835" s="41" t="s">
        <v>42</v>
      </c>
      <c r="G835" s="41" t="s">
        <v>121</v>
      </c>
      <c r="I835" s="41" t="s">
        <v>3473</v>
      </c>
      <c r="J835" s="41" t="s">
        <v>672</v>
      </c>
      <c r="K835" s="42"/>
      <c r="L835" s="41" t="s">
        <v>3459</v>
      </c>
      <c r="M835" s="41">
        <v>23</v>
      </c>
      <c r="N835" s="41" t="s">
        <v>340</v>
      </c>
      <c r="O835" s="41" t="s">
        <v>3474</v>
      </c>
      <c r="P835" s="41" t="s">
        <v>98</v>
      </c>
      <c r="Q835" s="41" t="s">
        <v>204</v>
      </c>
      <c r="R835" s="41" t="s">
        <v>39</v>
      </c>
      <c r="S835" s="41" t="s">
        <v>40</v>
      </c>
      <c r="T835" s="41" t="s">
        <v>3450</v>
      </c>
      <c r="U835" s="41" t="s">
        <v>40</v>
      </c>
    </row>
    <row r="836" spans="1:21">
      <c r="A836" s="41">
        <v>2095</v>
      </c>
      <c r="B836" s="41" t="s">
        <v>3475</v>
      </c>
      <c r="D836" s="41">
        <v>5091</v>
      </c>
      <c r="E836" s="41" t="s">
        <v>3476</v>
      </c>
      <c r="F836" s="41" t="s">
        <v>42</v>
      </c>
      <c r="G836" s="41" t="s">
        <v>141</v>
      </c>
      <c r="I836" s="41" t="s">
        <v>194</v>
      </c>
      <c r="J836" s="41" t="s">
        <v>295</v>
      </c>
      <c r="K836" s="42"/>
      <c r="L836" s="41" t="s">
        <v>3477</v>
      </c>
      <c r="M836" s="41">
        <v>13</v>
      </c>
      <c r="N836" s="41" t="s">
        <v>3478</v>
      </c>
      <c r="O836" s="41" t="s">
        <v>3479</v>
      </c>
      <c r="P836" s="41" t="s">
        <v>179</v>
      </c>
      <c r="Q836" s="41" t="s">
        <v>284</v>
      </c>
      <c r="R836" s="41" t="s">
        <v>39</v>
      </c>
      <c r="S836" s="41" t="s">
        <v>40</v>
      </c>
      <c r="T836" s="41" t="s">
        <v>305</v>
      </c>
      <c r="U836" s="41" t="s">
        <v>40</v>
      </c>
    </row>
    <row r="837" spans="1:21">
      <c r="A837" s="41">
        <v>2094</v>
      </c>
      <c r="B837" s="41" t="s">
        <v>3480</v>
      </c>
      <c r="D837" s="41">
        <v>5092</v>
      </c>
      <c r="E837" s="41" t="s">
        <v>3481</v>
      </c>
      <c r="F837" s="41" t="s">
        <v>42</v>
      </c>
      <c r="G837" s="41" t="s">
        <v>141</v>
      </c>
      <c r="I837" s="41" t="s">
        <v>194</v>
      </c>
      <c r="J837" s="41" t="s">
        <v>295</v>
      </c>
      <c r="K837" s="42"/>
      <c r="L837" s="41" t="s">
        <v>3477</v>
      </c>
      <c r="M837" s="41">
        <v>13</v>
      </c>
      <c r="N837" s="41" t="s">
        <v>3478</v>
      </c>
      <c r="O837" s="41" t="s">
        <v>3482</v>
      </c>
      <c r="P837" s="41" t="s">
        <v>179</v>
      </c>
      <c r="Q837" s="41" t="s">
        <v>284</v>
      </c>
      <c r="R837" s="41" t="s">
        <v>39</v>
      </c>
      <c r="S837" s="41" t="s">
        <v>40</v>
      </c>
      <c r="T837" s="41" t="s">
        <v>305</v>
      </c>
      <c r="U837" s="41" t="s">
        <v>40</v>
      </c>
    </row>
    <row r="838" spans="1:21">
      <c r="A838" s="41">
        <v>2093</v>
      </c>
      <c r="B838" s="41" t="s">
        <v>3483</v>
      </c>
      <c r="D838" s="41">
        <v>5090</v>
      </c>
      <c r="E838" s="41" t="s">
        <v>3484</v>
      </c>
      <c r="F838" s="41" t="s">
        <v>53</v>
      </c>
      <c r="G838" s="41" t="s">
        <v>141</v>
      </c>
      <c r="I838" s="41" t="s">
        <v>338</v>
      </c>
      <c r="J838" s="41" t="s">
        <v>32</v>
      </c>
      <c r="K838" s="42"/>
      <c r="L838" s="41" t="s">
        <v>3485</v>
      </c>
      <c r="M838" s="41">
        <v>220</v>
      </c>
      <c r="N838" s="41" t="s">
        <v>805</v>
      </c>
      <c r="O838" s="41" t="s">
        <v>1615</v>
      </c>
      <c r="P838" s="41" t="s">
        <v>37</v>
      </c>
      <c r="Q838" s="41" t="s">
        <v>2111</v>
      </c>
      <c r="R838" s="41" t="s">
        <v>132</v>
      </c>
      <c r="S838" s="41" t="s">
        <v>3486</v>
      </c>
      <c r="T838" s="41" t="s">
        <v>770</v>
      </c>
      <c r="U838" s="41" t="s">
        <v>40</v>
      </c>
    </row>
    <row r="839" spans="1:21">
      <c r="A839" s="41">
        <v>2090</v>
      </c>
      <c r="B839" s="41" t="s">
        <v>3487</v>
      </c>
      <c r="D839" s="41">
        <v>5087</v>
      </c>
      <c r="E839" s="41" t="s">
        <v>1227</v>
      </c>
      <c r="F839" s="41" t="s">
        <v>28</v>
      </c>
      <c r="G839" s="41" t="s">
        <v>307</v>
      </c>
      <c r="I839" s="41" t="s">
        <v>3488</v>
      </c>
      <c r="J839" s="41" t="s">
        <v>32</v>
      </c>
      <c r="K839" s="42"/>
      <c r="L839" s="41" t="s">
        <v>3489</v>
      </c>
      <c r="M839" s="41">
        <v>33</v>
      </c>
      <c r="N839" s="41" t="s">
        <v>719</v>
      </c>
      <c r="O839" s="41" t="s">
        <v>77</v>
      </c>
      <c r="P839" s="41" t="s">
        <v>68</v>
      </c>
      <c r="Q839" s="41" t="s">
        <v>699</v>
      </c>
      <c r="R839" s="41" t="s">
        <v>39</v>
      </c>
      <c r="S839" s="41" t="s">
        <v>3490</v>
      </c>
      <c r="T839" s="41" t="s">
        <v>3491</v>
      </c>
      <c r="U839" s="41" t="s">
        <v>40</v>
      </c>
    </row>
    <row r="840" spans="1:21">
      <c r="A840" s="41">
        <v>2089</v>
      </c>
      <c r="B840" s="41" t="s">
        <v>3492</v>
      </c>
      <c r="D840" s="41">
        <v>5089</v>
      </c>
      <c r="E840" s="41" t="s">
        <v>2571</v>
      </c>
      <c r="F840" s="41" t="s">
        <v>53</v>
      </c>
      <c r="G840" s="41" t="s">
        <v>141</v>
      </c>
      <c r="I840" s="41" t="s">
        <v>2572</v>
      </c>
      <c r="J840" s="41" t="s">
        <v>32</v>
      </c>
      <c r="K840" s="42"/>
      <c r="L840" s="41" t="s">
        <v>3493</v>
      </c>
      <c r="M840" s="41">
        <v>110</v>
      </c>
      <c r="N840" s="41" t="s">
        <v>2014</v>
      </c>
      <c r="O840" s="41" t="s">
        <v>3494</v>
      </c>
      <c r="P840" s="41" t="s">
        <v>68</v>
      </c>
      <c r="Q840" s="41" t="s">
        <v>159</v>
      </c>
      <c r="R840" s="41" t="s">
        <v>132</v>
      </c>
      <c r="S840" s="41" t="s">
        <v>3495</v>
      </c>
      <c r="T840" s="41" t="s">
        <v>770</v>
      </c>
      <c r="U840" s="41" t="s">
        <v>40</v>
      </c>
    </row>
    <row r="841" spans="1:21">
      <c r="A841" s="41">
        <v>2088</v>
      </c>
      <c r="B841" s="41" t="s">
        <v>3496</v>
      </c>
      <c r="D841" s="41">
        <v>5088</v>
      </c>
      <c r="E841" s="41" t="s">
        <v>3497</v>
      </c>
      <c r="F841" s="41" t="s">
        <v>53</v>
      </c>
      <c r="G841" s="41" t="s">
        <v>141</v>
      </c>
      <c r="I841" s="41" t="s">
        <v>45</v>
      </c>
      <c r="J841" s="41" t="s">
        <v>32</v>
      </c>
      <c r="K841" s="42"/>
      <c r="L841" s="41" t="s">
        <v>3172</v>
      </c>
      <c r="M841" s="41">
        <v>220</v>
      </c>
      <c r="N841" s="41" t="s">
        <v>805</v>
      </c>
      <c r="O841" s="41" t="s">
        <v>1834</v>
      </c>
      <c r="P841" s="41" t="s">
        <v>83</v>
      </c>
      <c r="Q841" s="41" t="s">
        <v>1357</v>
      </c>
      <c r="R841" s="41" t="s">
        <v>62</v>
      </c>
      <c r="S841" s="41" t="s">
        <v>3498</v>
      </c>
      <c r="T841" s="41" t="s">
        <v>2246</v>
      </c>
      <c r="U841" s="41" t="s">
        <v>1890</v>
      </c>
    </row>
    <row r="842" spans="1:21">
      <c r="A842" s="41">
        <v>2087</v>
      </c>
      <c r="B842" s="41" t="s">
        <v>3499</v>
      </c>
      <c r="D842" s="41">
        <v>5095</v>
      </c>
      <c r="E842" s="41" t="s">
        <v>3500</v>
      </c>
      <c r="F842" s="41" t="s">
        <v>53</v>
      </c>
      <c r="G842" s="41" t="s">
        <v>307</v>
      </c>
      <c r="I842" s="41" t="s">
        <v>325</v>
      </c>
      <c r="J842" s="41" t="s">
        <v>672</v>
      </c>
      <c r="K842" s="42"/>
      <c r="L842" s="41" t="s">
        <v>3501</v>
      </c>
      <c r="M842" s="41">
        <v>220</v>
      </c>
      <c r="N842" s="41" t="s">
        <v>59</v>
      </c>
      <c r="O842" s="41" t="s">
        <v>1525</v>
      </c>
      <c r="P842" s="41" t="s">
        <v>50</v>
      </c>
      <c r="Q842" s="41" t="s">
        <v>51</v>
      </c>
      <c r="R842" s="41" t="s">
        <v>62</v>
      </c>
      <c r="S842" s="41" t="s">
        <v>3502</v>
      </c>
      <c r="T842" s="41" t="s">
        <v>1773</v>
      </c>
      <c r="U842" s="41" t="s">
        <v>40</v>
      </c>
    </row>
    <row r="843" spans="1:21">
      <c r="A843" s="41">
        <v>2086</v>
      </c>
      <c r="B843" s="41" t="s">
        <v>3503</v>
      </c>
      <c r="E843" s="41" t="s">
        <v>3504</v>
      </c>
      <c r="F843" s="41" t="s">
        <v>28</v>
      </c>
      <c r="G843" s="41" t="s">
        <v>43</v>
      </c>
      <c r="I843" s="41" t="s">
        <v>3505</v>
      </c>
      <c r="J843" s="41" t="s">
        <v>1906</v>
      </c>
      <c r="K843" s="42"/>
      <c r="L843" s="41" t="s">
        <v>3506</v>
      </c>
      <c r="M843" s="41">
        <v>23</v>
      </c>
      <c r="N843" s="41" t="s">
        <v>3507</v>
      </c>
      <c r="O843" s="41" t="s">
        <v>3508</v>
      </c>
      <c r="P843" s="41" t="s">
        <v>172</v>
      </c>
      <c r="Q843" s="41" t="s">
        <v>1104</v>
      </c>
      <c r="R843" s="41" t="s">
        <v>39</v>
      </c>
      <c r="S843" s="41" t="s">
        <v>40</v>
      </c>
      <c r="T843" s="41" t="s">
        <v>40</v>
      </c>
      <c r="U843" s="41" t="s">
        <v>40</v>
      </c>
    </row>
    <row r="844" spans="1:21">
      <c r="A844" s="41">
        <v>2085</v>
      </c>
      <c r="B844" s="41" t="s">
        <v>3425</v>
      </c>
      <c r="D844" s="41">
        <v>5086</v>
      </c>
      <c r="E844" s="41" t="s">
        <v>1227</v>
      </c>
      <c r="F844" s="41" t="s">
        <v>42</v>
      </c>
      <c r="G844" s="41" t="s">
        <v>1175</v>
      </c>
      <c r="I844" s="41" t="s">
        <v>3426</v>
      </c>
      <c r="J844" s="41" t="s">
        <v>32</v>
      </c>
      <c r="K844" s="42"/>
      <c r="L844" s="41" t="s">
        <v>3427</v>
      </c>
      <c r="M844" s="41">
        <v>23</v>
      </c>
      <c r="N844" s="41" t="s">
        <v>67</v>
      </c>
      <c r="O844" s="41" t="s">
        <v>97</v>
      </c>
      <c r="P844" s="41" t="s">
        <v>179</v>
      </c>
      <c r="Q844" s="41" t="s">
        <v>538</v>
      </c>
      <c r="R844" s="41" t="s">
        <v>39</v>
      </c>
      <c r="S844" s="41" t="s">
        <v>40</v>
      </c>
      <c r="T844" s="41" t="s">
        <v>40</v>
      </c>
      <c r="U844" s="41" t="s">
        <v>40</v>
      </c>
    </row>
    <row r="845" spans="1:21">
      <c r="A845" s="41">
        <v>2084</v>
      </c>
      <c r="B845" s="41" t="s">
        <v>3509</v>
      </c>
      <c r="D845" s="41">
        <v>5077</v>
      </c>
      <c r="E845" s="41" t="s">
        <v>2971</v>
      </c>
      <c r="F845" s="41" t="s">
        <v>42</v>
      </c>
      <c r="G845" s="41" t="s">
        <v>141</v>
      </c>
      <c r="I845" s="41" t="s">
        <v>521</v>
      </c>
      <c r="J845" s="41" t="s">
        <v>672</v>
      </c>
      <c r="K845" s="42"/>
      <c r="L845" s="41" t="s">
        <v>3510</v>
      </c>
      <c r="M845" s="41">
        <v>69</v>
      </c>
      <c r="N845" s="41" t="s">
        <v>3511</v>
      </c>
      <c r="O845" s="41" t="s">
        <v>3512</v>
      </c>
      <c r="P845" s="41" t="s">
        <v>98</v>
      </c>
      <c r="Q845" s="41" t="s">
        <v>98</v>
      </c>
      <c r="R845" s="41" t="s">
        <v>39</v>
      </c>
      <c r="S845" s="41" t="s">
        <v>40</v>
      </c>
      <c r="T845" s="41" t="s">
        <v>770</v>
      </c>
      <c r="U845" s="41" t="s">
        <v>40</v>
      </c>
    </row>
    <row r="846" spans="1:21">
      <c r="A846" s="41">
        <v>2083</v>
      </c>
      <c r="B846" s="41" t="s">
        <v>3513</v>
      </c>
      <c r="D846" s="41">
        <v>5081</v>
      </c>
      <c r="E846" s="41" t="s">
        <v>1248</v>
      </c>
      <c r="F846" s="41" t="s">
        <v>53</v>
      </c>
      <c r="G846" s="41" t="s">
        <v>1071</v>
      </c>
      <c r="I846" s="41" t="s">
        <v>3514</v>
      </c>
      <c r="J846" s="41" t="s">
        <v>672</v>
      </c>
      <c r="K846" s="42"/>
      <c r="L846" s="41" t="s">
        <v>3515</v>
      </c>
      <c r="M846" s="41">
        <v>23</v>
      </c>
      <c r="N846" s="41" t="s">
        <v>1241</v>
      </c>
      <c r="O846" s="41" t="s">
        <v>565</v>
      </c>
      <c r="P846" s="41" t="s">
        <v>83</v>
      </c>
      <c r="Q846" s="41" t="s">
        <v>1206</v>
      </c>
      <c r="R846" s="41" t="s">
        <v>132</v>
      </c>
      <c r="S846" s="41" t="s">
        <v>40</v>
      </c>
      <c r="T846" s="41" t="s">
        <v>40</v>
      </c>
      <c r="U846" s="41" t="s">
        <v>40</v>
      </c>
    </row>
    <row r="847" spans="1:21">
      <c r="A847" s="41">
        <v>2082</v>
      </c>
      <c r="B847" s="41" t="s">
        <v>3516</v>
      </c>
      <c r="D847" s="41">
        <v>5076</v>
      </c>
      <c r="E847" s="41" t="s">
        <v>1076</v>
      </c>
      <c r="F847" s="41" t="s">
        <v>53</v>
      </c>
      <c r="G847" s="41" t="s">
        <v>141</v>
      </c>
      <c r="I847" s="41" t="s">
        <v>194</v>
      </c>
      <c r="J847" s="41" t="s">
        <v>32</v>
      </c>
      <c r="K847" s="42"/>
      <c r="L847" s="41" t="s">
        <v>3517</v>
      </c>
      <c r="M847" s="41">
        <v>13</v>
      </c>
      <c r="N847" s="41" t="s">
        <v>67</v>
      </c>
      <c r="O847" s="41" t="s">
        <v>402</v>
      </c>
      <c r="P847" s="41" t="s">
        <v>68</v>
      </c>
      <c r="Q847" s="41" t="s">
        <v>3518</v>
      </c>
      <c r="R847" s="41" t="s">
        <v>132</v>
      </c>
      <c r="S847" s="41" t="s">
        <v>3519</v>
      </c>
      <c r="T847" s="41" t="s">
        <v>2690</v>
      </c>
      <c r="U847" s="41" t="s">
        <v>40</v>
      </c>
    </row>
    <row r="848" spans="1:21">
      <c r="A848" s="41">
        <v>2081</v>
      </c>
      <c r="B848" s="41" t="s">
        <v>3520</v>
      </c>
      <c r="D848" s="41">
        <v>5080</v>
      </c>
      <c r="E848" s="41" t="s">
        <v>1248</v>
      </c>
      <c r="F848" s="41" t="s">
        <v>53</v>
      </c>
      <c r="G848" s="41" t="s">
        <v>1071</v>
      </c>
      <c r="I848" s="41" t="s">
        <v>475</v>
      </c>
      <c r="J848" s="41" t="s">
        <v>672</v>
      </c>
      <c r="K848" s="42"/>
      <c r="L848" s="41" t="s">
        <v>3521</v>
      </c>
      <c r="M848" s="41">
        <v>23</v>
      </c>
      <c r="N848" s="41" t="s">
        <v>3295</v>
      </c>
      <c r="O848" s="41" t="s">
        <v>553</v>
      </c>
      <c r="P848" s="41" t="s">
        <v>83</v>
      </c>
      <c r="Q848" s="41" t="s">
        <v>84</v>
      </c>
      <c r="R848" s="41" t="s">
        <v>132</v>
      </c>
      <c r="S848" s="41" t="s">
        <v>40</v>
      </c>
      <c r="T848" s="41" t="s">
        <v>40</v>
      </c>
      <c r="U848" s="41" t="s">
        <v>40</v>
      </c>
    </row>
    <row r="849" spans="1:21">
      <c r="A849" s="41">
        <v>2080</v>
      </c>
      <c r="B849" s="41" t="s">
        <v>3522</v>
      </c>
      <c r="D849" s="41">
        <v>5075</v>
      </c>
      <c r="E849" s="41" t="s">
        <v>3523</v>
      </c>
      <c r="F849" s="41" t="s">
        <v>53</v>
      </c>
      <c r="G849" s="41" t="s">
        <v>64</v>
      </c>
      <c r="I849" s="41" t="s">
        <v>3524</v>
      </c>
      <c r="J849" s="41" t="s">
        <v>32</v>
      </c>
      <c r="K849" s="42"/>
      <c r="L849" s="41" t="s">
        <v>3525</v>
      </c>
      <c r="M849" s="41">
        <v>220</v>
      </c>
      <c r="N849" s="41" t="s">
        <v>3526</v>
      </c>
      <c r="O849" s="41" t="s">
        <v>345</v>
      </c>
      <c r="P849" s="41" t="s">
        <v>68</v>
      </c>
      <c r="Q849" s="41" t="s">
        <v>244</v>
      </c>
      <c r="R849" s="41" t="s">
        <v>62</v>
      </c>
      <c r="S849" s="41" t="s">
        <v>40</v>
      </c>
      <c r="T849" s="41" t="s">
        <v>40</v>
      </c>
      <c r="U849" s="41" t="s">
        <v>40</v>
      </c>
    </row>
    <row r="850" spans="1:21">
      <c r="A850" s="41">
        <v>2079</v>
      </c>
      <c r="B850" s="41" t="s">
        <v>3527</v>
      </c>
      <c r="D850" s="41">
        <v>5074</v>
      </c>
      <c r="E850" s="41" t="s">
        <v>1191</v>
      </c>
      <c r="F850" s="41" t="s">
        <v>42</v>
      </c>
      <c r="G850" s="41" t="s">
        <v>141</v>
      </c>
      <c r="I850" s="41" t="s">
        <v>31</v>
      </c>
      <c r="J850" s="41" t="s">
        <v>32</v>
      </c>
      <c r="K850" s="42"/>
      <c r="L850" s="41" t="s">
        <v>3528</v>
      </c>
      <c r="M850" s="41">
        <v>33</v>
      </c>
      <c r="N850" s="41" t="s">
        <v>3529</v>
      </c>
      <c r="O850" s="41" t="s">
        <v>77</v>
      </c>
      <c r="P850" s="41" t="s">
        <v>179</v>
      </c>
      <c r="Q850" s="41" t="s">
        <v>592</v>
      </c>
      <c r="R850" s="41" t="s">
        <v>39</v>
      </c>
      <c r="S850" s="41" t="s">
        <v>40</v>
      </c>
      <c r="T850" s="41" t="s">
        <v>1894</v>
      </c>
      <c r="U850" s="41" t="s">
        <v>40</v>
      </c>
    </row>
    <row r="851" spans="1:21">
      <c r="A851" s="41">
        <v>2078</v>
      </c>
      <c r="B851" s="41" t="s">
        <v>3530</v>
      </c>
      <c r="D851" s="41">
        <v>5073</v>
      </c>
      <c r="E851" s="41" t="s">
        <v>1227</v>
      </c>
      <c r="F851" s="41" t="s">
        <v>42</v>
      </c>
      <c r="G851" s="41" t="s">
        <v>43</v>
      </c>
      <c r="I851" s="41" t="s">
        <v>231</v>
      </c>
      <c r="J851" s="41" t="s">
        <v>295</v>
      </c>
      <c r="K851" s="42"/>
      <c r="L851" s="41" t="s">
        <v>3531</v>
      </c>
      <c r="M851" s="41">
        <v>220</v>
      </c>
      <c r="N851" s="41" t="s">
        <v>1623</v>
      </c>
      <c r="O851" s="41" t="s">
        <v>3532</v>
      </c>
      <c r="P851" s="41" t="s">
        <v>98</v>
      </c>
      <c r="Q851" s="41" t="s">
        <v>116</v>
      </c>
      <c r="R851" s="41" t="s">
        <v>39</v>
      </c>
      <c r="S851" s="41" t="s">
        <v>40</v>
      </c>
      <c r="T851" s="41" t="s">
        <v>186</v>
      </c>
      <c r="U851" s="41" t="s">
        <v>40</v>
      </c>
    </row>
    <row r="852" spans="1:21">
      <c r="A852" s="41">
        <v>2077</v>
      </c>
      <c r="B852" s="41" t="s">
        <v>3533</v>
      </c>
      <c r="D852" s="41">
        <v>5072</v>
      </c>
      <c r="E852" s="41" t="s">
        <v>1076</v>
      </c>
      <c r="F852" s="41" t="s">
        <v>53</v>
      </c>
      <c r="G852" s="41" t="s">
        <v>64</v>
      </c>
      <c r="I852" s="41" t="s">
        <v>149</v>
      </c>
      <c r="J852" s="41" t="s">
        <v>32</v>
      </c>
      <c r="K852" s="42"/>
      <c r="L852" s="41" t="s">
        <v>3534</v>
      </c>
      <c r="M852" s="41">
        <v>13</v>
      </c>
      <c r="N852" s="41" t="s">
        <v>67</v>
      </c>
      <c r="O852" s="41" t="s">
        <v>362</v>
      </c>
      <c r="P852" s="41" t="s">
        <v>78</v>
      </c>
      <c r="Q852" s="41" t="s">
        <v>2407</v>
      </c>
      <c r="R852" s="41" t="s">
        <v>132</v>
      </c>
      <c r="S852" s="41" t="s">
        <v>40</v>
      </c>
      <c r="T852" s="41" t="s">
        <v>40</v>
      </c>
      <c r="U852" s="41" t="s">
        <v>40</v>
      </c>
    </row>
    <row r="853" spans="1:21">
      <c r="A853" s="41">
        <v>2076</v>
      </c>
      <c r="B853" s="41" t="s">
        <v>3535</v>
      </c>
      <c r="D853" s="41">
        <v>5071</v>
      </c>
      <c r="E853" s="41" t="s">
        <v>3536</v>
      </c>
      <c r="F853" s="41" t="s">
        <v>53</v>
      </c>
      <c r="G853" s="41" t="s">
        <v>141</v>
      </c>
      <c r="I853" s="41" t="s">
        <v>1966</v>
      </c>
      <c r="J853" s="41" t="s">
        <v>672</v>
      </c>
      <c r="K853" s="42"/>
      <c r="L853" s="41" t="s">
        <v>3537</v>
      </c>
      <c r="M853" s="41">
        <v>13</v>
      </c>
      <c r="N853" s="41" t="s">
        <v>1020</v>
      </c>
      <c r="O853" s="41" t="s">
        <v>2275</v>
      </c>
      <c r="P853" s="41" t="s">
        <v>334</v>
      </c>
      <c r="Q853" s="41" t="s">
        <v>335</v>
      </c>
      <c r="R853" s="41" t="s">
        <v>132</v>
      </c>
      <c r="S853" s="41" t="s">
        <v>3538</v>
      </c>
      <c r="T853" s="41" t="s">
        <v>770</v>
      </c>
      <c r="U853" s="41" t="s">
        <v>40</v>
      </c>
    </row>
    <row r="854" spans="1:21">
      <c r="A854" s="41">
        <v>2075</v>
      </c>
      <c r="B854" s="41" t="s">
        <v>3539</v>
      </c>
      <c r="D854" s="41">
        <v>5070</v>
      </c>
      <c r="E854" s="41" t="s">
        <v>3536</v>
      </c>
      <c r="F854" s="41" t="s">
        <v>53</v>
      </c>
      <c r="G854" s="41" t="s">
        <v>141</v>
      </c>
      <c r="I854" s="41" t="s">
        <v>1966</v>
      </c>
      <c r="J854" s="41" t="s">
        <v>672</v>
      </c>
      <c r="K854" s="42"/>
      <c r="L854" s="41" t="s">
        <v>3537</v>
      </c>
      <c r="M854" s="41">
        <v>13</v>
      </c>
      <c r="N854" s="41" t="s">
        <v>1020</v>
      </c>
      <c r="O854" s="41" t="s">
        <v>1261</v>
      </c>
      <c r="P854" s="41" t="s">
        <v>334</v>
      </c>
      <c r="Q854" s="41" t="s">
        <v>335</v>
      </c>
      <c r="R854" s="41" t="s">
        <v>132</v>
      </c>
      <c r="S854" s="41" t="s">
        <v>3540</v>
      </c>
      <c r="T854" s="41" t="s">
        <v>770</v>
      </c>
      <c r="U854" s="41" t="s">
        <v>40</v>
      </c>
    </row>
    <row r="855" spans="1:21">
      <c r="A855" s="41">
        <v>2074</v>
      </c>
      <c r="B855" s="41" t="s">
        <v>3541</v>
      </c>
      <c r="D855" s="41">
        <v>5079</v>
      </c>
      <c r="E855" s="41" t="s">
        <v>3010</v>
      </c>
      <c r="F855" s="41" t="s">
        <v>53</v>
      </c>
      <c r="G855" s="41" t="s">
        <v>43</v>
      </c>
      <c r="I855" s="41" t="s">
        <v>194</v>
      </c>
      <c r="J855" s="41" t="s">
        <v>295</v>
      </c>
      <c r="K855" s="42"/>
      <c r="L855" s="41" t="s">
        <v>3542</v>
      </c>
      <c r="M855" s="41">
        <v>12</v>
      </c>
      <c r="N855" s="41" t="s">
        <v>67</v>
      </c>
      <c r="O855" s="41" t="s">
        <v>1095</v>
      </c>
      <c r="P855" s="41" t="s">
        <v>78</v>
      </c>
      <c r="Q855" s="41" t="s">
        <v>1295</v>
      </c>
      <c r="R855" s="41" t="s">
        <v>132</v>
      </c>
      <c r="S855" s="41" t="s">
        <v>40</v>
      </c>
      <c r="T855" s="41" t="s">
        <v>40</v>
      </c>
      <c r="U855" s="41" t="s">
        <v>40</v>
      </c>
    </row>
    <row r="856" spans="1:21">
      <c r="A856" s="41">
        <v>2073</v>
      </c>
      <c r="B856" s="41" t="s">
        <v>3543</v>
      </c>
      <c r="D856" s="41">
        <v>5069</v>
      </c>
      <c r="E856" s="41" t="s">
        <v>2664</v>
      </c>
      <c r="F856" s="41" t="s">
        <v>28</v>
      </c>
      <c r="G856" s="41" t="s">
        <v>64</v>
      </c>
      <c r="I856" s="41" t="s">
        <v>45</v>
      </c>
      <c r="J856" s="41" t="s">
        <v>672</v>
      </c>
      <c r="K856" s="42"/>
      <c r="L856" s="41" t="s">
        <v>3544</v>
      </c>
      <c r="M856" s="41">
        <v>220</v>
      </c>
      <c r="N856" s="41" t="s">
        <v>357</v>
      </c>
      <c r="O856" s="41" t="s">
        <v>36</v>
      </c>
      <c r="P856" s="41" t="s">
        <v>98</v>
      </c>
      <c r="Q856" s="41" t="s">
        <v>2300</v>
      </c>
      <c r="R856" s="41" t="s">
        <v>39</v>
      </c>
      <c r="S856" s="41" t="s">
        <v>40</v>
      </c>
      <c r="T856" s="41" t="s">
        <v>40</v>
      </c>
      <c r="U856" s="41" t="s">
        <v>40</v>
      </c>
    </row>
    <row r="857" spans="1:21">
      <c r="A857" s="41">
        <v>2072</v>
      </c>
      <c r="B857" s="41" t="s">
        <v>3545</v>
      </c>
      <c r="D857" s="41">
        <v>5068</v>
      </c>
      <c r="E857" s="41" t="s">
        <v>3546</v>
      </c>
      <c r="F857" s="41" t="s">
        <v>53</v>
      </c>
      <c r="G857" s="41" t="s">
        <v>141</v>
      </c>
      <c r="I857" s="41" t="s">
        <v>399</v>
      </c>
      <c r="J857" s="41" t="s">
        <v>32</v>
      </c>
      <c r="K857" s="42"/>
      <c r="L857" s="41" t="s">
        <v>3547</v>
      </c>
      <c r="M857" s="41">
        <v>23</v>
      </c>
      <c r="N857" s="41" t="s">
        <v>59</v>
      </c>
      <c r="O857" s="41" t="s">
        <v>565</v>
      </c>
      <c r="P857" s="41" t="s">
        <v>68</v>
      </c>
      <c r="Q857" s="41" t="s">
        <v>3548</v>
      </c>
      <c r="R857" s="41" t="s">
        <v>132</v>
      </c>
      <c r="S857" s="41" t="s">
        <v>3549</v>
      </c>
      <c r="T857" s="41" t="s">
        <v>2690</v>
      </c>
      <c r="U857" s="41" t="s">
        <v>40</v>
      </c>
    </row>
    <row r="858" spans="1:21">
      <c r="A858" s="41">
        <v>2071</v>
      </c>
      <c r="B858" s="41" t="s">
        <v>3550</v>
      </c>
      <c r="D858" s="41">
        <v>5067</v>
      </c>
      <c r="E858" s="41" t="s">
        <v>3546</v>
      </c>
      <c r="F858" s="41" t="s">
        <v>53</v>
      </c>
      <c r="G858" s="41" t="s">
        <v>141</v>
      </c>
      <c r="I858" s="41" t="s">
        <v>399</v>
      </c>
      <c r="J858" s="41" t="s">
        <v>32</v>
      </c>
      <c r="K858" s="42"/>
      <c r="L858" s="41" t="s">
        <v>3551</v>
      </c>
      <c r="M858" s="41">
        <v>13</v>
      </c>
      <c r="N858" s="41" t="s">
        <v>59</v>
      </c>
      <c r="O858" s="41" t="s">
        <v>1083</v>
      </c>
      <c r="P858" s="41" t="s">
        <v>60</v>
      </c>
      <c r="Q858" s="41" t="s">
        <v>990</v>
      </c>
      <c r="R858" s="41" t="s">
        <v>132</v>
      </c>
      <c r="S858" s="41" t="s">
        <v>3552</v>
      </c>
      <c r="T858" s="41" t="s">
        <v>779</v>
      </c>
      <c r="U858" s="41" t="s">
        <v>40</v>
      </c>
    </row>
    <row r="859" spans="1:21">
      <c r="A859" s="41">
        <v>2070</v>
      </c>
      <c r="B859" s="41" t="s">
        <v>3553</v>
      </c>
      <c r="D859" s="41">
        <v>5078</v>
      </c>
      <c r="E859" s="41" t="s">
        <v>3010</v>
      </c>
      <c r="F859" s="41" t="s">
        <v>53</v>
      </c>
      <c r="G859" s="41" t="s">
        <v>64</v>
      </c>
      <c r="I859" s="41" t="s">
        <v>3554</v>
      </c>
      <c r="J859" s="41" t="s">
        <v>32</v>
      </c>
      <c r="K859" s="42"/>
      <c r="L859" s="41" t="s">
        <v>3555</v>
      </c>
      <c r="M859" s="41">
        <v>66</v>
      </c>
      <c r="N859" s="41" t="s">
        <v>340</v>
      </c>
      <c r="O859" s="41" t="s">
        <v>3556</v>
      </c>
      <c r="P859" s="41" t="s">
        <v>172</v>
      </c>
      <c r="Q859" s="41" t="s">
        <v>197</v>
      </c>
      <c r="R859" s="41" t="s">
        <v>132</v>
      </c>
      <c r="S859" s="41" t="s">
        <v>40</v>
      </c>
      <c r="T859" s="41" t="s">
        <v>40</v>
      </c>
      <c r="U859" s="41" t="s">
        <v>40</v>
      </c>
    </row>
    <row r="860" spans="1:21">
      <c r="A860" s="41">
        <v>2069</v>
      </c>
      <c r="B860" s="41" t="s">
        <v>3557</v>
      </c>
      <c r="D860" s="41">
        <v>5066</v>
      </c>
      <c r="E860" s="41" t="s">
        <v>3558</v>
      </c>
      <c r="F860" s="41" t="s">
        <v>53</v>
      </c>
      <c r="G860" s="41" t="s">
        <v>141</v>
      </c>
      <c r="I860" s="41" t="s">
        <v>201</v>
      </c>
      <c r="J860" s="41" t="s">
        <v>32</v>
      </c>
      <c r="K860" s="42"/>
      <c r="L860" s="41" t="s">
        <v>3559</v>
      </c>
      <c r="M860" s="41">
        <v>220</v>
      </c>
      <c r="N860" s="41" t="s">
        <v>67</v>
      </c>
      <c r="O860" s="41" t="s">
        <v>36</v>
      </c>
      <c r="P860" s="41" t="s">
        <v>37</v>
      </c>
      <c r="Q860" s="41" t="s">
        <v>3560</v>
      </c>
      <c r="R860" s="41" t="s">
        <v>132</v>
      </c>
      <c r="S860" s="41" t="s">
        <v>3561</v>
      </c>
      <c r="T860" s="41" t="s">
        <v>2539</v>
      </c>
      <c r="U860" s="41" t="s">
        <v>40</v>
      </c>
    </row>
    <row r="861" spans="1:21">
      <c r="A861" s="41">
        <v>2068</v>
      </c>
      <c r="B861" s="41" t="s">
        <v>120</v>
      </c>
      <c r="D861" s="41">
        <v>5065</v>
      </c>
      <c r="E861" s="41" t="s">
        <v>27</v>
      </c>
      <c r="F861" s="41" t="s">
        <v>42</v>
      </c>
      <c r="G861" s="41" t="s">
        <v>121</v>
      </c>
      <c r="I861" s="41" t="s">
        <v>45</v>
      </c>
      <c r="J861" s="41" t="s">
        <v>32</v>
      </c>
      <c r="K861" s="42"/>
      <c r="L861" s="41" t="s">
        <v>124</v>
      </c>
      <c r="M861" s="41">
        <v>33</v>
      </c>
      <c r="N861" s="41" t="s">
        <v>48</v>
      </c>
      <c r="O861" s="41" t="s">
        <v>49</v>
      </c>
      <c r="P861" s="41" t="s">
        <v>50</v>
      </c>
      <c r="Q861" s="41" t="s">
        <v>51</v>
      </c>
      <c r="R861" s="41" t="s">
        <v>39</v>
      </c>
      <c r="S861" s="41" t="s">
        <v>40</v>
      </c>
      <c r="T861" s="41" t="s">
        <v>125</v>
      </c>
      <c r="U861" s="41" t="s">
        <v>40</v>
      </c>
    </row>
    <row r="862" spans="1:21">
      <c r="A862" s="41">
        <v>2067</v>
      </c>
      <c r="B862" s="41" t="s">
        <v>3562</v>
      </c>
      <c r="D862" s="41">
        <v>5064</v>
      </c>
      <c r="E862" s="41" t="s">
        <v>1076</v>
      </c>
      <c r="F862" s="41" t="s">
        <v>53</v>
      </c>
      <c r="G862" s="41" t="s">
        <v>127</v>
      </c>
      <c r="I862" s="41" t="s">
        <v>149</v>
      </c>
      <c r="J862" s="41" t="s">
        <v>32</v>
      </c>
      <c r="K862" s="42"/>
      <c r="L862" s="41" t="s">
        <v>3563</v>
      </c>
      <c r="M862" s="41">
        <v>66</v>
      </c>
      <c r="N862" s="41" t="s">
        <v>67</v>
      </c>
      <c r="O862" s="41" t="s">
        <v>466</v>
      </c>
      <c r="P862" s="41" t="s">
        <v>172</v>
      </c>
      <c r="Q862" s="41" t="s">
        <v>1440</v>
      </c>
      <c r="R862" s="41" t="s">
        <v>132</v>
      </c>
      <c r="S862" s="41" t="s">
        <v>40</v>
      </c>
      <c r="T862" s="41" t="s">
        <v>40</v>
      </c>
      <c r="U862" s="41" t="s">
        <v>40</v>
      </c>
    </row>
    <row r="863" spans="1:21">
      <c r="A863" s="41">
        <v>2066</v>
      </c>
      <c r="B863" s="41" t="s">
        <v>3564</v>
      </c>
      <c r="D863" s="41">
        <v>5049</v>
      </c>
      <c r="E863" s="41" t="s">
        <v>3010</v>
      </c>
      <c r="F863" s="41" t="s">
        <v>53</v>
      </c>
      <c r="G863" s="41" t="s">
        <v>141</v>
      </c>
      <c r="I863" s="41" t="s">
        <v>45</v>
      </c>
      <c r="J863" s="41" t="s">
        <v>32</v>
      </c>
      <c r="K863" s="42"/>
      <c r="L863" s="41" t="s">
        <v>674</v>
      </c>
      <c r="M863" s="41">
        <v>220</v>
      </c>
      <c r="N863" s="41" t="s">
        <v>67</v>
      </c>
      <c r="O863" s="41" t="s">
        <v>345</v>
      </c>
      <c r="P863" s="41" t="s">
        <v>68</v>
      </c>
      <c r="Q863" s="41" t="s">
        <v>677</v>
      </c>
      <c r="R863" s="41" t="s">
        <v>62</v>
      </c>
      <c r="S863" s="41" t="s">
        <v>3565</v>
      </c>
      <c r="T863" s="41" t="s">
        <v>779</v>
      </c>
      <c r="U863" s="41" t="s">
        <v>40</v>
      </c>
    </row>
    <row r="864" spans="1:21">
      <c r="A864" s="41">
        <v>2063</v>
      </c>
      <c r="B864" s="41" t="s">
        <v>3566</v>
      </c>
      <c r="D864" s="41">
        <v>5042</v>
      </c>
      <c r="E864" s="41" t="s">
        <v>1227</v>
      </c>
      <c r="F864" s="41" t="s">
        <v>53</v>
      </c>
      <c r="G864" s="41" t="s">
        <v>141</v>
      </c>
      <c r="I864" s="41" t="s">
        <v>2454</v>
      </c>
      <c r="J864" s="41" t="s">
        <v>32</v>
      </c>
      <c r="K864" s="42"/>
      <c r="L864" s="41" t="s">
        <v>3567</v>
      </c>
      <c r="M864" s="41">
        <v>110</v>
      </c>
      <c r="N864" s="41" t="s">
        <v>1741</v>
      </c>
      <c r="O864" s="41" t="s">
        <v>741</v>
      </c>
      <c r="P864" s="41" t="s">
        <v>68</v>
      </c>
      <c r="Q864" s="41" t="s">
        <v>3518</v>
      </c>
      <c r="R864" s="41" t="s">
        <v>132</v>
      </c>
      <c r="S864" s="41" t="s">
        <v>3568</v>
      </c>
      <c r="T864" s="41" t="s">
        <v>2539</v>
      </c>
      <c r="U864" s="41" t="s">
        <v>40</v>
      </c>
    </row>
    <row r="865" spans="1:21">
      <c r="A865" s="41">
        <v>2062</v>
      </c>
      <c r="B865" s="41" t="s">
        <v>3569</v>
      </c>
      <c r="D865" s="41">
        <v>5041</v>
      </c>
      <c r="E865" s="41" t="s">
        <v>1691</v>
      </c>
      <c r="F865" s="41" t="s">
        <v>28</v>
      </c>
      <c r="G865" s="41" t="s">
        <v>1300</v>
      </c>
      <c r="I865" s="41" t="s">
        <v>194</v>
      </c>
      <c r="J865" s="41" t="s">
        <v>32</v>
      </c>
      <c r="K865" s="42"/>
      <c r="L865" s="41" t="s">
        <v>3570</v>
      </c>
      <c r="M865" s="41">
        <v>23</v>
      </c>
      <c r="N865" s="41" t="s">
        <v>3571</v>
      </c>
      <c r="O865" s="41" t="s">
        <v>3296</v>
      </c>
      <c r="P865" s="41" t="s">
        <v>78</v>
      </c>
      <c r="Q865" s="41" t="s">
        <v>1065</v>
      </c>
      <c r="R865" s="41" t="s">
        <v>39</v>
      </c>
      <c r="S865" s="41" t="s">
        <v>40</v>
      </c>
      <c r="T865" s="41" t="s">
        <v>40</v>
      </c>
      <c r="U865" s="41" t="s">
        <v>40</v>
      </c>
    </row>
    <row r="866" spans="1:21">
      <c r="A866" s="41">
        <v>2061</v>
      </c>
      <c r="B866" s="41" t="s">
        <v>3572</v>
      </c>
      <c r="E866" s="41" t="s">
        <v>1691</v>
      </c>
      <c r="F866" s="41" t="s">
        <v>28</v>
      </c>
      <c r="G866" s="41" t="s">
        <v>43</v>
      </c>
      <c r="I866" s="41" t="s">
        <v>194</v>
      </c>
      <c r="J866" s="41" t="s">
        <v>32</v>
      </c>
      <c r="K866" s="42"/>
      <c r="L866" s="41" t="s">
        <v>3573</v>
      </c>
      <c r="M866" s="41">
        <v>23</v>
      </c>
      <c r="N866" s="41" t="s">
        <v>3571</v>
      </c>
      <c r="O866" s="41" t="s">
        <v>3296</v>
      </c>
      <c r="P866" s="41" t="s">
        <v>78</v>
      </c>
      <c r="Q866" s="41" t="s">
        <v>1065</v>
      </c>
      <c r="R866" s="41" t="s">
        <v>39</v>
      </c>
      <c r="S866" s="41" t="s">
        <v>40</v>
      </c>
      <c r="T866" s="41" t="s">
        <v>40</v>
      </c>
      <c r="U866" s="41" t="s">
        <v>40</v>
      </c>
    </row>
    <row r="867" spans="1:21">
      <c r="A867" s="41">
        <v>2060</v>
      </c>
      <c r="B867" s="41" t="s">
        <v>3574</v>
      </c>
      <c r="D867" s="41">
        <v>5048</v>
      </c>
      <c r="E867" s="41" t="s">
        <v>3536</v>
      </c>
      <c r="F867" s="41" t="s">
        <v>53</v>
      </c>
      <c r="G867" s="41" t="s">
        <v>141</v>
      </c>
      <c r="I867" s="41" t="s">
        <v>194</v>
      </c>
      <c r="J867" s="41" t="s">
        <v>672</v>
      </c>
      <c r="K867" s="42"/>
      <c r="L867" s="41" t="s">
        <v>3575</v>
      </c>
      <c r="M867" s="41">
        <v>13</v>
      </c>
      <c r="N867" s="41" t="s">
        <v>1020</v>
      </c>
      <c r="O867" s="41" t="s">
        <v>3576</v>
      </c>
      <c r="P867" s="41" t="s">
        <v>334</v>
      </c>
      <c r="Q867" s="41" t="s">
        <v>2815</v>
      </c>
      <c r="R867" s="41" t="s">
        <v>132</v>
      </c>
      <c r="S867" s="41" t="s">
        <v>3577</v>
      </c>
      <c r="T867" s="41" t="s">
        <v>1894</v>
      </c>
      <c r="U867" s="41" t="s">
        <v>40</v>
      </c>
    </row>
    <row r="868" spans="1:21">
      <c r="A868" s="41">
        <v>2059</v>
      </c>
      <c r="B868" s="41" t="s">
        <v>3578</v>
      </c>
      <c r="D868" s="41">
        <v>5047</v>
      </c>
      <c r="E868" s="41" t="s">
        <v>3536</v>
      </c>
      <c r="F868" s="41" t="s">
        <v>53</v>
      </c>
      <c r="G868" s="41" t="s">
        <v>141</v>
      </c>
      <c r="I868" s="41" t="s">
        <v>194</v>
      </c>
      <c r="J868" s="41" t="s">
        <v>672</v>
      </c>
      <c r="K868" s="42"/>
      <c r="L868" s="41" t="s">
        <v>3575</v>
      </c>
      <c r="M868" s="41">
        <v>13</v>
      </c>
      <c r="N868" s="41" t="s">
        <v>1020</v>
      </c>
      <c r="O868" s="41" t="s">
        <v>650</v>
      </c>
      <c r="P868" s="41" t="s">
        <v>334</v>
      </c>
      <c r="Q868" s="41" t="s">
        <v>2815</v>
      </c>
      <c r="R868" s="41" t="s">
        <v>132</v>
      </c>
      <c r="S868" s="41" t="s">
        <v>3579</v>
      </c>
      <c r="T868" s="41" t="s">
        <v>1894</v>
      </c>
      <c r="U868" s="41" t="s">
        <v>40</v>
      </c>
    </row>
    <row r="869" spans="1:21">
      <c r="A869" s="41">
        <v>2058</v>
      </c>
      <c r="B869" s="41" t="s">
        <v>3580</v>
      </c>
      <c r="D869" s="41">
        <v>5046</v>
      </c>
      <c r="E869" s="41" t="s">
        <v>3536</v>
      </c>
      <c r="F869" s="41" t="s">
        <v>53</v>
      </c>
      <c r="G869" s="41" t="s">
        <v>141</v>
      </c>
      <c r="I869" s="41" t="s">
        <v>194</v>
      </c>
      <c r="J869" s="41" t="s">
        <v>672</v>
      </c>
      <c r="K869" s="42"/>
      <c r="L869" s="41" t="s">
        <v>3575</v>
      </c>
      <c r="M869" s="41">
        <v>13</v>
      </c>
      <c r="N869" s="41" t="s">
        <v>1020</v>
      </c>
      <c r="O869" s="41" t="s">
        <v>362</v>
      </c>
      <c r="P869" s="41" t="s">
        <v>334</v>
      </c>
      <c r="Q869" s="41" t="s">
        <v>2815</v>
      </c>
      <c r="R869" s="41" t="s">
        <v>132</v>
      </c>
      <c r="S869" s="41" t="s">
        <v>3581</v>
      </c>
      <c r="T869" s="41" t="s">
        <v>1894</v>
      </c>
      <c r="U869" s="41" t="s">
        <v>40</v>
      </c>
    </row>
    <row r="870" spans="1:21">
      <c r="A870" s="41">
        <v>2057</v>
      </c>
      <c r="B870" s="41" t="s">
        <v>3582</v>
      </c>
      <c r="D870" s="41">
        <v>5039</v>
      </c>
      <c r="E870" s="41" t="s">
        <v>3583</v>
      </c>
      <c r="F870" s="41" t="s">
        <v>28</v>
      </c>
      <c r="G870" s="41" t="s">
        <v>301</v>
      </c>
      <c r="I870" s="41" t="s">
        <v>135</v>
      </c>
      <c r="J870" s="41" t="s">
        <v>32</v>
      </c>
      <c r="K870" s="42"/>
      <c r="L870" s="41" t="s">
        <v>3584</v>
      </c>
      <c r="M870" s="41">
        <v>220</v>
      </c>
      <c r="N870" s="41" t="s">
        <v>3585</v>
      </c>
      <c r="O870" s="41" t="s">
        <v>3586</v>
      </c>
      <c r="P870" s="41" t="s">
        <v>179</v>
      </c>
      <c r="Q870" s="41" t="s">
        <v>1116</v>
      </c>
      <c r="R870" s="41" t="s">
        <v>39</v>
      </c>
      <c r="S870" s="41" t="s">
        <v>3587</v>
      </c>
      <c r="T870" s="41" t="s">
        <v>1894</v>
      </c>
      <c r="U870" s="41" t="s">
        <v>1402</v>
      </c>
    </row>
    <row r="871" spans="1:21">
      <c r="A871" s="41">
        <v>2056</v>
      </c>
      <c r="B871" s="41" t="s">
        <v>3588</v>
      </c>
      <c r="D871" s="41">
        <v>5030</v>
      </c>
      <c r="E871" s="41" t="s">
        <v>3589</v>
      </c>
      <c r="F871" s="41" t="s">
        <v>53</v>
      </c>
      <c r="G871" s="41" t="s">
        <v>141</v>
      </c>
      <c r="I871" s="41" t="s">
        <v>1374</v>
      </c>
      <c r="J871" s="41" t="s">
        <v>672</v>
      </c>
      <c r="K871" s="42"/>
      <c r="L871" s="41" t="s">
        <v>1013</v>
      </c>
      <c r="M871" s="41">
        <v>220</v>
      </c>
      <c r="N871" s="41" t="s">
        <v>67</v>
      </c>
      <c r="O871" s="41" t="s">
        <v>345</v>
      </c>
      <c r="P871" s="41" t="s">
        <v>98</v>
      </c>
      <c r="Q871" s="41" t="s">
        <v>116</v>
      </c>
      <c r="R871" s="41" t="s">
        <v>62</v>
      </c>
      <c r="S871" s="41" t="s">
        <v>3590</v>
      </c>
      <c r="T871" s="41" t="s">
        <v>2145</v>
      </c>
      <c r="U871" s="41" t="s">
        <v>40</v>
      </c>
    </row>
    <row r="872" spans="1:21">
      <c r="A872" s="41">
        <v>2055</v>
      </c>
      <c r="B872" s="41" t="s">
        <v>3591</v>
      </c>
      <c r="D872" s="41">
        <v>5043</v>
      </c>
      <c r="E872" s="41" t="s">
        <v>3592</v>
      </c>
      <c r="F872" s="41" t="s">
        <v>53</v>
      </c>
      <c r="G872" s="41" t="s">
        <v>141</v>
      </c>
      <c r="I872" s="41" t="s">
        <v>194</v>
      </c>
      <c r="J872" s="41" t="s">
        <v>32</v>
      </c>
      <c r="K872" s="42"/>
      <c r="L872" s="41" t="s">
        <v>3593</v>
      </c>
      <c r="M872" s="41">
        <v>23</v>
      </c>
      <c r="N872" s="41" t="s">
        <v>1020</v>
      </c>
      <c r="O872" s="41" t="s">
        <v>565</v>
      </c>
      <c r="P872" s="41" t="s">
        <v>78</v>
      </c>
      <c r="Q872" s="41" t="s">
        <v>1065</v>
      </c>
      <c r="R872" s="41" t="s">
        <v>132</v>
      </c>
      <c r="S872" s="41" t="s">
        <v>3594</v>
      </c>
      <c r="T872" s="41" t="s">
        <v>1621</v>
      </c>
      <c r="U872" s="41" t="s">
        <v>40</v>
      </c>
    </row>
    <row r="873" spans="1:21">
      <c r="A873" s="41">
        <v>2054</v>
      </c>
      <c r="B873" s="41" t="s">
        <v>3595</v>
      </c>
      <c r="D873" s="41">
        <v>5038</v>
      </c>
      <c r="E873" s="41" t="s">
        <v>1385</v>
      </c>
      <c r="F873" s="41" t="s">
        <v>28</v>
      </c>
      <c r="G873" s="41" t="s">
        <v>64</v>
      </c>
      <c r="I873" s="41" t="s">
        <v>1404</v>
      </c>
      <c r="J873" s="41" t="s">
        <v>380</v>
      </c>
      <c r="K873" s="42"/>
      <c r="L873" s="41" t="s">
        <v>2731</v>
      </c>
      <c r="M873" s="41">
        <v>220</v>
      </c>
      <c r="N873" s="41" t="s">
        <v>2309</v>
      </c>
      <c r="O873" s="41" t="s">
        <v>2566</v>
      </c>
      <c r="P873" s="41" t="s">
        <v>37</v>
      </c>
      <c r="Q873" s="41" t="s">
        <v>1535</v>
      </c>
      <c r="R873" s="41" t="s">
        <v>39</v>
      </c>
      <c r="S873" s="41" t="s">
        <v>40</v>
      </c>
      <c r="T873" s="41" t="s">
        <v>40</v>
      </c>
      <c r="U873" s="41" t="s">
        <v>40</v>
      </c>
    </row>
    <row r="874" spans="1:21">
      <c r="A874" s="41">
        <v>2053</v>
      </c>
      <c r="B874" s="41" t="s">
        <v>3596</v>
      </c>
      <c r="D874" s="41">
        <v>5037</v>
      </c>
      <c r="E874" s="41" t="s">
        <v>2611</v>
      </c>
      <c r="F874" s="41" t="s">
        <v>53</v>
      </c>
      <c r="G874" s="41" t="s">
        <v>141</v>
      </c>
      <c r="I874" s="41" t="s">
        <v>102</v>
      </c>
      <c r="J874" s="41" t="s">
        <v>32</v>
      </c>
      <c r="K874" s="42"/>
      <c r="L874" s="41" t="s">
        <v>3597</v>
      </c>
      <c r="M874" s="41">
        <v>220</v>
      </c>
      <c r="N874" s="41" t="s">
        <v>2671</v>
      </c>
      <c r="O874" s="41" t="s">
        <v>3598</v>
      </c>
      <c r="P874" s="41" t="s">
        <v>98</v>
      </c>
      <c r="Q874" s="41" t="s">
        <v>116</v>
      </c>
      <c r="R874" s="41" t="s">
        <v>62</v>
      </c>
      <c r="S874" s="41" t="s">
        <v>3599</v>
      </c>
      <c r="T874" s="41" t="s">
        <v>2690</v>
      </c>
      <c r="U874" s="41" t="s">
        <v>40</v>
      </c>
    </row>
    <row r="875" spans="1:21">
      <c r="A875" s="41">
        <v>2052</v>
      </c>
      <c r="B875" s="41" t="s">
        <v>3600</v>
      </c>
      <c r="D875" s="41">
        <v>5045</v>
      </c>
      <c r="E875" s="41" t="s">
        <v>3601</v>
      </c>
      <c r="F875" s="41" t="s">
        <v>28</v>
      </c>
      <c r="G875" s="41" t="s">
        <v>64</v>
      </c>
      <c r="I875" s="41" t="s">
        <v>3327</v>
      </c>
      <c r="J875" s="41" t="s">
        <v>32</v>
      </c>
      <c r="K875" s="42"/>
      <c r="L875" s="41" t="s">
        <v>3602</v>
      </c>
      <c r="M875" s="41">
        <v>220</v>
      </c>
      <c r="N875" s="41" t="s">
        <v>2714</v>
      </c>
      <c r="O875" s="41" t="s">
        <v>2714</v>
      </c>
      <c r="P875" s="41" t="s">
        <v>50</v>
      </c>
      <c r="Q875" s="41" t="s">
        <v>51</v>
      </c>
      <c r="R875" s="41" t="s">
        <v>39</v>
      </c>
      <c r="S875" s="41" t="s">
        <v>40</v>
      </c>
      <c r="T875" s="41" t="s">
        <v>40</v>
      </c>
      <c r="U875" s="41" t="s">
        <v>40</v>
      </c>
    </row>
    <row r="876" spans="1:21">
      <c r="A876" s="41">
        <v>2051</v>
      </c>
      <c r="B876" s="41" t="s">
        <v>3603</v>
      </c>
      <c r="D876" s="41">
        <v>5001</v>
      </c>
      <c r="E876" s="41" t="s">
        <v>3604</v>
      </c>
      <c r="F876" s="41" t="s">
        <v>42</v>
      </c>
      <c r="G876" s="41" t="s">
        <v>121</v>
      </c>
      <c r="I876" s="41" t="s">
        <v>3605</v>
      </c>
      <c r="J876" s="41" t="s">
        <v>32</v>
      </c>
      <c r="K876" s="42"/>
      <c r="L876" s="41" t="s">
        <v>3606</v>
      </c>
      <c r="M876" s="41">
        <v>220</v>
      </c>
      <c r="N876" s="41" t="s">
        <v>67</v>
      </c>
      <c r="O876" s="41" t="s">
        <v>2439</v>
      </c>
      <c r="P876" s="41" t="s">
        <v>98</v>
      </c>
      <c r="Q876" s="41" t="s">
        <v>204</v>
      </c>
      <c r="R876" s="41" t="s">
        <v>39</v>
      </c>
      <c r="S876" s="41" t="s">
        <v>40</v>
      </c>
      <c r="T876" s="41" t="s">
        <v>125</v>
      </c>
      <c r="U876" s="41" t="s">
        <v>40</v>
      </c>
    </row>
    <row r="877" spans="1:21">
      <c r="A877" s="41">
        <v>2050</v>
      </c>
      <c r="B877" s="41" t="s">
        <v>3607</v>
      </c>
      <c r="D877" s="41">
        <v>5036</v>
      </c>
      <c r="E877" s="41" t="s">
        <v>1112</v>
      </c>
      <c r="F877" s="41" t="s">
        <v>53</v>
      </c>
      <c r="G877" s="41" t="s">
        <v>141</v>
      </c>
      <c r="I877" s="41" t="s">
        <v>45</v>
      </c>
      <c r="J877" s="41" t="s">
        <v>32</v>
      </c>
      <c r="K877" s="42"/>
      <c r="L877" s="41" t="s">
        <v>3608</v>
      </c>
      <c r="M877" s="41">
        <v>220</v>
      </c>
      <c r="N877" s="41" t="s">
        <v>3609</v>
      </c>
      <c r="O877" s="41" t="s">
        <v>3610</v>
      </c>
      <c r="P877" s="41" t="s">
        <v>153</v>
      </c>
      <c r="Q877" s="41" t="s">
        <v>329</v>
      </c>
      <c r="R877" s="41" t="s">
        <v>62</v>
      </c>
      <c r="S877" s="41" t="s">
        <v>3611</v>
      </c>
      <c r="T877" s="41" t="s">
        <v>146</v>
      </c>
      <c r="U877" s="41" t="s">
        <v>40</v>
      </c>
    </row>
    <row r="878" spans="1:21">
      <c r="A878" s="41">
        <v>2049</v>
      </c>
      <c r="B878" s="41" t="s">
        <v>3612</v>
      </c>
      <c r="D878" s="41">
        <v>5003</v>
      </c>
      <c r="E878" s="41" t="s">
        <v>3613</v>
      </c>
      <c r="F878" s="41" t="s">
        <v>42</v>
      </c>
      <c r="G878" s="41" t="s">
        <v>141</v>
      </c>
      <c r="I878" s="41" t="s">
        <v>1327</v>
      </c>
      <c r="J878" s="41" t="s">
        <v>32</v>
      </c>
      <c r="K878" s="42"/>
      <c r="L878" s="41" t="s">
        <v>3614</v>
      </c>
      <c r="M878" s="41">
        <v>23</v>
      </c>
      <c r="N878" s="41" t="s">
        <v>67</v>
      </c>
      <c r="O878" s="41" t="s">
        <v>36</v>
      </c>
      <c r="P878" s="41" t="s">
        <v>153</v>
      </c>
      <c r="Q878" s="41" t="s">
        <v>2004</v>
      </c>
      <c r="R878" s="41" t="s">
        <v>39</v>
      </c>
      <c r="S878" s="41" t="s">
        <v>40</v>
      </c>
      <c r="T878" s="41" t="s">
        <v>3491</v>
      </c>
      <c r="U878" s="41" t="s">
        <v>40</v>
      </c>
    </row>
    <row r="879" spans="1:21">
      <c r="A879" s="41">
        <v>2048</v>
      </c>
      <c r="B879" s="41" t="s">
        <v>3615</v>
      </c>
      <c r="D879" s="41">
        <v>5004</v>
      </c>
      <c r="E879" s="41" t="s">
        <v>2845</v>
      </c>
      <c r="F879" s="41" t="s">
        <v>42</v>
      </c>
      <c r="G879" s="41" t="s">
        <v>141</v>
      </c>
      <c r="I879" s="41" t="s">
        <v>3616</v>
      </c>
      <c r="J879" s="41" t="s">
        <v>32</v>
      </c>
      <c r="K879" s="42"/>
      <c r="L879" s="41" t="s">
        <v>3617</v>
      </c>
      <c r="M879" s="41">
        <v>33</v>
      </c>
      <c r="N879" s="41" t="s">
        <v>67</v>
      </c>
      <c r="O879" s="41" t="s">
        <v>36</v>
      </c>
      <c r="P879" s="41" t="s">
        <v>179</v>
      </c>
      <c r="Q879" s="41" t="s">
        <v>1116</v>
      </c>
      <c r="R879" s="41" t="s">
        <v>39</v>
      </c>
      <c r="S879" s="41" t="s">
        <v>40</v>
      </c>
      <c r="T879" s="41" t="s">
        <v>3491</v>
      </c>
      <c r="U879" s="41" t="s">
        <v>40</v>
      </c>
    </row>
    <row r="880" spans="1:21">
      <c r="A880" s="41">
        <v>2047</v>
      </c>
      <c r="B880" s="41" t="s">
        <v>3618</v>
      </c>
      <c r="D880" s="41">
        <v>5034</v>
      </c>
      <c r="E880" s="41" t="s">
        <v>1112</v>
      </c>
      <c r="F880" s="41" t="s">
        <v>53</v>
      </c>
      <c r="G880" s="41" t="s">
        <v>43</v>
      </c>
      <c r="I880" s="41" t="s">
        <v>45</v>
      </c>
      <c r="J880" s="41" t="s">
        <v>32</v>
      </c>
      <c r="K880" s="42"/>
      <c r="L880" s="41" t="s">
        <v>1304</v>
      </c>
      <c r="M880" s="41">
        <v>220</v>
      </c>
      <c r="N880" s="41" t="s">
        <v>3619</v>
      </c>
      <c r="O880" s="41" t="s">
        <v>36</v>
      </c>
      <c r="P880" s="41" t="s">
        <v>98</v>
      </c>
      <c r="Q880" s="41" t="s">
        <v>116</v>
      </c>
      <c r="R880" s="41" t="s">
        <v>62</v>
      </c>
      <c r="S880" s="41" t="s">
        <v>40</v>
      </c>
      <c r="T880" s="41" t="s">
        <v>40</v>
      </c>
      <c r="U880" s="41" t="s">
        <v>40</v>
      </c>
    </row>
    <row r="881" spans="1:21">
      <c r="A881" s="41">
        <v>2046</v>
      </c>
      <c r="B881" s="41" t="s">
        <v>3620</v>
      </c>
      <c r="D881" s="41">
        <v>5005</v>
      </c>
      <c r="E881" s="41" t="s">
        <v>1191</v>
      </c>
      <c r="F881" s="41" t="s">
        <v>42</v>
      </c>
      <c r="G881" s="41" t="s">
        <v>141</v>
      </c>
      <c r="I881" s="41" t="s">
        <v>2572</v>
      </c>
      <c r="J881" s="41" t="s">
        <v>380</v>
      </c>
      <c r="K881" s="42"/>
      <c r="L881" s="41" t="s">
        <v>3621</v>
      </c>
      <c r="M881" s="41">
        <v>220</v>
      </c>
      <c r="N881" s="41" t="s">
        <v>1741</v>
      </c>
      <c r="O881" s="41" t="s">
        <v>3204</v>
      </c>
      <c r="P881" s="41" t="s">
        <v>98</v>
      </c>
      <c r="Q881" s="41" t="s">
        <v>99</v>
      </c>
      <c r="R881" s="41" t="s">
        <v>39</v>
      </c>
      <c r="S881" s="41" t="s">
        <v>40</v>
      </c>
      <c r="T881" s="41" t="s">
        <v>779</v>
      </c>
      <c r="U881" s="41" t="s">
        <v>40</v>
      </c>
    </row>
    <row r="882" spans="1:21">
      <c r="A882" s="41">
        <v>2045</v>
      </c>
      <c r="B882" s="41" t="s">
        <v>3622</v>
      </c>
      <c r="D882" s="41">
        <v>5035</v>
      </c>
      <c r="E882" s="41" t="s">
        <v>1112</v>
      </c>
      <c r="F882" s="41" t="s">
        <v>53</v>
      </c>
      <c r="G882" s="41" t="s">
        <v>141</v>
      </c>
      <c r="I882" s="41" t="s">
        <v>2572</v>
      </c>
      <c r="J882" s="41" t="s">
        <v>32</v>
      </c>
      <c r="K882" s="42"/>
      <c r="L882" s="41" t="s">
        <v>3623</v>
      </c>
      <c r="M882" s="41">
        <v>220</v>
      </c>
      <c r="N882" s="41" t="s">
        <v>3624</v>
      </c>
      <c r="O882" s="41" t="s">
        <v>36</v>
      </c>
      <c r="P882" s="41" t="s">
        <v>179</v>
      </c>
      <c r="Q882" s="41" t="s">
        <v>284</v>
      </c>
      <c r="R882" s="41" t="s">
        <v>62</v>
      </c>
      <c r="S882" s="41" t="s">
        <v>3625</v>
      </c>
      <c r="T882" s="41" t="s">
        <v>2169</v>
      </c>
      <c r="U882" s="41" t="s">
        <v>40</v>
      </c>
    </row>
    <row r="883" spans="1:21">
      <c r="A883" s="41">
        <v>2044</v>
      </c>
      <c r="B883" s="41" t="s">
        <v>766</v>
      </c>
      <c r="C883" s="43">
        <v>1</v>
      </c>
      <c r="D883" s="41">
        <v>5044</v>
      </c>
      <c r="E883" s="41" t="s">
        <v>686</v>
      </c>
      <c r="F883" s="41" t="s">
        <v>53</v>
      </c>
      <c r="G883" s="41" t="s">
        <v>64</v>
      </c>
      <c r="I883" s="41" t="s">
        <v>231</v>
      </c>
      <c r="J883" s="41" t="s">
        <v>672</v>
      </c>
      <c r="K883" s="42"/>
      <c r="L883" s="41" t="s">
        <v>696</v>
      </c>
      <c r="M883" s="41">
        <v>220</v>
      </c>
      <c r="N883" s="41" t="s">
        <v>340</v>
      </c>
      <c r="O883" s="41" t="s">
        <v>452</v>
      </c>
      <c r="P883" s="41" t="s">
        <v>68</v>
      </c>
      <c r="Q883" s="41" t="s">
        <v>699</v>
      </c>
      <c r="R883" s="41" t="s">
        <v>132</v>
      </c>
      <c r="S883" s="41" t="s">
        <v>769</v>
      </c>
      <c r="T883" s="41" t="s">
        <v>770</v>
      </c>
      <c r="U883" s="41" t="s">
        <v>40</v>
      </c>
    </row>
    <row r="884" spans="1:21">
      <c r="A884" s="41">
        <v>2043</v>
      </c>
      <c r="B884" s="41" t="s">
        <v>3626</v>
      </c>
      <c r="D884" s="41">
        <v>5059</v>
      </c>
      <c r="E884" s="41" t="s">
        <v>1435</v>
      </c>
      <c r="F884" s="41" t="s">
        <v>28</v>
      </c>
      <c r="G884" s="41" t="s">
        <v>1162</v>
      </c>
      <c r="I884" s="41" t="s">
        <v>966</v>
      </c>
      <c r="J884" s="41" t="s">
        <v>32</v>
      </c>
      <c r="K884" s="42"/>
      <c r="L884" s="41" t="s">
        <v>3627</v>
      </c>
      <c r="M884" s="41">
        <v>110</v>
      </c>
      <c r="N884" s="41" t="s">
        <v>962</v>
      </c>
      <c r="O884" s="41" t="s">
        <v>3628</v>
      </c>
      <c r="P884" s="41" t="s">
        <v>98</v>
      </c>
      <c r="Q884" s="41" t="s">
        <v>98</v>
      </c>
      <c r="R884" s="41" t="s">
        <v>39</v>
      </c>
      <c r="S884" s="41" t="s">
        <v>40</v>
      </c>
      <c r="T884" s="41" t="s">
        <v>40</v>
      </c>
      <c r="U884" s="41" t="s">
        <v>40</v>
      </c>
    </row>
    <row r="885" spans="1:21">
      <c r="A885" s="41">
        <v>2042</v>
      </c>
      <c r="B885" s="41" t="s">
        <v>3629</v>
      </c>
      <c r="D885" s="41">
        <v>5010</v>
      </c>
      <c r="E885" s="41" t="s">
        <v>965</v>
      </c>
      <c r="F885" s="41" t="s">
        <v>53</v>
      </c>
      <c r="G885" s="41" t="s">
        <v>64</v>
      </c>
      <c r="I885" s="41" t="s">
        <v>149</v>
      </c>
      <c r="J885" s="41" t="s">
        <v>32</v>
      </c>
      <c r="K885" s="42"/>
      <c r="L885" s="41" t="s">
        <v>3630</v>
      </c>
      <c r="M885" s="41">
        <v>66</v>
      </c>
      <c r="N885" s="41" t="s">
        <v>59</v>
      </c>
      <c r="O885" s="41" t="s">
        <v>3631</v>
      </c>
      <c r="P885" s="41" t="s">
        <v>334</v>
      </c>
      <c r="Q885" s="41" t="s">
        <v>423</v>
      </c>
      <c r="R885" s="41" t="s">
        <v>132</v>
      </c>
      <c r="S885" s="41" t="s">
        <v>40</v>
      </c>
      <c r="T885" s="41" t="s">
        <v>40</v>
      </c>
      <c r="U885" s="41" t="s">
        <v>40</v>
      </c>
    </row>
    <row r="886" spans="1:21">
      <c r="A886" s="41">
        <v>2041</v>
      </c>
      <c r="B886" s="41" t="s">
        <v>3632</v>
      </c>
      <c r="D886" s="41">
        <v>5009</v>
      </c>
      <c r="E886" s="41" t="s">
        <v>1227</v>
      </c>
      <c r="F886" s="41" t="s">
        <v>42</v>
      </c>
      <c r="G886" s="41" t="s">
        <v>1175</v>
      </c>
      <c r="I886" s="41" t="s">
        <v>3488</v>
      </c>
      <c r="J886" s="41" t="s">
        <v>32</v>
      </c>
      <c r="K886" s="42"/>
      <c r="L886" s="41" t="s">
        <v>3633</v>
      </c>
      <c r="M886" s="41">
        <v>33</v>
      </c>
      <c r="N886" s="41" t="s">
        <v>3634</v>
      </c>
      <c r="O886" s="41" t="s">
        <v>36</v>
      </c>
      <c r="P886" s="41" t="s">
        <v>68</v>
      </c>
      <c r="Q886" s="41" t="s">
        <v>699</v>
      </c>
      <c r="R886" s="41" t="s">
        <v>39</v>
      </c>
      <c r="S886" s="41" t="s">
        <v>40</v>
      </c>
      <c r="T886" s="41" t="s">
        <v>40</v>
      </c>
      <c r="U886" s="41" t="s">
        <v>40</v>
      </c>
    </row>
    <row r="887" spans="1:21">
      <c r="A887" s="41">
        <v>2040</v>
      </c>
      <c r="B887" s="41" t="s">
        <v>3635</v>
      </c>
      <c r="D887" s="41">
        <v>5008</v>
      </c>
      <c r="E887" s="41" t="s">
        <v>3236</v>
      </c>
      <c r="F887" s="41" t="s">
        <v>28</v>
      </c>
      <c r="G887" s="41" t="s">
        <v>301</v>
      </c>
      <c r="I887" s="41" t="s">
        <v>3636</v>
      </c>
      <c r="J887" s="41" t="s">
        <v>380</v>
      </c>
      <c r="K887" s="42"/>
      <c r="L887" s="41" t="s">
        <v>3637</v>
      </c>
      <c r="M887" s="41">
        <v>220</v>
      </c>
      <c r="N887" s="41" t="s">
        <v>1619</v>
      </c>
      <c r="O887" s="41" t="s">
        <v>36</v>
      </c>
      <c r="P887" s="41" t="s">
        <v>83</v>
      </c>
      <c r="Q887" s="41" t="s">
        <v>467</v>
      </c>
      <c r="R887" s="41" t="s">
        <v>39</v>
      </c>
      <c r="S887" s="41" t="s">
        <v>3638</v>
      </c>
      <c r="T887" s="41" t="s">
        <v>186</v>
      </c>
      <c r="U887" s="41" t="s">
        <v>40</v>
      </c>
    </row>
    <row r="888" spans="1:21">
      <c r="A888" s="41">
        <v>2039</v>
      </c>
      <c r="B888" s="41" t="s">
        <v>3320</v>
      </c>
      <c r="D888" s="41">
        <v>5007</v>
      </c>
      <c r="E888" s="41" t="s">
        <v>1161</v>
      </c>
      <c r="F888" s="41" t="s">
        <v>53</v>
      </c>
      <c r="G888" s="41" t="s">
        <v>64</v>
      </c>
      <c r="I888" s="41" t="s">
        <v>960</v>
      </c>
      <c r="J888" s="41" t="s">
        <v>295</v>
      </c>
      <c r="K888" s="42"/>
      <c r="L888" s="41" t="s">
        <v>3639</v>
      </c>
      <c r="M888" s="41">
        <v>12</v>
      </c>
      <c r="N888" s="41" t="s">
        <v>3640</v>
      </c>
      <c r="O888" s="41" t="s">
        <v>3641</v>
      </c>
      <c r="P888" s="41" t="s">
        <v>68</v>
      </c>
      <c r="Q888" s="41" t="s">
        <v>1165</v>
      </c>
      <c r="R888" s="41" t="s">
        <v>132</v>
      </c>
      <c r="S888" s="41" t="s">
        <v>40</v>
      </c>
      <c r="T888" s="41" t="s">
        <v>40</v>
      </c>
      <c r="U888" s="41" t="s">
        <v>40</v>
      </c>
    </row>
    <row r="889" spans="1:21">
      <c r="A889" s="41">
        <v>2038</v>
      </c>
      <c r="B889" s="41" t="s">
        <v>3642</v>
      </c>
      <c r="D889" s="41">
        <v>5006</v>
      </c>
      <c r="E889" s="41" t="s">
        <v>3010</v>
      </c>
      <c r="F889" s="41" t="s">
        <v>53</v>
      </c>
      <c r="G889" s="41" t="s">
        <v>141</v>
      </c>
      <c r="I889" s="41" t="s">
        <v>45</v>
      </c>
      <c r="J889" s="41" t="s">
        <v>32</v>
      </c>
      <c r="K889" s="42"/>
      <c r="L889" s="41" t="s">
        <v>3608</v>
      </c>
      <c r="M889" s="41">
        <v>220</v>
      </c>
      <c r="N889" s="41" t="s">
        <v>151</v>
      </c>
      <c r="O889" s="41" t="s">
        <v>271</v>
      </c>
      <c r="P889" s="41" t="s">
        <v>153</v>
      </c>
      <c r="Q889" s="41" t="s">
        <v>2489</v>
      </c>
      <c r="R889" s="41" t="s">
        <v>62</v>
      </c>
      <c r="S889" s="41" t="s">
        <v>3643</v>
      </c>
      <c r="T889" s="41" t="s">
        <v>1846</v>
      </c>
      <c r="U889" s="41" t="s">
        <v>40</v>
      </c>
    </row>
    <row r="890" spans="1:21">
      <c r="A890" s="41">
        <v>2037</v>
      </c>
      <c r="B890" s="41" t="s">
        <v>3644</v>
      </c>
      <c r="D890" s="41">
        <v>5002</v>
      </c>
      <c r="E890" s="41" t="s">
        <v>2351</v>
      </c>
      <c r="F890" s="41" t="s">
        <v>42</v>
      </c>
      <c r="G890" s="41" t="s">
        <v>64</v>
      </c>
      <c r="I890" s="41" t="s">
        <v>3645</v>
      </c>
      <c r="J890" s="41" t="s">
        <v>32</v>
      </c>
      <c r="K890" s="42"/>
      <c r="L890" s="41" t="s">
        <v>2352</v>
      </c>
      <c r="M890" s="41">
        <v>33</v>
      </c>
      <c r="N890" s="41" t="s">
        <v>1052</v>
      </c>
      <c r="O890" s="41" t="s">
        <v>77</v>
      </c>
      <c r="P890" s="41" t="s">
        <v>50</v>
      </c>
      <c r="Q890" s="41" t="s">
        <v>51</v>
      </c>
      <c r="R890" s="41" t="s">
        <v>39</v>
      </c>
      <c r="S890" s="41" t="s">
        <v>40</v>
      </c>
      <c r="T890" s="41" t="s">
        <v>3646</v>
      </c>
      <c r="U890" s="41" t="s">
        <v>40</v>
      </c>
    </row>
    <row r="891" spans="1:21">
      <c r="A891" s="41">
        <v>2036</v>
      </c>
      <c r="B891" s="41" t="s">
        <v>3647</v>
      </c>
      <c r="D891" s="41">
        <v>5000</v>
      </c>
      <c r="E891" s="41" t="s">
        <v>1106</v>
      </c>
      <c r="F891" s="41" t="s">
        <v>53</v>
      </c>
      <c r="G891" s="41" t="s">
        <v>64</v>
      </c>
      <c r="I891" s="41" t="s">
        <v>392</v>
      </c>
      <c r="J891" s="41" t="s">
        <v>295</v>
      </c>
      <c r="K891" s="42"/>
      <c r="L891" s="41" t="s">
        <v>2723</v>
      </c>
      <c r="M891" s="41">
        <v>220</v>
      </c>
      <c r="N891" s="41" t="s">
        <v>2724</v>
      </c>
      <c r="O891" s="41" t="s">
        <v>2413</v>
      </c>
      <c r="P891" s="41" t="s">
        <v>68</v>
      </c>
      <c r="Q891" s="41" t="s">
        <v>677</v>
      </c>
      <c r="R891" s="41" t="s">
        <v>62</v>
      </c>
      <c r="S891" s="41" t="s">
        <v>40</v>
      </c>
      <c r="T891" s="41" t="s">
        <v>40</v>
      </c>
      <c r="U891" s="41" t="s">
        <v>40</v>
      </c>
    </row>
    <row r="892" spans="1:21">
      <c r="A892" s="41">
        <v>2035</v>
      </c>
      <c r="B892" s="41" t="s">
        <v>3648</v>
      </c>
      <c r="D892" s="41">
        <v>4999</v>
      </c>
      <c r="E892" s="41" t="s">
        <v>3649</v>
      </c>
      <c r="F892" s="41" t="s">
        <v>42</v>
      </c>
      <c r="G892" s="41" t="s">
        <v>1175</v>
      </c>
      <c r="I892" s="41" t="s">
        <v>406</v>
      </c>
      <c r="J892" s="41" t="s">
        <v>32</v>
      </c>
      <c r="K892" s="42"/>
      <c r="L892" s="41" t="s">
        <v>3650</v>
      </c>
      <c r="M892" s="41">
        <v>33</v>
      </c>
      <c r="N892" s="41" t="s">
        <v>3651</v>
      </c>
      <c r="O892" s="41" t="s">
        <v>36</v>
      </c>
      <c r="P892" s="41" t="s">
        <v>50</v>
      </c>
      <c r="Q892" s="41" t="s">
        <v>51</v>
      </c>
      <c r="R892" s="41" t="s">
        <v>39</v>
      </c>
      <c r="S892" s="41" t="s">
        <v>40</v>
      </c>
      <c r="T892" s="41" t="s">
        <v>40</v>
      </c>
      <c r="U892" s="41" t="s">
        <v>40</v>
      </c>
    </row>
    <row r="893" spans="1:21">
      <c r="A893" s="41">
        <v>2034</v>
      </c>
      <c r="B893" s="41" t="s">
        <v>3652</v>
      </c>
      <c r="D893" s="41">
        <v>4998</v>
      </c>
      <c r="E893" s="41" t="s">
        <v>3653</v>
      </c>
      <c r="F893" s="41" t="s">
        <v>53</v>
      </c>
      <c r="G893" s="41" t="s">
        <v>64</v>
      </c>
      <c r="I893" s="41" t="s">
        <v>399</v>
      </c>
      <c r="J893" s="41" t="s">
        <v>672</v>
      </c>
      <c r="K893" s="42"/>
      <c r="L893" s="41" t="s">
        <v>3654</v>
      </c>
      <c r="M893" s="41">
        <v>110</v>
      </c>
      <c r="N893" s="41" t="s">
        <v>1333</v>
      </c>
      <c r="O893" s="41" t="s">
        <v>1542</v>
      </c>
      <c r="P893" s="41" t="s">
        <v>78</v>
      </c>
      <c r="Q893" s="41" t="s">
        <v>3094</v>
      </c>
      <c r="R893" s="41" t="s">
        <v>132</v>
      </c>
      <c r="S893" s="41" t="s">
        <v>40</v>
      </c>
      <c r="T893" s="41" t="s">
        <v>40</v>
      </c>
      <c r="U893" s="41" t="s">
        <v>40</v>
      </c>
    </row>
    <row r="894" spans="1:21">
      <c r="A894" s="41">
        <v>2033</v>
      </c>
      <c r="B894" s="41" t="s">
        <v>3655</v>
      </c>
      <c r="D894" s="41">
        <v>4997</v>
      </c>
      <c r="E894" s="41" t="s">
        <v>1913</v>
      </c>
      <c r="F894" s="41" t="s">
        <v>53</v>
      </c>
      <c r="G894" s="41" t="s">
        <v>141</v>
      </c>
      <c r="I894" s="41" t="s">
        <v>45</v>
      </c>
      <c r="J894" s="41" t="s">
        <v>32</v>
      </c>
      <c r="K894" s="42"/>
      <c r="L894" s="41" t="s">
        <v>3623</v>
      </c>
      <c r="M894" s="41">
        <v>220</v>
      </c>
      <c r="N894" s="41" t="s">
        <v>3656</v>
      </c>
      <c r="O894" s="41" t="s">
        <v>3657</v>
      </c>
      <c r="P894" s="41" t="s">
        <v>179</v>
      </c>
      <c r="Q894" s="41" t="s">
        <v>284</v>
      </c>
      <c r="R894" s="41" t="s">
        <v>62</v>
      </c>
      <c r="S894" s="41" t="s">
        <v>3658</v>
      </c>
      <c r="T894" s="41" t="s">
        <v>186</v>
      </c>
      <c r="U894" s="41" t="s">
        <v>40</v>
      </c>
    </row>
    <row r="895" spans="1:21">
      <c r="A895" s="41">
        <v>2032</v>
      </c>
      <c r="B895" s="41" t="s">
        <v>3659</v>
      </c>
      <c r="D895" s="41">
        <v>4996</v>
      </c>
      <c r="E895" s="41" t="s">
        <v>1913</v>
      </c>
      <c r="F895" s="41" t="s">
        <v>53</v>
      </c>
      <c r="G895" s="41" t="s">
        <v>141</v>
      </c>
      <c r="I895" s="41" t="s">
        <v>406</v>
      </c>
      <c r="J895" s="41" t="s">
        <v>32</v>
      </c>
      <c r="K895" s="42"/>
      <c r="L895" s="41" t="s">
        <v>3660</v>
      </c>
      <c r="M895" s="41">
        <v>66</v>
      </c>
      <c r="N895" s="41" t="s">
        <v>1133</v>
      </c>
      <c r="O895" s="41" t="s">
        <v>466</v>
      </c>
      <c r="P895" s="41" t="s">
        <v>50</v>
      </c>
      <c r="Q895" s="41" t="s">
        <v>51</v>
      </c>
      <c r="R895" s="41" t="s">
        <v>62</v>
      </c>
      <c r="S895" s="41" t="s">
        <v>3661</v>
      </c>
      <c r="T895" s="41" t="s">
        <v>165</v>
      </c>
      <c r="U895" s="41" t="s">
        <v>40</v>
      </c>
    </row>
    <row r="896" spans="1:21">
      <c r="A896" s="41">
        <v>2031</v>
      </c>
      <c r="B896" s="41" t="s">
        <v>3662</v>
      </c>
      <c r="D896" s="41">
        <v>4995</v>
      </c>
      <c r="E896" s="41" t="s">
        <v>1112</v>
      </c>
      <c r="F896" s="41" t="s">
        <v>28</v>
      </c>
      <c r="G896" s="41" t="s">
        <v>1300</v>
      </c>
      <c r="I896" s="41" t="s">
        <v>45</v>
      </c>
      <c r="J896" s="41" t="s">
        <v>32</v>
      </c>
      <c r="K896" s="42"/>
      <c r="L896" s="41" t="s">
        <v>3663</v>
      </c>
      <c r="M896" s="41">
        <v>220</v>
      </c>
      <c r="N896" s="41" t="s">
        <v>1333</v>
      </c>
      <c r="O896" s="41" t="s">
        <v>3664</v>
      </c>
      <c r="P896" s="41" t="s">
        <v>179</v>
      </c>
      <c r="Q896" s="41" t="s">
        <v>284</v>
      </c>
      <c r="R896" s="41" t="s">
        <v>39</v>
      </c>
      <c r="S896" s="41" t="s">
        <v>40</v>
      </c>
      <c r="T896" s="41" t="s">
        <v>40</v>
      </c>
      <c r="U896" s="41" t="s">
        <v>40</v>
      </c>
    </row>
    <row r="897" spans="1:21">
      <c r="A897" s="41">
        <v>2030</v>
      </c>
      <c r="B897" s="41" t="s">
        <v>3665</v>
      </c>
      <c r="D897" s="41">
        <v>4994</v>
      </c>
      <c r="E897" s="41" t="s">
        <v>3666</v>
      </c>
      <c r="F897" s="41" t="s">
        <v>53</v>
      </c>
      <c r="G897" s="41" t="s">
        <v>141</v>
      </c>
      <c r="I897" s="41" t="s">
        <v>102</v>
      </c>
      <c r="J897" s="41" t="s">
        <v>32</v>
      </c>
      <c r="K897" s="42"/>
      <c r="L897" s="41" t="s">
        <v>3667</v>
      </c>
      <c r="M897" s="41">
        <v>500</v>
      </c>
      <c r="N897" s="41" t="s">
        <v>805</v>
      </c>
      <c r="O897" s="41" t="s">
        <v>1636</v>
      </c>
      <c r="P897" s="41" t="s">
        <v>179</v>
      </c>
      <c r="Q897" s="41" t="s">
        <v>1116</v>
      </c>
      <c r="R897" s="41" t="s">
        <v>62</v>
      </c>
      <c r="S897" s="41" t="s">
        <v>3668</v>
      </c>
      <c r="T897" s="41" t="s">
        <v>266</v>
      </c>
      <c r="U897" s="41" t="s">
        <v>40</v>
      </c>
    </row>
    <row r="898" spans="1:21">
      <c r="A898" s="41">
        <v>2029</v>
      </c>
      <c r="B898" s="41" t="s">
        <v>3669</v>
      </c>
      <c r="D898" s="41">
        <v>4993</v>
      </c>
      <c r="E898" s="41" t="s">
        <v>1076</v>
      </c>
      <c r="F898" s="41" t="s">
        <v>53</v>
      </c>
      <c r="G898" s="41" t="s">
        <v>64</v>
      </c>
      <c r="I898" s="41" t="s">
        <v>149</v>
      </c>
      <c r="J898" s="41" t="s">
        <v>32</v>
      </c>
      <c r="K898" s="42"/>
      <c r="L898" s="41" t="s">
        <v>3670</v>
      </c>
      <c r="M898" s="41">
        <v>66</v>
      </c>
      <c r="N898" s="41" t="s">
        <v>67</v>
      </c>
      <c r="O898" s="41" t="s">
        <v>482</v>
      </c>
      <c r="P898" s="41" t="s">
        <v>68</v>
      </c>
      <c r="Q898" s="41" t="s">
        <v>3518</v>
      </c>
      <c r="R898" s="41" t="s">
        <v>132</v>
      </c>
      <c r="S898" s="41" t="s">
        <v>40</v>
      </c>
      <c r="T898" s="41" t="s">
        <v>40</v>
      </c>
      <c r="U898" s="41" t="s">
        <v>40</v>
      </c>
    </row>
    <row r="899" spans="1:21">
      <c r="A899" s="41">
        <v>2028</v>
      </c>
      <c r="B899" s="41" t="s">
        <v>3671</v>
      </c>
      <c r="D899" s="41">
        <v>5028</v>
      </c>
      <c r="E899" s="41" t="s">
        <v>2554</v>
      </c>
      <c r="F899" s="41" t="s">
        <v>53</v>
      </c>
      <c r="G899" s="41" t="s">
        <v>141</v>
      </c>
      <c r="I899" s="41" t="s">
        <v>1425</v>
      </c>
      <c r="J899" s="41" t="s">
        <v>672</v>
      </c>
      <c r="K899" s="42"/>
      <c r="L899" s="41" t="s">
        <v>1013</v>
      </c>
      <c r="M899" s="41">
        <v>220</v>
      </c>
      <c r="N899" s="41" t="s">
        <v>3672</v>
      </c>
      <c r="O899" s="41" t="s">
        <v>2843</v>
      </c>
      <c r="P899" s="41" t="s">
        <v>98</v>
      </c>
      <c r="Q899" s="41" t="s">
        <v>116</v>
      </c>
      <c r="R899" s="41" t="s">
        <v>62</v>
      </c>
      <c r="S899" s="41" t="s">
        <v>3673</v>
      </c>
      <c r="T899" s="41" t="s">
        <v>165</v>
      </c>
      <c r="U899" s="41" t="s">
        <v>40</v>
      </c>
    </row>
    <row r="900" spans="1:21">
      <c r="A900" s="41">
        <v>2027</v>
      </c>
      <c r="B900" s="41" t="s">
        <v>3674</v>
      </c>
      <c r="D900" s="41">
        <v>4973</v>
      </c>
      <c r="E900" s="41" t="s">
        <v>3675</v>
      </c>
      <c r="F900" s="41" t="s">
        <v>53</v>
      </c>
      <c r="G900" s="41" t="s">
        <v>141</v>
      </c>
      <c r="I900" s="41" t="s">
        <v>102</v>
      </c>
      <c r="J900" s="41" t="s">
        <v>295</v>
      </c>
      <c r="K900" s="42"/>
      <c r="L900" s="41" t="s">
        <v>3676</v>
      </c>
      <c r="M900" s="41">
        <v>220</v>
      </c>
      <c r="N900" s="41" t="s">
        <v>805</v>
      </c>
      <c r="O900" s="41" t="s">
        <v>452</v>
      </c>
      <c r="P900" s="41" t="s">
        <v>546</v>
      </c>
      <c r="Q900" s="41" t="s">
        <v>2100</v>
      </c>
      <c r="R900" s="41" t="s">
        <v>62</v>
      </c>
      <c r="S900" s="41" t="s">
        <v>3677</v>
      </c>
      <c r="T900" s="41" t="s">
        <v>40</v>
      </c>
      <c r="U900" s="41" t="s">
        <v>40</v>
      </c>
    </row>
    <row r="901" spans="1:21">
      <c r="A901" s="41">
        <v>2026</v>
      </c>
      <c r="B901" s="41" t="s">
        <v>3678</v>
      </c>
      <c r="D901" s="41">
        <v>4965</v>
      </c>
      <c r="E901" s="41" t="s">
        <v>998</v>
      </c>
      <c r="F901" s="41" t="s">
        <v>53</v>
      </c>
      <c r="G901" s="41" t="s">
        <v>1071</v>
      </c>
      <c r="I901" s="41" t="s">
        <v>194</v>
      </c>
      <c r="J901" s="41" t="s">
        <v>672</v>
      </c>
      <c r="K901" s="42"/>
      <c r="L901" s="41" t="s">
        <v>1924</v>
      </c>
      <c r="M901" s="41">
        <v>66</v>
      </c>
      <c r="N901" s="41" t="s">
        <v>1009</v>
      </c>
      <c r="O901" s="41" t="s">
        <v>3679</v>
      </c>
      <c r="P901" s="41" t="s">
        <v>172</v>
      </c>
      <c r="Q901" s="41" t="s">
        <v>1011</v>
      </c>
      <c r="R901" s="41" t="s">
        <v>132</v>
      </c>
      <c r="S901" s="41" t="s">
        <v>40</v>
      </c>
      <c r="T901" s="41" t="s">
        <v>40</v>
      </c>
      <c r="U901" s="41" t="s">
        <v>40</v>
      </c>
    </row>
    <row r="902" spans="1:21">
      <c r="A902" s="41">
        <v>2025</v>
      </c>
      <c r="B902" s="41" t="s">
        <v>3680</v>
      </c>
      <c r="D902" s="41">
        <v>4972</v>
      </c>
      <c r="E902" s="41" t="s">
        <v>965</v>
      </c>
      <c r="F902" s="41" t="s">
        <v>28</v>
      </c>
      <c r="G902" s="41" t="s">
        <v>301</v>
      </c>
      <c r="I902" s="41" t="s">
        <v>3681</v>
      </c>
      <c r="J902" s="41" t="s">
        <v>32</v>
      </c>
      <c r="K902" s="42"/>
      <c r="L902" s="41" t="s">
        <v>3682</v>
      </c>
      <c r="M902" s="41">
        <v>220</v>
      </c>
      <c r="N902" s="41" t="s">
        <v>2432</v>
      </c>
      <c r="O902" s="41" t="s">
        <v>620</v>
      </c>
      <c r="P902" s="41" t="s">
        <v>37</v>
      </c>
      <c r="Q902" s="41" t="s">
        <v>38</v>
      </c>
      <c r="R902" s="41" t="s">
        <v>39</v>
      </c>
      <c r="S902" s="41" t="s">
        <v>3683</v>
      </c>
      <c r="T902" s="41" t="s">
        <v>1621</v>
      </c>
      <c r="U902" s="41" t="s">
        <v>40</v>
      </c>
    </row>
    <row r="903" spans="1:21">
      <c r="A903" s="41">
        <v>2024</v>
      </c>
      <c r="B903" s="41" t="s">
        <v>3684</v>
      </c>
      <c r="D903" s="41">
        <v>4971</v>
      </c>
      <c r="E903" s="41" t="s">
        <v>3685</v>
      </c>
      <c r="F903" s="41" t="s">
        <v>28</v>
      </c>
      <c r="G903" s="41" t="s">
        <v>301</v>
      </c>
      <c r="I903" s="41" t="s">
        <v>3686</v>
      </c>
      <c r="J903" s="41" t="s">
        <v>380</v>
      </c>
      <c r="K903" s="42"/>
      <c r="L903" s="41" t="s">
        <v>3687</v>
      </c>
      <c r="M903" s="41">
        <v>220</v>
      </c>
      <c r="N903" s="41" t="s">
        <v>3688</v>
      </c>
      <c r="O903" s="41" t="s">
        <v>3688</v>
      </c>
      <c r="P903" s="41" t="s">
        <v>37</v>
      </c>
      <c r="Q903" s="41" t="s">
        <v>363</v>
      </c>
      <c r="R903" s="41" t="s">
        <v>39</v>
      </c>
      <c r="S903" s="41" t="s">
        <v>40</v>
      </c>
      <c r="T903" s="41" t="s">
        <v>2169</v>
      </c>
      <c r="U903" s="41" t="s">
        <v>40</v>
      </c>
    </row>
    <row r="904" spans="1:21">
      <c r="A904" s="41">
        <v>2023</v>
      </c>
      <c r="B904" s="41" t="s">
        <v>3689</v>
      </c>
      <c r="D904" s="41">
        <v>4964</v>
      </c>
      <c r="E904" s="41" t="s">
        <v>2196</v>
      </c>
      <c r="F904" s="41" t="s">
        <v>42</v>
      </c>
      <c r="G904" s="41" t="s">
        <v>121</v>
      </c>
      <c r="I904" s="41" t="s">
        <v>3645</v>
      </c>
      <c r="J904" s="41" t="s">
        <v>32</v>
      </c>
      <c r="K904" s="42"/>
      <c r="L904" s="41" t="s">
        <v>2197</v>
      </c>
      <c r="M904" s="41">
        <v>23</v>
      </c>
      <c r="N904" s="41" t="s">
        <v>67</v>
      </c>
      <c r="O904" s="41" t="s">
        <v>36</v>
      </c>
      <c r="P904" s="41" t="s">
        <v>98</v>
      </c>
      <c r="Q904" s="41" t="s">
        <v>116</v>
      </c>
      <c r="R904" s="41" t="s">
        <v>39</v>
      </c>
      <c r="S904" s="41" t="s">
        <v>40</v>
      </c>
      <c r="T904" s="41" t="s">
        <v>198</v>
      </c>
      <c r="U904" s="41" t="s">
        <v>40</v>
      </c>
    </row>
    <row r="905" spans="1:21">
      <c r="A905" s="41">
        <v>2022</v>
      </c>
      <c r="B905" s="41" t="s">
        <v>3690</v>
      </c>
      <c r="D905" s="41">
        <v>4963</v>
      </c>
      <c r="E905" s="41" t="s">
        <v>2196</v>
      </c>
      <c r="F905" s="41" t="s">
        <v>42</v>
      </c>
      <c r="G905" s="41" t="s">
        <v>121</v>
      </c>
      <c r="I905" s="41" t="s">
        <v>994</v>
      </c>
      <c r="J905" s="41" t="s">
        <v>32</v>
      </c>
      <c r="K905" s="42"/>
      <c r="L905" s="41" t="s">
        <v>3691</v>
      </c>
      <c r="M905" s="41">
        <v>23</v>
      </c>
      <c r="N905" s="41" t="s">
        <v>67</v>
      </c>
      <c r="O905" s="41" t="s">
        <v>36</v>
      </c>
      <c r="P905" s="41" t="s">
        <v>98</v>
      </c>
      <c r="Q905" s="41" t="s">
        <v>116</v>
      </c>
      <c r="R905" s="41" t="s">
        <v>39</v>
      </c>
      <c r="S905" s="41" t="s">
        <v>40</v>
      </c>
      <c r="T905" s="41" t="s">
        <v>198</v>
      </c>
      <c r="U905" s="41" t="s">
        <v>40</v>
      </c>
    </row>
    <row r="906" spans="1:21">
      <c r="A906" s="41">
        <v>2021</v>
      </c>
      <c r="B906" s="41" t="s">
        <v>3692</v>
      </c>
      <c r="D906" s="41">
        <v>4962</v>
      </c>
      <c r="E906" s="41" t="s">
        <v>3403</v>
      </c>
      <c r="F906" s="41" t="s">
        <v>53</v>
      </c>
      <c r="G906" s="41" t="s">
        <v>64</v>
      </c>
      <c r="I906" s="41" t="s">
        <v>45</v>
      </c>
      <c r="J906" s="41" t="s">
        <v>32</v>
      </c>
      <c r="K906" s="42"/>
      <c r="L906" s="41" t="s">
        <v>3693</v>
      </c>
      <c r="M906" s="41">
        <v>110</v>
      </c>
      <c r="N906" s="41" t="s">
        <v>395</v>
      </c>
      <c r="O906" s="41" t="s">
        <v>3694</v>
      </c>
      <c r="P906" s="41" t="s">
        <v>68</v>
      </c>
      <c r="Q906" s="41" t="s">
        <v>159</v>
      </c>
      <c r="R906" s="41" t="s">
        <v>132</v>
      </c>
      <c r="S906" s="41" t="s">
        <v>40</v>
      </c>
      <c r="T906" s="41" t="s">
        <v>40</v>
      </c>
      <c r="U906" s="41" t="s">
        <v>40</v>
      </c>
    </row>
    <row r="907" spans="1:21">
      <c r="A907" s="41">
        <v>2020</v>
      </c>
      <c r="B907" s="41" t="s">
        <v>3695</v>
      </c>
      <c r="D907" s="41">
        <v>4960</v>
      </c>
      <c r="E907" s="41" t="s">
        <v>3696</v>
      </c>
      <c r="F907" s="41" t="s">
        <v>53</v>
      </c>
      <c r="G907" s="41" t="s">
        <v>141</v>
      </c>
      <c r="I907" s="41" t="s">
        <v>1068</v>
      </c>
      <c r="J907" s="41" t="s">
        <v>32</v>
      </c>
      <c r="K907" s="42"/>
      <c r="L907" s="41" t="s">
        <v>3697</v>
      </c>
      <c r="M907" s="41">
        <v>23</v>
      </c>
      <c r="N907" s="41" t="s">
        <v>1741</v>
      </c>
      <c r="O907" s="41" t="s">
        <v>3698</v>
      </c>
      <c r="P907" s="41" t="s">
        <v>153</v>
      </c>
      <c r="Q907" s="41" t="s">
        <v>154</v>
      </c>
      <c r="R907" s="41" t="s">
        <v>132</v>
      </c>
      <c r="S907" s="41" t="s">
        <v>3699</v>
      </c>
      <c r="T907" s="41" t="s">
        <v>1402</v>
      </c>
      <c r="U907" s="41" t="s">
        <v>40</v>
      </c>
    </row>
    <row r="908" spans="1:21">
      <c r="A908" s="41">
        <v>2019</v>
      </c>
      <c r="B908" s="41" t="s">
        <v>3700</v>
      </c>
      <c r="D908" s="41">
        <v>4961</v>
      </c>
      <c r="E908" s="41" t="s">
        <v>1028</v>
      </c>
      <c r="F908" s="41" t="s">
        <v>28</v>
      </c>
      <c r="G908" s="41" t="s">
        <v>301</v>
      </c>
      <c r="I908" s="41" t="s">
        <v>1131</v>
      </c>
      <c r="J908" s="41" t="s">
        <v>32</v>
      </c>
      <c r="K908" s="42"/>
      <c r="L908" s="41" t="s">
        <v>3701</v>
      </c>
      <c r="M908" s="41">
        <v>23</v>
      </c>
      <c r="N908" s="41" t="s">
        <v>67</v>
      </c>
      <c r="O908" s="41" t="s">
        <v>989</v>
      </c>
      <c r="P908" s="41" t="s">
        <v>68</v>
      </c>
      <c r="Q908" s="41" t="s">
        <v>69</v>
      </c>
      <c r="R908" s="41" t="s">
        <v>39</v>
      </c>
      <c r="S908" s="41" t="s">
        <v>40</v>
      </c>
      <c r="T908" s="41" t="s">
        <v>2539</v>
      </c>
      <c r="U908" s="41" t="s">
        <v>40</v>
      </c>
    </row>
    <row r="909" spans="1:21">
      <c r="A909" s="41">
        <v>2018</v>
      </c>
      <c r="B909" s="41" t="s">
        <v>3702</v>
      </c>
      <c r="D909" s="41">
        <v>4959</v>
      </c>
      <c r="E909" s="41" t="s">
        <v>1076</v>
      </c>
      <c r="F909" s="41" t="s">
        <v>53</v>
      </c>
      <c r="G909" s="41" t="s">
        <v>141</v>
      </c>
      <c r="I909" s="41" t="s">
        <v>56</v>
      </c>
      <c r="J909" s="41" t="s">
        <v>32</v>
      </c>
      <c r="K909" s="42"/>
      <c r="L909" s="41" t="s">
        <v>3703</v>
      </c>
      <c r="M909" s="41">
        <v>66</v>
      </c>
      <c r="N909" s="41" t="s">
        <v>67</v>
      </c>
      <c r="O909" s="41" t="s">
        <v>445</v>
      </c>
      <c r="P909" s="41" t="s">
        <v>172</v>
      </c>
      <c r="Q909" s="41" t="s">
        <v>2069</v>
      </c>
      <c r="R909" s="41" t="s">
        <v>132</v>
      </c>
      <c r="S909" s="41" t="s">
        <v>3704</v>
      </c>
      <c r="T909" s="41" t="s">
        <v>3157</v>
      </c>
      <c r="U909" s="41" t="s">
        <v>40</v>
      </c>
    </row>
    <row r="910" spans="1:21">
      <c r="A910" s="41">
        <v>2017</v>
      </c>
      <c r="B910" s="41" t="s">
        <v>3705</v>
      </c>
      <c r="D910" s="41">
        <v>4955</v>
      </c>
      <c r="E910" s="41" t="s">
        <v>2786</v>
      </c>
      <c r="F910" s="41" t="s">
        <v>53</v>
      </c>
      <c r="G910" s="41" t="s">
        <v>141</v>
      </c>
      <c r="I910" s="41" t="s">
        <v>162</v>
      </c>
      <c r="J910" s="41" t="s">
        <v>32</v>
      </c>
      <c r="K910" s="42"/>
      <c r="L910" s="41" t="s">
        <v>3706</v>
      </c>
      <c r="M910" s="41">
        <v>110</v>
      </c>
      <c r="N910" s="41" t="s">
        <v>3707</v>
      </c>
      <c r="O910" s="41" t="s">
        <v>3708</v>
      </c>
      <c r="P910" s="41" t="s">
        <v>78</v>
      </c>
      <c r="Q910" s="41" t="s">
        <v>278</v>
      </c>
      <c r="R910" s="41" t="s">
        <v>132</v>
      </c>
      <c r="S910" s="41" t="s">
        <v>3709</v>
      </c>
      <c r="T910" s="41" t="s">
        <v>3157</v>
      </c>
      <c r="U910" s="41" t="s">
        <v>40</v>
      </c>
    </row>
    <row r="911" spans="1:21">
      <c r="A911" s="41">
        <v>2016</v>
      </c>
      <c r="B911" s="41" t="s">
        <v>3710</v>
      </c>
      <c r="D911" s="41">
        <v>4954</v>
      </c>
      <c r="E911" s="41" t="s">
        <v>2487</v>
      </c>
      <c r="F911" s="41" t="s">
        <v>53</v>
      </c>
      <c r="G911" s="41" t="s">
        <v>760</v>
      </c>
      <c r="I911" s="41" t="s">
        <v>56</v>
      </c>
      <c r="J911" s="41" t="s">
        <v>32</v>
      </c>
      <c r="K911" s="42"/>
      <c r="L911" s="41" t="s">
        <v>3711</v>
      </c>
      <c r="M911" s="41">
        <v>110</v>
      </c>
      <c r="N911" s="41" t="s">
        <v>1623</v>
      </c>
      <c r="O911" s="41" t="s">
        <v>3712</v>
      </c>
      <c r="P911" s="41" t="s">
        <v>78</v>
      </c>
      <c r="Q911" s="41" t="s">
        <v>144</v>
      </c>
      <c r="R911" s="41" t="s">
        <v>132</v>
      </c>
      <c r="S911" s="41" t="s">
        <v>40</v>
      </c>
      <c r="T911" s="41" t="s">
        <v>40</v>
      </c>
      <c r="U911" s="41" t="s">
        <v>40</v>
      </c>
    </row>
    <row r="912" spans="1:21">
      <c r="A912" s="41">
        <v>2015</v>
      </c>
      <c r="B912" s="41" t="s">
        <v>3713</v>
      </c>
      <c r="D912" s="41">
        <v>4953</v>
      </c>
      <c r="E912" s="41" t="s">
        <v>3714</v>
      </c>
      <c r="F912" s="41" t="s">
        <v>28</v>
      </c>
      <c r="G912" s="41" t="s">
        <v>64</v>
      </c>
      <c r="I912" s="41" t="s">
        <v>3715</v>
      </c>
      <c r="J912" s="41" t="s">
        <v>380</v>
      </c>
      <c r="K912" s="42"/>
      <c r="L912" s="41" t="s">
        <v>3716</v>
      </c>
      <c r="M912" s="41">
        <v>220</v>
      </c>
      <c r="N912" s="41" t="s">
        <v>3716</v>
      </c>
      <c r="O912" s="41" t="s">
        <v>3716</v>
      </c>
      <c r="P912" s="41" t="s">
        <v>83</v>
      </c>
      <c r="Q912" s="41" t="s">
        <v>2000</v>
      </c>
      <c r="R912" s="41" t="s">
        <v>39</v>
      </c>
      <c r="S912" s="41" t="s">
        <v>40</v>
      </c>
      <c r="T912" s="41" t="s">
        <v>40</v>
      </c>
      <c r="U912" s="41" t="s">
        <v>40</v>
      </c>
    </row>
    <row r="913" spans="1:21">
      <c r="A913" s="41">
        <v>2014</v>
      </c>
      <c r="B913" s="41" t="s">
        <v>3717</v>
      </c>
      <c r="D913" s="41">
        <v>4952</v>
      </c>
      <c r="E913" s="41" t="s">
        <v>3718</v>
      </c>
      <c r="F913" s="41" t="s">
        <v>53</v>
      </c>
      <c r="G913" s="41" t="s">
        <v>307</v>
      </c>
      <c r="I913" s="41" t="s">
        <v>521</v>
      </c>
      <c r="J913" s="41" t="s">
        <v>672</v>
      </c>
      <c r="K913" s="42"/>
      <c r="L913" s="41" t="s">
        <v>3719</v>
      </c>
      <c r="M913" s="41">
        <v>23</v>
      </c>
      <c r="N913" s="41" t="s">
        <v>59</v>
      </c>
      <c r="O913" s="41" t="s">
        <v>3296</v>
      </c>
      <c r="P913" s="41" t="s">
        <v>98</v>
      </c>
      <c r="Q913" s="41" t="s">
        <v>491</v>
      </c>
      <c r="R913" s="41" t="s">
        <v>132</v>
      </c>
      <c r="S913" s="41" t="s">
        <v>3720</v>
      </c>
      <c r="T913" s="41" t="s">
        <v>1402</v>
      </c>
      <c r="U913" s="41" t="s">
        <v>40</v>
      </c>
    </row>
    <row r="914" spans="1:21">
      <c r="A914" s="41">
        <v>2013</v>
      </c>
      <c r="B914" s="41" t="s">
        <v>3721</v>
      </c>
      <c r="D914" s="41">
        <v>4949</v>
      </c>
      <c r="E914" s="41" t="s">
        <v>3722</v>
      </c>
      <c r="F914" s="41" t="s">
        <v>53</v>
      </c>
      <c r="G914" s="41" t="s">
        <v>1162</v>
      </c>
      <c r="I914" s="41" t="s">
        <v>194</v>
      </c>
      <c r="J914" s="41" t="s">
        <v>32</v>
      </c>
      <c r="K914" s="42"/>
      <c r="L914" s="41" t="s">
        <v>3723</v>
      </c>
      <c r="M914" s="41">
        <v>13</v>
      </c>
      <c r="N914" s="41" t="s">
        <v>3724</v>
      </c>
      <c r="O914" s="41" t="s">
        <v>3725</v>
      </c>
      <c r="P914" s="41" t="s">
        <v>153</v>
      </c>
      <c r="Q914" s="41" t="s">
        <v>153</v>
      </c>
      <c r="R914" s="41" t="s">
        <v>132</v>
      </c>
      <c r="S914" s="41" t="s">
        <v>40</v>
      </c>
      <c r="T914" s="41" t="s">
        <v>40</v>
      </c>
      <c r="U914" s="41" t="s">
        <v>40</v>
      </c>
    </row>
    <row r="915" spans="1:21">
      <c r="A915" s="41">
        <v>2012</v>
      </c>
      <c r="B915" s="41" t="s">
        <v>1658</v>
      </c>
      <c r="D915" s="41">
        <v>4951</v>
      </c>
      <c r="E915" s="41" t="s">
        <v>1659</v>
      </c>
      <c r="F915" s="41" t="s">
        <v>53</v>
      </c>
      <c r="G915" s="41" t="s">
        <v>64</v>
      </c>
      <c r="I915" s="41" t="s">
        <v>162</v>
      </c>
      <c r="J915" s="41" t="s">
        <v>380</v>
      </c>
      <c r="K915" s="42"/>
      <c r="L915" s="41" t="s">
        <v>3726</v>
      </c>
      <c r="M915" s="41">
        <v>220</v>
      </c>
      <c r="N915" s="41" t="s">
        <v>67</v>
      </c>
      <c r="O915" s="41" t="s">
        <v>2843</v>
      </c>
      <c r="P915" s="41" t="s">
        <v>37</v>
      </c>
      <c r="Q915" s="41" t="s">
        <v>1661</v>
      </c>
      <c r="R915" s="41" t="s">
        <v>62</v>
      </c>
      <c r="S915" s="41" t="s">
        <v>40</v>
      </c>
      <c r="T915" s="41" t="s">
        <v>40</v>
      </c>
      <c r="U915" s="41" t="s">
        <v>40</v>
      </c>
    </row>
    <row r="916" spans="1:21">
      <c r="A916" s="41">
        <v>2011</v>
      </c>
      <c r="B916" s="41" t="s">
        <v>3305</v>
      </c>
      <c r="D916" s="41">
        <v>4950</v>
      </c>
      <c r="E916" s="41" t="s">
        <v>1435</v>
      </c>
      <c r="F916" s="41" t="s">
        <v>28</v>
      </c>
      <c r="G916" s="41" t="s">
        <v>64</v>
      </c>
      <c r="I916" s="41" t="s">
        <v>325</v>
      </c>
      <c r="J916" s="41" t="s">
        <v>32</v>
      </c>
      <c r="K916" s="42"/>
      <c r="L916" s="41" t="s">
        <v>3307</v>
      </c>
      <c r="M916" s="41">
        <v>110</v>
      </c>
      <c r="N916" s="41" t="s">
        <v>3727</v>
      </c>
      <c r="O916" s="41" t="s">
        <v>3728</v>
      </c>
      <c r="P916" s="41" t="s">
        <v>98</v>
      </c>
      <c r="Q916" s="41" t="s">
        <v>98</v>
      </c>
      <c r="R916" s="41" t="s">
        <v>39</v>
      </c>
      <c r="S916" s="41" t="s">
        <v>40</v>
      </c>
      <c r="T916" s="41" t="s">
        <v>40</v>
      </c>
      <c r="U916" s="41" t="s">
        <v>40</v>
      </c>
    </row>
    <row r="917" spans="1:21">
      <c r="A917" s="41">
        <v>2010</v>
      </c>
      <c r="B917" s="41" t="s">
        <v>758</v>
      </c>
      <c r="C917" s="41">
        <v>1</v>
      </c>
      <c r="D917" s="41">
        <v>4948</v>
      </c>
      <c r="E917" s="41" t="s">
        <v>759</v>
      </c>
      <c r="F917" s="41" t="s">
        <v>53</v>
      </c>
      <c r="G917" s="41" t="s">
        <v>141</v>
      </c>
      <c r="H917" s="42">
        <v>45435</v>
      </c>
      <c r="I917" s="41">
        <v>50</v>
      </c>
      <c r="J917" s="41" t="s">
        <v>672</v>
      </c>
      <c r="K917" s="42">
        <v>46433</v>
      </c>
      <c r="L917" s="41" t="s">
        <v>763</v>
      </c>
      <c r="M917" s="41">
        <v>110</v>
      </c>
      <c r="N917" s="41" t="s">
        <v>764</v>
      </c>
      <c r="O917" s="41" t="s">
        <v>765</v>
      </c>
      <c r="P917" s="41" t="s">
        <v>78</v>
      </c>
      <c r="Q917" s="41" t="s">
        <v>278</v>
      </c>
      <c r="R917" s="41" t="s">
        <v>132</v>
      </c>
      <c r="S917" s="41" t="s">
        <v>3729</v>
      </c>
      <c r="T917" s="41" t="s">
        <v>186</v>
      </c>
      <c r="U917" s="41" t="s">
        <v>40</v>
      </c>
    </row>
    <row r="918" spans="1:21">
      <c r="A918" s="41">
        <v>2009</v>
      </c>
      <c r="B918" s="41" t="s">
        <v>3730</v>
      </c>
      <c r="D918" s="41">
        <v>4947</v>
      </c>
      <c r="E918" s="41" t="s">
        <v>3731</v>
      </c>
      <c r="F918" s="41" t="s">
        <v>28</v>
      </c>
      <c r="G918" s="41" t="s">
        <v>301</v>
      </c>
      <c r="I918" s="41" t="s">
        <v>3732</v>
      </c>
      <c r="J918" s="41" t="s">
        <v>32</v>
      </c>
      <c r="K918" s="42"/>
      <c r="L918" s="41" t="s">
        <v>3733</v>
      </c>
      <c r="M918" s="41">
        <v>220</v>
      </c>
      <c r="N918" s="41" t="s">
        <v>1566</v>
      </c>
      <c r="O918" s="41" t="s">
        <v>3734</v>
      </c>
      <c r="P918" s="41" t="s">
        <v>83</v>
      </c>
      <c r="Q918" s="41" t="s">
        <v>461</v>
      </c>
      <c r="R918" s="41" t="s">
        <v>39</v>
      </c>
      <c r="S918" s="41" t="s">
        <v>3735</v>
      </c>
      <c r="T918" s="41" t="s">
        <v>2169</v>
      </c>
      <c r="U918" s="41" t="s">
        <v>40</v>
      </c>
    </row>
    <row r="919" spans="1:21">
      <c r="A919" s="41">
        <v>2008</v>
      </c>
      <c r="B919" s="41" t="s">
        <v>3736</v>
      </c>
      <c r="D919" s="41">
        <v>4946</v>
      </c>
      <c r="E919" s="41" t="s">
        <v>3737</v>
      </c>
      <c r="F919" s="41" t="s">
        <v>42</v>
      </c>
      <c r="G919" s="41" t="s">
        <v>1036</v>
      </c>
      <c r="I919" s="41" t="s">
        <v>3101</v>
      </c>
      <c r="J919" s="41" t="s">
        <v>32</v>
      </c>
      <c r="K919" s="42"/>
      <c r="L919" s="41" t="s">
        <v>3738</v>
      </c>
      <c r="M919" s="41">
        <v>23</v>
      </c>
      <c r="N919" s="41" t="s">
        <v>3739</v>
      </c>
      <c r="O919" s="41" t="s">
        <v>36</v>
      </c>
      <c r="P919" s="41" t="s">
        <v>179</v>
      </c>
      <c r="Q919" s="41" t="s">
        <v>284</v>
      </c>
      <c r="R919" s="41" t="s">
        <v>39</v>
      </c>
      <c r="S919" s="41" t="s">
        <v>40</v>
      </c>
      <c r="T919" s="41" t="s">
        <v>40</v>
      </c>
      <c r="U919" s="41" t="s">
        <v>40</v>
      </c>
    </row>
    <row r="920" spans="1:21">
      <c r="A920" s="41">
        <v>2007</v>
      </c>
      <c r="B920" s="41" t="s">
        <v>3740</v>
      </c>
      <c r="D920" s="41">
        <v>4945</v>
      </c>
      <c r="E920" s="41" t="s">
        <v>1080</v>
      </c>
      <c r="F920" s="41" t="s">
        <v>53</v>
      </c>
      <c r="G920" s="41" t="s">
        <v>1071</v>
      </c>
      <c r="I920" s="41" t="s">
        <v>1068</v>
      </c>
      <c r="J920" s="41" t="s">
        <v>672</v>
      </c>
      <c r="K920" s="42"/>
      <c r="L920" s="41" t="s">
        <v>3741</v>
      </c>
      <c r="M920" s="41">
        <v>44</v>
      </c>
      <c r="N920" s="41" t="s">
        <v>1908</v>
      </c>
      <c r="O920" s="41" t="s">
        <v>3742</v>
      </c>
      <c r="P920" s="41" t="s">
        <v>78</v>
      </c>
      <c r="Q920" s="41" t="s">
        <v>139</v>
      </c>
      <c r="R920" s="41" t="s">
        <v>132</v>
      </c>
      <c r="S920" s="41" t="s">
        <v>40</v>
      </c>
      <c r="T920" s="41" t="s">
        <v>40</v>
      </c>
      <c r="U920" s="41" t="s">
        <v>40</v>
      </c>
    </row>
    <row r="921" spans="1:21">
      <c r="A921" s="41">
        <v>2006</v>
      </c>
      <c r="B921" s="41" t="s">
        <v>3743</v>
      </c>
      <c r="D921" s="41">
        <v>4935</v>
      </c>
      <c r="E921" s="41" t="s">
        <v>1435</v>
      </c>
      <c r="F921" s="41" t="s">
        <v>53</v>
      </c>
      <c r="G921" s="41" t="s">
        <v>141</v>
      </c>
      <c r="I921" s="41" t="s">
        <v>411</v>
      </c>
      <c r="J921" s="41" t="s">
        <v>32</v>
      </c>
      <c r="K921" s="42"/>
      <c r="L921" s="41" t="s">
        <v>177</v>
      </c>
      <c r="M921" s="41">
        <v>110</v>
      </c>
      <c r="N921" s="41" t="s">
        <v>59</v>
      </c>
      <c r="O921" s="41" t="s">
        <v>3744</v>
      </c>
      <c r="P921" s="41" t="s">
        <v>179</v>
      </c>
      <c r="Q921" s="41" t="s">
        <v>180</v>
      </c>
      <c r="R921" s="41" t="s">
        <v>132</v>
      </c>
      <c r="S921" s="41" t="s">
        <v>3745</v>
      </c>
      <c r="T921" s="41" t="s">
        <v>146</v>
      </c>
      <c r="U921" s="41" t="s">
        <v>40</v>
      </c>
    </row>
    <row r="922" spans="1:21">
      <c r="A922" s="41">
        <v>2005</v>
      </c>
      <c r="B922" s="41" t="s">
        <v>3746</v>
      </c>
      <c r="D922" s="41">
        <v>4932</v>
      </c>
      <c r="E922" s="41" t="s">
        <v>1091</v>
      </c>
      <c r="F922" s="41" t="s">
        <v>53</v>
      </c>
      <c r="G922" s="41" t="s">
        <v>307</v>
      </c>
      <c r="I922" s="41" t="s">
        <v>1092</v>
      </c>
      <c r="J922" s="41" t="s">
        <v>672</v>
      </c>
      <c r="K922" s="42"/>
      <c r="L922" s="41" t="s">
        <v>1792</v>
      </c>
      <c r="M922" s="41">
        <v>12</v>
      </c>
      <c r="N922" s="41" t="s">
        <v>3747</v>
      </c>
      <c r="O922" s="41" t="s">
        <v>1788</v>
      </c>
      <c r="P922" s="41" t="s">
        <v>68</v>
      </c>
      <c r="Q922" s="41" t="s">
        <v>1794</v>
      </c>
      <c r="R922" s="41" t="s">
        <v>132</v>
      </c>
      <c r="S922" s="41" t="s">
        <v>3748</v>
      </c>
      <c r="T922" s="41" t="s">
        <v>313</v>
      </c>
      <c r="U922" s="41" t="s">
        <v>40</v>
      </c>
    </row>
    <row r="923" spans="1:21">
      <c r="A923" s="41">
        <v>2004</v>
      </c>
      <c r="B923" s="41" t="s">
        <v>3749</v>
      </c>
      <c r="D923" s="41">
        <v>4931</v>
      </c>
      <c r="E923" s="41" t="s">
        <v>1076</v>
      </c>
      <c r="F923" s="41" t="s">
        <v>53</v>
      </c>
      <c r="G923" s="41" t="s">
        <v>141</v>
      </c>
      <c r="I923" s="41" t="s">
        <v>149</v>
      </c>
      <c r="J923" s="41" t="s">
        <v>32</v>
      </c>
      <c r="K923" s="42"/>
      <c r="L923" s="41" t="s">
        <v>3750</v>
      </c>
      <c r="M923" s="41">
        <v>23</v>
      </c>
      <c r="N923" s="41" t="s">
        <v>3751</v>
      </c>
      <c r="O923" s="41" t="s">
        <v>989</v>
      </c>
      <c r="P923" s="41" t="s">
        <v>83</v>
      </c>
      <c r="Q923" s="41" t="s">
        <v>1206</v>
      </c>
      <c r="R923" s="41" t="s">
        <v>132</v>
      </c>
      <c r="S923" s="41" t="s">
        <v>3752</v>
      </c>
      <c r="T923" s="41" t="s">
        <v>3157</v>
      </c>
      <c r="U923" s="41" t="s">
        <v>40</v>
      </c>
    </row>
    <row r="924" spans="1:21">
      <c r="A924" s="41">
        <v>2003</v>
      </c>
      <c r="B924" s="41" t="s">
        <v>3753</v>
      </c>
      <c r="D924" s="41">
        <v>4930</v>
      </c>
      <c r="E924" s="41" t="s">
        <v>1076</v>
      </c>
      <c r="F924" s="41" t="s">
        <v>53</v>
      </c>
      <c r="G924" s="41" t="s">
        <v>43</v>
      </c>
      <c r="I924" s="41" t="s">
        <v>194</v>
      </c>
      <c r="J924" s="41" t="s">
        <v>32</v>
      </c>
      <c r="K924" s="42"/>
      <c r="L924" s="41" t="s">
        <v>3754</v>
      </c>
      <c r="M924" s="41">
        <v>15</v>
      </c>
      <c r="N924" s="41" t="s">
        <v>3751</v>
      </c>
      <c r="O924" s="41" t="s">
        <v>1095</v>
      </c>
      <c r="P924" s="41" t="s">
        <v>172</v>
      </c>
      <c r="Q924" s="41" t="s">
        <v>3755</v>
      </c>
      <c r="R924" s="41" t="s">
        <v>132</v>
      </c>
      <c r="S924" s="41" t="s">
        <v>40</v>
      </c>
      <c r="T924" s="41" t="s">
        <v>40</v>
      </c>
      <c r="U924" s="41" t="s">
        <v>40</v>
      </c>
    </row>
    <row r="925" spans="1:21">
      <c r="A925" s="41">
        <v>2002</v>
      </c>
      <c r="B925" s="41" t="s">
        <v>3756</v>
      </c>
      <c r="D925" s="41">
        <v>4929</v>
      </c>
      <c r="E925" s="41" t="s">
        <v>2405</v>
      </c>
      <c r="F925" s="41" t="s">
        <v>28</v>
      </c>
      <c r="G925" s="41" t="s">
        <v>301</v>
      </c>
      <c r="I925" s="41" t="s">
        <v>1018</v>
      </c>
      <c r="J925" s="41" t="s">
        <v>32</v>
      </c>
      <c r="K925" s="42"/>
      <c r="L925" s="41" t="s">
        <v>3757</v>
      </c>
      <c r="M925" s="41">
        <v>220</v>
      </c>
      <c r="N925" s="41" t="s">
        <v>3758</v>
      </c>
      <c r="O925" s="41" t="s">
        <v>3759</v>
      </c>
      <c r="P925" s="41" t="s">
        <v>334</v>
      </c>
      <c r="Q925" s="41" t="s">
        <v>3760</v>
      </c>
      <c r="R925" s="41" t="s">
        <v>39</v>
      </c>
      <c r="S925" s="41" t="s">
        <v>3761</v>
      </c>
      <c r="T925" s="41" t="s">
        <v>1796</v>
      </c>
      <c r="U925" s="41" t="s">
        <v>40</v>
      </c>
    </row>
    <row r="926" spans="1:21">
      <c r="A926" s="41">
        <v>2001</v>
      </c>
      <c r="B926" s="41" t="s">
        <v>3762</v>
      </c>
      <c r="D926" s="41">
        <v>4928</v>
      </c>
      <c r="E926" s="41" t="s">
        <v>3763</v>
      </c>
      <c r="F926" s="41" t="s">
        <v>53</v>
      </c>
      <c r="G926" s="41" t="s">
        <v>141</v>
      </c>
      <c r="I926" s="41" t="s">
        <v>149</v>
      </c>
      <c r="J926" s="41" t="s">
        <v>32</v>
      </c>
      <c r="K926" s="42"/>
      <c r="L926" s="41" t="s">
        <v>3764</v>
      </c>
      <c r="M926" s="41">
        <v>23</v>
      </c>
      <c r="N926" s="41" t="s">
        <v>67</v>
      </c>
      <c r="O926" s="41" t="s">
        <v>3765</v>
      </c>
      <c r="P926" s="41" t="s">
        <v>37</v>
      </c>
      <c r="Q926" s="41" t="s">
        <v>969</v>
      </c>
      <c r="R926" s="41" t="s">
        <v>132</v>
      </c>
      <c r="S926" s="41" t="s">
        <v>3766</v>
      </c>
      <c r="T926" s="41" t="s">
        <v>2690</v>
      </c>
      <c r="U926" s="41" t="s">
        <v>40</v>
      </c>
    </row>
    <row r="927" spans="1:21">
      <c r="A927" s="41">
        <v>2000</v>
      </c>
      <c r="B927" s="41" t="s">
        <v>3767</v>
      </c>
      <c r="D927" s="41">
        <v>4927</v>
      </c>
      <c r="E927" s="41" t="s">
        <v>3768</v>
      </c>
      <c r="F927" s="41" t="s">
        <v>53</v>
      </c>
      <c r="G927" s="41" t="s">
        <v>141</v>
      </c>
      <c r="I927" s="41" t="s">
        <v>149</v>
      </c>
      <c r="J927" s="41" t="s">
        <v>32</v>
      </c>
      <c r="K927" s="42"/>
      <c r="L927" s="41" t="s">
        <v>3769</v>
      </c>
      <c r="M927" s="41">
        <v>13</v>
      </c>
      <c r="N927" s="41" t="s">
        <v>67</v>
      </c>
      <c r="O927" s="41" t="s">
        <v>3770</v>
      </c>
      <c r="P927" s="41" t="s">
        <v>153</v>
      </c>
      <c r="Q927" s="41" t="s">
        <v>153</v>
      </c>
      <c r="R927" s="41" t="s">
        <v>132</v>
      </c>
      <c r="S927" s="41" t="s">
        <v>3771</v>
      </c>
      <c r="T927" s="41" t="s">
        <v>1289</v>
      </c>
      <c r="U927" s="41" t="s">
        <v>40</v>
      </c>
    </row>
    <row r="928" spans="1:21">
      <c r="A928" s="41">
        <v>1999</v>
      </c>
      <c r="B928" s="41" t="s">
        <v>3695</v>
      </c>
      <c r="D928" s="41">
        <v>4926</v>
      </c>
      <c r="E928" s="41" t="s">
        <v>3696</v>
      </c>
      <c r="F928" s="41" t="s">
        <v>53</v>
      </c>
      <c r="G928" s="41" t="s">
        <v>64</v>
      </c>
      <c r="I928" s="41" t="s">
        <v>149</v>
      </c>
      <c r="J928" s="41" t="s">
        <v>32</v>
      </c>
      <c r="K928" s="42"/>
      <c r="L928" s="41" t="s">
        <v>3697</v>
      </c>
      <c r="M928" s="41">
        <v>23</v>
      </c>
      <c r="N928" s="41" t="s">
        <v>1193</v>
      </c>
      <c r="O928" s="41" t="s">
        <v>3765</v>
      </c>
      <c r="P928" s="41" t="s">
        <v>153</v>
      </c>
      <c r="Q928" s="41" t="s">
        <v>154</v>
      </c>
      <c r="R928" s="41" t="s">
        <v>132</v>
      </c>
      <c r="S928" s="41" t="s">
        <v>40</v>
      </c>
      <c r="T928" s="41" t="s">
        <v>40</v>
      </c>
      <c r="U928" s="41" t="s">
        <v>40</v>
      </c>
    </row>
    <row r="929" spans="1:21">
      <c r="A929" s="41">
        <v>1998</v>
      </c>
      <c r="B929" s="41" t="s">
        <v>3772</v>
      </c>
      <c r="D929" s="41">
        <v>4889</v>
      </c>
      <c r="E929" s="41" t="s">
        <v>3773</v>
      </c>
      <c r="F929" s="41" t="s">
        <v>42</v>
      </c>
      <c r="G929" s="41" t="s">
        <v>121</v>
      </c>
      <c r="I929" s="41" t="s">
        <v>977</v>
      </c>
      <c r="J929" s="41" t="s">
        <v>672</v>
      </c>
      <c r="K929" s="42"/>
      <c r="L929" s="41" t="s">
        <v>3774</v>
      </c>
      <c r="M929" s="41">
        <v>23</v>
      </c>
      <c r="N929" s="41" t="s">
        <v>395</v>
      </c>
      <c r="O929" s="41" t="s">
        <v>3775</v>
      </c>
      <c r="P929" s="41" t="s">
        <v>153</v>
      </c>
      <c r="Q929" s="41" t="s">
        <v>1567</v>
      </c>
      <c r="R929" s="41" t="s">
        <v>39</v>
      </c>
      <c r="S929" s="41" t="s">
        <v>40</v>
      </c>
      <c r="T929" s="41" t="s">
        <v>3646</v>
      </c>
      <c r="U929" s="41" t="s">
        <v>40</v>
      </c>
    </row>
    <row r="930" spans="1:21">
      <c r="A930" s="41">
        <v>1997</v>
      </c>
      <c r="B930" s="41" t="s">
        <v>3776</v>
      </c>
      <c r="D930" s="41">
        <v>4888</v>
      </c>
      <c r="E930" s="41" t="s">
        <v>3773</v>
      </c>
      <c r="F930" s="41" t="s">
        <v>42</v>
      </c>
      <c r="G930" s="41" t="s">
        <v>141</v>
      </c>
      <c r="I930" s="41" t="s">
        <v>3777</v>
      </c>
      <c r="J930" s="41" t="s">
        <v>672</v>
      </c>
      <c r="K930" s="42"/>
      <c r="L930" s="41" t="s">
        <v>3778</v>
      </c>
      <c r="M930" s="41">
        <v>220</v>
      </c>
      <c r="N930" s="41" t="s">
        <v>3779</v>
      </c>
      <c r="O930" s="41" t="s">
        <v>77</v>
      </c>
      <c r="P930" s="41" t="s">
        <v>153</v>
      </c>
      <c r="Q930" s="41" t="s">
        <v>1567</v>
      </c>
      <c r="R930" s="41" t="s">
        <v>39</v>
      </c>
      <c r="S930" s="41" t="s">
        <v>40</v>
      </c>
      <c r="T930" s="41" t="s">
        <v>305</v>
      </c>
      <c r="U930" s="41" t="s">
        <v>40</v>
      </c>
    </row>
    <row r="931" spans="1:21">
      <c r="A931" s="41">
        <v>1996</v>
      </c>
      <c r="B931" s="41" t="s">
        <v>3780</v>
      </c>
      <c r="D931" s="41">
        <v>4934</v>
      </c>
      <c r="E931" s="41" t="s">
        <v>1354</v>
      </c>
      <c r="F931" s="41" t="s">
        <v>42</v>
      </c>
      <c r="G931" s="41" t="s">
        <v>1197</v>
      </c>
      <c r="I931" s="41" t="s">
        <v>1142</v>
      </c>
      <c r="J931" s="41" t="s">
        <v>32</v>
      </c>
      <c r="K931" s="42"/>
      <c r="L931" s="41" t="s">
        <v>3781</v>
      </c>
      <c r="M931" s="41">
        <v>23</v>
      </c>
      <c r="N931" s="41" t="s">
        <v>3782</v>
      </c>
      <c r="O931" s="41" t="s">
        <v>3783</v>
      </c>
      <c r="P931" s="41" t="s">
        <v>179</v>
      </c>
      <c r="Q931" s="41" t="s">
        <v>524</v>
      </c>
      <c r="R931" s="41" t="s">
        <v>39</v>
      </c>
      <c r="S931" s="41" t="s">
        <v>40</v>
      </c>
      <c r="T931" s="41" t="s">
        <v>40</v>
      </c>
      <c r="U931" s="41" t="s">
        <v>40</v>
      </c>
    </row>
    <row r="932" spans="1:21">
      <c r="A932" s="41">
        <v>1995</v>
      </c>
      <c r="B932" s="41" t="s">
        <v>3784</v>
      </c>
      <c r="D932" s="41">
        <v>4924</v>
      </c>
      <c r="E932" s="41" t="s">
        <v>1102</v>
      </c>
      <c r="F932" s="41" t="s">
        <v>28</v>
      </c>
      <c r="G932" s="41" t="s">
        <v>301</v>
      </c>
      <c r="I932" s="41" t="s">
        <v>1480</v>
      </c>
      <c r="J932" s="41" t="s">
        <v>32</v>
      </c>
      <c r="K932" s="42"/>
      <c r="L932" s="41" t="s">
        <v>3785</v>
      </c>
      <c r="M932" s="41">
        <v>220</v>
      </c>
      <c r="N932" s="41" t="s">
        <v>3786</v>
      </c>
      <c r="O932" s="41" t="s">
        <v>3787</v>
      </c>
      <c r="P932" s="41" t="s">
        <v>78</v>
      </c>
      <c r="Q932" s="41" t="s">
        <v>3094</v>
      </c>
      <c r="R932" s="41" t="s">
        <v>39</v>
      </c>
      <c r="S932" s="41" t="s">
        <v>3788</v>
      </c>
      <c r="T932" s="41" t="s">
        <v>1796</v>
      </c>
      <c r="U932" s="41" t="s">
        <v>40</v>
      </c>
    </row>
    <row r="933" spans="1:21">
      <c r="A933" s="41">
        <v>1994</v>
      </c>
      <c r="B933" s="41" t="s">
        <v>3780</v>
      </c>
      <c r="E933" s="41" t="s">
        <v>1354</v>
      </c>
      <c r="F933" s="41" t="s">
        <v>42</v>
      </c>
      <c r="G933" s="41" t="s">
        <v>43</v>
      </c>
      <c r="I933" s="41" t="s">
        <v>1142</v>
      </c>
      <c r="J933" s="41" t="s">
        <v>32</v>
      </c>
      <c r="K933" s="42"/>
      <c r="L933" s="41" t="s">
        <v>3789</v>
      </c>
      <c r="M933" s="41">
        <v>23</v>
      </c>
      <c r="N933" s="41" t="s">
        <v>3782</v>
      </c>
      <c r="O933" s="41" t="s">
        <v>3783</v>
      </c>
      <c r="P933" s="41" t="s">
        <v>179</v>
      </c>
      <c r="Q933" s="41" t="s">
        <v>524</v>
      </c>
      <c r="R933" s="41" t="s">
        <v>39</v>
      </c>
      <c r="S933" s="41" t="s">
        <v>40</v>
      </c>
      <c r="T933" s="41" t="s">
        <v>40</v>
      </c>
      <c r="U933" s="41" t="s">
        <v>40</v>
      </c>
    </row>
    <row r="934" spans="1:21">
      <c r="A934" s="41">
        <v>1993</v>
      </c>
      <c r="B934" s="41" t="s">
        <v>3790</v>
      </c>
      <c r="D934" s="41">
        <v>4925</v>
      </c>
      <c r="E934" s="41" t="s">
        <v>3791</v>
      </c>
      <c r="F934" s="41" t="s">
        <v>28</v>
      </c>
      <c r="G934" s="41" t="s">
        <v>286</v>
      </c>
      <c r="I934" s="41" t="s">
        <v>3616</v>
      </c>
      <c r="J934" s="41" t="s">
        <v>672</v>
      </c>
      <c r="K934" s="42"/>
      <c r="L934" s="41" t="s">
        <v>3124</v>
      </c>
      <c r="M934" s="41">
        <v>110</v>
      </c>
      <c r="N934" s="41" t="s">
        <v>1693</v>
      </c>
      <c r="O934" s="41" t="s">
        <v>2215</v>
      </c>
      <c r="P934" s="41" t="s">
        <v>68</v>
      </c>
      <c r="Q934" s="41" t="s">
        <v>69</v>
      </c>
      <c r="R934" s="41" t="s">
        <v>39</v>
      </c>
      <c r="S934" s="41" t="s">
        <v>40</v>
      </c>
      <c r="T934" s="41" t="s">
        <v>40</v>
      </c>
      <c r="U934" s="41" t="s">
        <v>40</v>
      </c>
    </row>
    <row r="935" spans="1:21">
      <c r="A935" s="41">
        <v>1992</v>
      </c>
      <c r="B935" s="41" t="s">
        <v>3792</v>
      </c>
      <c r="D935" s="41">
        <v>4933</v>
      </c>
      <c r="E935" s="41" t="s">
        <v>1913</v>
      </c>
      <c r="F935" s="41" t="s">
        <v>53</v>
      </c>
      <c r="G935" s="41" t="s">
        <v>141</v>
      </c>
      <c r="I935" s="41" t="s">
        <v>392</v>
      </c>
      <c r="J935" s="41" t="s">
        <v>32</v>
      </c>
      <c r="K935" s="42"/>
      <c r="L935" s="41" t="s">
        <v>3793</v>
      </c>
      <c r="M935" s="41">
        <v>220</v>
      </c>
      <c r="N935" s="41" t="s">
        <v>3794</v>
      </c>
      <c r="O935" s="41" t="s">
        <v>3795</v>
      </c>
      <c r="P935" s="41" t="s">
        <v>98</v>
      </c>
      <c r="Q935" s="41" t="s">
        <v>116</v>
      </c>
      <c r="R935" s="41" t="s">
        <v>62</v>
      </c>
      <c r="S935" s="41" t="s">
        <v>3796</v>
      </c>
      <c r="T935" s="41" t="s">
        <v>165</v>
      </c>
      <c r="U935" s="41" t="s">
        <v>40</v>
      </c>
    </row>
    <row r="936" spans="1:21">
      <c r="A936" s="41">
        <v>1991</v>
      </c>
      <c r="B936" s="41" t="s">
        <v>3797</v>
      </c>
      <c r="D936" s="41">
        <v>4923</v>
      </c>
      <c r="E936" s="41" t="s">
        <v>1435</v>
      </c>
      <c r="F936" s="41" t="s">
        <v>28</v>
      </c>
      <c r="G936" s="41" t="s">
        <v>64</v>
      </c>
      <c r="I936" s="41" t="s">
        <v>325</v>
      </c>
      <c r="J936" s="41" t="s">
        <v>32</v>
      </c>
      <c r="K936" s="42"/>
      <c r="L936" s="41" t="s">
        <v>3798</v>
      </c>
      <c r="M936" s="41">
        <v>220</v>
      </c>
      <c r="N936" s="41" t="s">
        <v>3799</v>
      </c>
      <c r="O936" s="41" t="s">
        <v>3800</v>
      </c>
      <c r="P936" s="41" t="s">
        <v>50</v>
      </c>
      <c r="Q936" s="41" t="s">
        <v>3801</v>
      </c>
      <c r="R936" s="41" t="s">
        <v>39</v>
      </c>
      <c r="S936" s="41" t="s">
        <v>40</v>
      </c>
      <c r="T936" s="41" t="s">
        <v>40</v>
      </c>
      <c r="U936" s="41" t="s">
        <v>40</v>
      </c>
    </row>
    <row r="937" spans="1:21">
      <c r="A937" s="41">
        <v>1990</v>
      </c>
      <c r="B937" s="41" t="s">
        <v>3802</v>
      </c>
      <c r="D937" s="41">
        <v>4922</v>
      </c>
      <c r="E937" s="41" t="s">
        <v>3803</v>
      </c>
      <c r="F937" s="41" t="s">
        <v>53</v>
      </c>
      <c r="G937" s="41" t="s">
        <v>141</v>
      </c>
      <c r="I937" s="41" t="s">
        <v>325</v>
      </c>
      <c r="J937" s="41" t="s">
        <v>32</v>
      </c>
      <c r="K937" s="42"/>
      <c r="L937" s="41" t="s">
        <v>3804</v>
      </c>
      <c r="M937" s="41">
        <v>66</v>
      </c>
      <c r="N937" s="41" t="s">
        <v>805</v>
      </c>
      <c r="O937" s="41" t="s">
        <v>3805</v>
      </c>
      <c r="P937" s="41" t="s">
        <v>83</v>
      </c>
      <c r="Q937" s="41" t="s">
        <v>3806</v>
      </c>
      <c r="R937" s="41" t="s">
        <v>132</v>
      </c>
      <c r="S937" s="41" t="s">
        <v>3807</v>
      </c>
      <c r="T937" s="41" t="s">
        <v>1846</v>
      </c>
      <c r="U937" s="41" t="s">
        <v>40</v>
      </c>
    </row>
    <row r="938" spans="1:21">
      <c r="A938" s="41">
        <v>1989</v>
      </c>
      <c r="B938" s="41" t="s">
        <v>3808</v>
      </c>
      <c r="D938" s="41">
        <v>4920</v>
      </c>
      <c r="E938" s="41" t="s">
        <v>1227</v>
      </c>
      <c r="F938" s="41" t="s">
        <v>42</v>
      </c>
      <c r="G938" s="41" t="s">
        <v>1175</v>
      </c>
      <c r="I938" s="41" t="s">
        <v>1068</v>
      </c>
      <c r="J938" s="41" t="s">
        <v>32</v>
      </c>
      <c r="K938" s="42"/>
      <c r="L938" s="41" t="s">
        <v>3373</v>
      </c>
      <c r="M938" s="41">
        <v>220</v>
      </c>
      <c r="N938" s="41" t="s">
        <v>719</v>
      </c>
      <c r="O938" s="41" t="s">
        <v>3374</v>
      </c>
      <c r="P938" s="41" t="s">
        <v>98</v>
      </c>
      <c r="Q938" s="41" t="s">
        <v>370</v>
      </c>
      <c r="R938" s="41" t="s">
        <v>39</v>
      </c>
      <c r="S938" s="41" t="s">
        <v>40</v>
      </c>
      <c r="T938" s="41" t="s">
        <v>40</v>
      </c>
      <c r="U938" s="41" t="s">
        <v>40</v>
      </c>
    </row>
    <row r="939" spans="1:21">
      <c r="A939" s="41">
        <v>1988</v>
      </c>
      <c r="B939" s="41" t="s">
        <v>3809</v>
      </c>
      <c r="D939" s="41">
        <v>4921</v>
      </c>
      <c r="E939" s="41" t="s">
        <v>1227</v>
      </c>
      <c r="F939" s="41" t="s">
        <v>42</v>
      </c>
      <c r="G939" s="41" t="s">
        <v>43</v>
      </c>
      <c r="I939" s="41" t="s">
        <v>1068</v>
      </c>
      <c r="J939" s="41" t="s">
        <v>32</v>
      </c>
      <c r="K939" s="42"/>
      <c r="L939" s="41" t="s">
        <v>3373</v>
      </c>
      <c r="M939" s="41">
        <v>220</v>
      </c>
      <c r="N939" s="41" t="s">
        <v>719</v>
      </c>
      <c r="O939" s="41" t="s">
        <v>3810</v>
      </c>
      <c r="P939" s="41" t="s">
        <v>98</v>
      </c>
      <c r="Q939" s="41" t="s">
        <v>370</v>
      </c>
      <c r="R939" s="41" t="s">
        <v>39</v>
      </c>
      <c r="S939" s="41" t="s">
        <v>40</v>
      </c>
      <c r="T939" s="41" t="s">
        <v>40</v>
      </c>
      <c r="U939" s="41" t="s">
        <v>40</v>
      </c>
    </row>
    <row r="940" spans="1:21">
      <c r="A940" s="41">
        <v>1987</v>
      </c>
      <c r="B940" s="41" t="s">
        <v>3811</v>
      </c>
      <c r="D940" s="41">
        <v>4919</v>
      </c>
      <c r="E940" s="41" t="s">
        <v>1076</v>
      </c>
      <c r="F940" s="41" t="s">
        <v>53</v>
      </c>
      <c r="G940" s="41" t="s">
        <v>64</v>
      </c>
      <c r="I940" s="41" t="s">
        <v>149</v>
      </c>
      <c r="J940" s="41" t="s">
        <v>32</v>
      </c>
      <c r="K940" s="42"/>
      <c r="L940" s="41" t="s">
        <v>3812</v>
      </c>
      <c r="M940" s="41">
        <v>66</v>
      </c>
      <c r="N940" s="41" t="s">
        <v>3751</v>
      </c>
      <c r="O940" s="41" t="s">
        <v>482</v>
      </c>
      <c r="P940" s="41" t="s">
        <v>172</v>
      </c>
      <c r="Q940" s="41" t="s">
        <v>3813</v>
      </c>
      <c r="R940" s="41" t="s">
        <v>132</v>
      </c>
      <c r="S940" s="41" t="s">
        <v>40</v>
      </c>
      <c r="T940" s="41" t="s">
        <v>40</v>
      </c>
      <c r="U940" s="41" t="s">
        <v>40</v>
      </c>
    </row>
    <row r="941" spans="1:21">
      <c r="A941" s="41">
        <v>1986</v>
      </c>
      <c r="B941" s="41" t="s">
        <v>3814</v>
      </c>
      <c r="D941" s="41">
        <v>4918</v>
      </c>
      <c r="E941" s="41" t="s">
        <v>2487</v>
      </c>
      <c r="F941" s="41" t="s">
        <v>53</v>
      </c>
      <c r="G941" s="41" t="s">
        <v>141</v>
      </c>
      <c r="I941" s="41" t="s">
        <v>1303</v>
      </c>
      <c r="J941" s="41" t="s">
        <v>32</v>
      </c>
      <c r="K941" s="42"/>
      <c r="L941" s="41" t="s">
        <v>3815</v>
      </c>
      <c r="M941" s="41">
        <v>110</v>
      </c>
      <c r="N941" s="41" t="s">
        <v>3816</v>
      </c>
      <c r="O941" s="41" t="s">
        <v>3817</v>
      </c>
      <c r="P941" s="41" t="s">
        <v>68</v>
      </c>
      <c r="Q941" s="41" t="s">
        <v>159</v>
      </c>
      <c r="R941" s="41" t="s">
        <v>62</v>
      </c>
      <c r="S941" s="41" t="s">
        <v>3818</v>
      </c>
      <c r="T941" s="41" t="s">
        <v>1449</v>
      </c>
      <c r="U941" s="41" t="s">
        <v>40</v>
      </c>
    </row>
    <row r="942" spans="1:21">
      <c r="A942" s="41">
        <v>1985</v>
      </c>
      <c r="B942" s="41" t="s">
        <v>3819</v>
      </c>
      <c r="D942" s="41">
        <v>4917</v>
      </c>
      <c r="E942" s="41" t="s">
        <v>1227</v>
      </c>
      <c r="F942" s="41" t="s">
        <v>53</v>
      </c>
      <c r="G942" s="41" t="s">
        <v>141</v>
      </c>
      <c r="I942" s="41" t="s">
        <v>3101</v>
      </c>
      <c r="J942" s="41" t="s">
        <v>32</v>
      </c>
      <c r="K942" s="42"/>
      <c r="L942" s="41" t="s">
        <v>3597</v>
      </c>
      <c r="M942" s="41">
        <v>220</v>
      </c>
      <c r="N942" s="41" t="s">
        <v>3820</v>
      </c>
      <c r="O942" s="41" t="s">
        <v>3002</v>
      </c>
      <c r="P942" s="41" t="s">
        <v>98</v>
      </c>
      <c r="Q942" s="41" t="s">
        <v>116</v>
      </c>
      <c r="R942" s="41" t="s">
        <v>62</v>
      </c>
      <c r="S942" s="41" t="s">
        <v>3821</v>
      </c>
      <c r="T942" s="41" t="s">
        <v>3157</v>
      </c>
      <c r="U942" s="41" t="s">
        <v>40</v>
      </c>
    </row>
    <row r="943" spans="1:21">
      <c r="A943" s="41">
        <v>1984</v>
      </c>
      <c r="B943" s="41" t="s">
        <v>3822</v>
      </c>
      <c r="D943" s="41">
        <v>4872</v>
      </c>
      <c r="E943" s="41" t="s">
        <v>2971</v>
      </c>
      <c r="F943" s="41" t="s">
        <v>28</v>
      </c>
      <c r="G943" s="41" t="s">
        <v>43</v>
      </c>
      <c r="I943" s="41" t="s">
        <v>521</v>
      </c>
      <c r="J943" s="41" t="s">
        <v>672</v>
      </c>
      <c r="K943" s="42"/>
      <c r="L943" s="41" t="s">
        <v>3823</v>
      </c>
      <c r="M943" s="41">
        <v>69</v>
      </c>
      <c r="N943" s="41" t="s">
        <v>3824</v>
      </c>
      <c r="O943" s="41" t="s">
        <v>1151</v>
      </c>
      <c r="P943" s="41" t="s">
        <v>98</v>
      </c>
      <c r="Q943" s="41" t="s">
        <v>98</v>
      </c>
      <c r="R943" s="41" t="s">
        <v>39</v>
      </c>
      <c r="S943" s="41" t="s">
        <v>40</v>
      </c>
      <c r="T943" s="41" t="s">
        <v>40</v>
      </c>
      <c r="U943" s="41" t="s">
        <v>40</v>
      </c>
    </row>
    <row r="944" spans="1:21">
      <c r="A944" s="41">
        <v>1983</v>
      </c>
      <c r="B944" s="41" t="s">
        <v>3825</v>
      </c>
      <c r="D944" s="41">
        <v>4916</v>
      </c>
      <c r="E944" s="41" t="s">
        <v>1248</v>
      </c>
      <c r="F944" s="41" t="s">
        <v>53</v>
      </c>
      <c r="G944" s="41" t="s">
        <v>141</v>
      </c>
      <c r="I944" s="41" t="s">
        <v>231</v>
      </c>
      <c r="J944" s="41" t="s">
        <v>672</v>
      </c>
      <c r="K944" s="42"/>
      <c r="L944" s="41" t="s">
        <v>3826</v>
      </c>
      <c r="M944" s="41">
        <v>110</v>
      </c>
      <c r="N944" s="41" t="s">
        <v>3827</v>
      </c>
      <c r="O944" s="41" t="s">
        <v>3828</v>
      </c>
      <c r="P944" s="41" t="s">
        <v>68</v>
      </c>
      <c r="Q944" s="41" t="s">
        <v>403</v>
      </c>
      <c r="R944" s="41" t="s">
        <v>132</v>
      </c>
      <c r="S944" s="41" t="s">
        <v>3829</v>
      </c>
      <c r="T944" s="41" t="s">
        <v>1796</v>
      </c>
      <c r="U944" s="41" t="s">
        <v>40</v>
      </c>
    </row>
    <row r="945" spans="1:21">
      <c r="A945" s="41">
        <v>1982</v>
      </c>
      <c r="B945" s="41" t="s">
        <v>3830</v>
      </c>
      <c r="D945" s="41">
        <v>4915</v>
      </c>
      <c r="E945" s="41" t="s">
        <v>3831</v>
      </c>
      <c r="F945" s="41" t="s">
        <v>53</v>
      </c>
      <c r="G945" s="41" t="s">
        <v>141</v>
      </c>
      <c r="I945" s="41" t="s">
        <v>1068</v>
      </c>
      <c r="J945" s="41" t="s">
        <v>672</v>
      </c>
      <c r="K945" s="42"/>
      <c r="L945" s="41" t="s">
        <v>3832</v>
      </c>
      <c r="M945" s="41">
        <v>23</v>
      </c>
      <c r="N945" s="41" t="s">
        <v>1052</v>
      </c>
      <c r="O945" s="41" t="s">
        <v>299</v>
      </c>
      <c r="P945" s="41" t="s">
        <v>37</v>
      </c>
      <c r="Q945" s="41" t="s">
        <v>969</v>
      </c>
      <c r="R945" s="41" t="s">
        <v>132</v>
      </c>
      <c r="S945" s="41" t="s">
        <v>3833</v>
      </c>
      <c r="T945" s="41" t="s">
        <v>313</v>
      </c>
      <c r="U945" s="41" t="s">
        <v>40</v>
      </c>
    </row>
    <row r="946" spans="1:21">
      <c r="A946" s="41">
        <v>1981</v>
      </c>
      <c r="B946" s="41" t="s">
        <v>3834</v>
      </c>
      <c r="D946" s="41">
        <v>4914</v>
      </c>
      <c r="E946" s="41" t="s">
        <v>1023</v>
      </c>
      <c r="F946" s="41" t="s">
        <v>42</v>
      </c>
      <c r="G946" s="41" t="s">
        <v>141</v>
      </c>
      <c r="I946" s="41" t="s">
        <v>1024</v>
      </c>
      <c r="J946" s="41" t="s">
        <v>32</v>
      </c>
      <c r="K946" s="42"/>
      <c r="L946" s="41" t="s">
        <v>3835</v>
      </c>
      <c r="M946" s="41">
        <v>33</v>
      </c>
      <c r="N946" s="41" t="s">
        <v>59</v>
      </c>
      <c r="O946" s="41" t="s">
        <v>36</v>
      </c>
      <c r="P946" s="41" t="s">
        <v>98</v>
      </c>
      <c r="Q946" s="41" t="s">
        <v>116</v>
      </c>
      <c r="R946" s="41" t="s">
        <v>39</v>
      </c>
      <c r="S946" s="41" t="s">
        <v>40</v>
      </c>
      <c r="T946" s="41" t="s">
        <v>3646</v>
      </c>
      <c r="U946" s="41" t="s">
        <v>40</v>
      </c>
    </row>
    <row r="947" spans="1:21">
      <c r="A947" s="41">
        <v>1980</v>
      </c>
      <c r="B947" s="41" t="s">
        <v>3834</v>
      </c>
      <c r="E947" s="41" t="s">
        <v>3836</v>
      </c>
      <c r="F947" s="41" t="s">
        <v>42</v>
      </c>
      <c r="G947" s="41" t="s">
        <v>43</v>
      </c>
      <c r="I947" s="41" t="s">
        <v>1024</v>
      </c>
      <c r="J947" s="41" t="s">
        <v>32</v>
      </c>
      <c r="K947" s="42"/>
      <c r="L947" s="41" t="s">
        <v>3835</v>
      </c>
      <c r="M947" s="41">
        <v>33</v>
      </c>
      <c r="N947" s="41" t="s">
        <v>3837</v>
      </c>
      <c r="O947" s="41" t="s">
        <v>36</v>
      </c>
      <c r="P947" s="41" t="s">
        <v>98</v>
      </c>
      <c r="Q947" s="41" t="s">
        <v>116</v>
      </c>
      <c r="R947" s="41" t="s">
        <v>39</v>
      </c>
      <c r="S947" s="41" t="s">
        <v>40</v>
      </c>
      <c r="T947" s="41" t="s">
        <v>40</v>
      </c>
      <c r="U947" s="41" t="s">
        <v>40</v>
      </c>
    </row>
    <row r="948" spans="1:21">
      <c r="A948" s="41">
        <v>1979</v>
      </c>
      <c r="B948" s="41" t="s">
        <v>3838</v>
      </c>
      <c r="D948" s="41">
        <v>4887</v>
      </c>
      <c r="E948" s="41" t="s">
        <v>2043</v>
      </c>
      <c r="F948" s="41" t="s">
        <v>42</v>
      </c>
      <c r="G948" s="41" t="s">
        <v>141</v>
      </c>
      <c r="I948" s="41" t="s">
        <v>162</v>
      </c>
      <c r="J948" s="41" t="s">
        <v>32</v>
      </c>
      <c r="K948" s="42"/>
      <c r="L948" s="41" t="s">
        <v>3839</v>
      </c>
      <c r="M948" s="41">
        <v>33</v>
      </c>
      <c r="N948" s="41" t="s">
        <v>3840</v>
      </c>
      <c r="O948" s="41" t="s">
        <v>3841</v>
      </c>
      <c r="P948" s="41" t="s">
        <v>50</v>
      </c>
      <c r="Q948" s="41" t="s">
        <v>1428</v>
      </c>
      <c r="R948" s="41" t="s">
        <v>39</v>
      </c>
      <c r="S948" s="41" t="s">
        <v>40</v>
      </c>
      <c r="T948" s="41" t="s">
        <v>125</v>
      </c>
      <c r="U948" s="41" t="s">
        <v>40</v>
      </c>
    </row>
    <row r="949" spans="1:21">
      <c r="A949" s="41">
        <v>1975</v>
      </c>
      <c r="B949" s="41" t="s">
        <v>3842</v>
      </c>
      <c r="D949" s="41">
        <v>4886</v>
      </c>
      <c r="E949" s="41" t="s">
        <v>3675</v>
      </c>
      <c r="F949" s="41" t="s">
        <v>53</v>
      </c>
      <c r="G949" s="41" t="s">
        <v>141</v>
      </c>
      <c r="I949" s="41" t="s">
        <v>201</v>
      </c>
      <c r="J949" s="41" t="s">
        <v>295</v>
      </c>
      <c r="K949" s="42"/>
      <c r="L949" s="41" t="s">
        <v>3676</v>
      </c>
      <c r="M949" s="41">
        <v>220</v>
      </c>
      <c r="N949" s="41" t="s">
        <v>3843</v>
      </c>
      <c r="O949" s="41" t="s">
        <v>3844</v>
      </c>
      <c r="P949" s="41" t="s">
        <v>546</v>
      </c>
      <c r="Q949" s="41" t="s">
        <v>2100</v>
      </c>
      <c r="R949" s="41" t="s">
        <v>62</v>
      </c>
      <c r="S949" s="41" t="s">
        <v>3845</v>
      </c>
      <c r="T949" s="41" t="s">
        <v>1289</v>
      </c>
      <c r="U949" s="41" t="s">
        <v>40</v>
      </c>
    </row>
    <row r="950" spans="1:21">
      <c r="A950" s="41">
        <v>1974</v>
      </c>
      <c r="B950" s="41" t="s">
        <v>3846</v>
      </c>
      <c r="D950" s="41">
        <v>4885</v>
      </c>
      <c r="E950" s="41" t="s">
        <v>3847</v>
      </c>
      <c r="F950" s="41" t="s">
        <v>53</v>
      </c>
      <c r="G950" s="41" t="s">
        <v>141</v>
      </c>
      <c r="I950" s="41" t="s">
        <v>399</v>
      </c>
      <c r="J950" s="41" t="s">
        <v>32</v>
      </c>
      <c r="K950" s="42"/>
      <c r="L950" s="41" t="s">
        <v>3754</v>
      </c>
      <c r="M950" s="41">
        <v>15</v>
      </c>
      <c r="N950" s="41" t="s">
        <v>59</v>
      </c>
      <c r="O950" s="41" t="s">
        <v>402</v>
      </c>
      <c r="P950" s="41" t="s">
        <v>172</v>
      </c>
      <c r="Q950" s="41" t="s">
        <v>3755</v>
      </c>
      <c r="R950" s="41" t="s">
        <v>132</v>
      </c>
      <c r="S950" s="41" t="s">
        <v>3848</v>
      </c>
      <c r="T950" s="41" t="s">
        <v>165</v>
      </c>
      <c r="U950" s="41" t="s">
        <v>40</v>
      </c>
    </row>
    <row r="951" spans="1:21">
      <c r="A951" s="41">
        <v>1973</v>
      </c>
      <c r="B951" s="41" t="s">
        <v>3849</v>
      </c>
      <c r="D951" s="41">
        <v>4883</v>
      </c>
      <c r="E951" s="41" t="s">
        <v>3850</v>
      </c>
      <c r="F951" s="41" t="s">
        <v>53</v>
      </c>
      <c r="G951" s="41" t="s">
        <v>141</v>
      </c>
      <c r="I951" s="41" t="s">
        <v>399</v>
      </c>
      <c r="J951" s="41" t="s">
        <v>32</v>
      </c>
      <c r="K951" s="42"/>
      <c r="L951" s="41" t="s">
        <v>3851</v>
      </c>
      <c r="M951" s="41">
        <v>15</v>
      </c>
      <c r="N951" s="41" t="s">
        <v>59</v>
      </c>
      <c r="O951" s="41" t="s">
        <v>663</v>
      </c>
      <c r="P951" s="41" t="s">
        <v>172</v>
      </c>
      <c r="Q951" s="41" t="s">
        <v>1011</v>
      </c>
      <c r="R951" s="41" t="s">
        <v>132</v>
      </c>
      <c r="S951" s="41" t="s">
        <v>3852</v>
      </c>
      <c r="T951" s="41" t="s">
        <v>165</v>
      </c>
      <c r="U951" s="41" t="s">
        <v>40</v>
      </c>
    </row>
    <row r="952" spans="1:21">
      <c r="A952" s="41">
        <v>1972</v>
      </c>
      <c r="B952" s="41" t="s">
        <v>3853</v>
      </c>
      <c r="D952" s="41">
        <v>4882</v>
      </c>
      <c r="E952" s="41" t="s">
        <v>3854</v>
      </c>
      <c r="F952" s="41" t="s">
        <v>53</v>
      </c>
      <c r="G952" s="41" t="s">
        <v>141</v>
      </c>
      <c r="I952" s="41" t="s">
        <v>399</v>
      </c>
      <c r="J952" s="41" t="s">
        <v>32</v>
      </c>
      <c r="K952" s="42"/>
      <c r="L952" s="41" t="s">
        <v>3855</v>
      </c>
      <c r="M952" s="41">
        <v>15</v>
      </c>
      <c r="N952" s="41" t="s">
        <v>59</v>
      </c>
      <c r="O952" s="41" t="s">
        <v>402</v>
      </c>
      <c r="P952" s="41" t="s">
        <v>172</v>
      </c>
      <c r="Q952" s="41" t="s">
        <v>3856</v>
      </c>
      <c r="R952" s="41" t="s">
        <v>132</v>
      </c>
      <c r="S952" s="41" t="s">
        <v>3857</v>
      </c>
      <c r="T952" s="41" t="s">
        <v>165</v>
      </c>
      <c r="U952" s="41" t="s">
        <v>40</v>
      </c>
    </row>
    <row r="953" spans="1:21">
      <c r="A953" s="41">
        <v>1971</v>
      </c>
      <c r="B953" s="41" t="s">
        <v>3858</v>
      </c>
      <c r="D953" s="41">
        <v>4881</v>
      </c>
      <c r="E953" s="41" t="s">
        <v>3546</v>
      </c>
      <c r="F953" s="41" t="s">
        <v>53</v>
      </c>
      <c r="G953" s="41" t="s">
        <v>141</v>
      </c>
      <c r="I953" s="41" t="s">
        <v>399</v>
      </c>
      <c r="J953" s="41" t="s">
        <v>32</v>
      </c>
      <c r="K953" s="42"/>
      <c r="L953" s="41" t="s">
        <v>3859</v>
      </c>
      <c r="M953" s="41">
        <v>13</v>
      </c>
      <c r="N953" s="41" t="s">
        <v>59</v>
      </c>
      <c r="O953" s="41" t="s">
        <v>663</v>
      </c>
      <c r="P953" s="41" t="s">
        <v>60</v>
      </c>
      <c r="Q953" s="41" t="s">
        <v>1468</v>
      </c>
      <c r="R953" s="41" t="s">
        <v>132</v>
      </c>
      <c r="S953" s="41" t="s">
        <v>3860</v>
      </c>
      <c r="T953" s="41" t="s">
        <v>165</v>
      </c>
      <c r="U953" s="41" t="s">
        <v>40</v>
      </c>
    </row>
    <row r="954" spans="1:21">
      <c r="A954" s="41">
        <v>1970</v>
      </c>
      <c r="B954" s="41" t="s">
        <v>3861</v>
      </c>
      <c r="D954" s="41">
        <v>4884</v>
      </c>
      <c r="E954" s="41" t="s">
        <v>3862</v>
      </c>
      <c r="F954" s="41" t="s">
        <v>53</v>
      </c>
      <c r="G954" s="41" t="s">
        <v>141</v>
      </c>
      <c r="I954" s="41" t="s">
        <v>399</v>
      </c>
      <c r="J954" s="41" t="s">
        <v>32</v>
      </c>
      <c r="K954" s="42"/>
      <c r="L954" s="41" t="s">
        <v>3863</v>
      </c>
      <c r="M954" s="41">
        <v>13</v>
      </c>
      <c r="N954" s="41" t="s">
        <v>59</v>
      </c>
      <c r="O954" s="41" t="s">
        <v>1261</v>
      </c>
      <c r="P954" s="41" t="s">
        <v>68</v>
      </c>
      <c r="Q954" s="41" t="s">
        <v>244</v>
      </c>
      <c r="R954" s="41" t="s">
        <v>132</v>
      </c>
      <c r="S954" s="41" t="s">
        <v>3864</v>
      </c>
      <c r="T954" s="41" t="s">
        <v>165</v>
      </c>
      <c r="U954" s="41" t="s">
        <v>40</v>
      </c>
    </row>
    <row r="955" spans="1:21">
      <c r="A955" s="41">
        <v>1969</v>
      </c>
      <c r="B955" s="41" t="s">
        <v>3865</v>
      </c>
      <c r="D955" s="41">
        <v>4880</v>
      </c>
      <c r="E955" s="41" t="s">
        <v>3866</v>
      </c>
      <c r="F955" s="41" t="s">
        <v>53</v>
      </c>
      <c r="G955" s="41" t="s">
        <v>64</v>
      </c>
      <c r="I955" s="41" t="s">
        <v>45</v>
      </c>
      <c r="J955" s="41" t="s">
        <v>32</v>
      </c>
      <c r="K955" s="42"/>
      <c r="L955" s="41" t="s">
        <v>3867</v>
      </c>
      <c r="M955" s="41">
        <v>220</v>
      </c>
      <c r="N955" s="41" t="s">
        <v>805</v>
      </c>
      <c r="O955" s="41" t="s">
        <v>3868</v>
      </c>
      <c r="P955" s="41" t="s">
        <v>60</v>
      </c>
      <c r="Q955" s="41" t="s">
        <v>3869</v>
      </c>
      <c r="R955" s="41" t="s">
        <v>132</v>
      </c>
      <c r="S955" s="41" t="s">
        <v>40</v>
      </c>
      <c r="T955" s="41" t="s">
        <v>40</v>
      </c>
      <c r="U955" s="41" t="s">
        <v>40</v>
      </c>
    </row>
    <row r="956" spans="1:21">
      <c r="A956" s="41">
        <v>1968</v>
      </c>
      <c r="B956" s="41" t="s">
        <v>3870</v>
      </c>
      <c r="D956" s="41">
        <v>4879</v>
      </c>
      <c r="E956" s="41" t="s">
        <v>1091</v>
      </c>
      <c r="F956" s="41" t="s">
        <v>53</v>
      </c>
      <c r="G956" s="41" t="s">
        <v>307</v>
      </c>
      <c r="I956" s="41" t="s">
        <v>3871</v>
      </c>
      <c r="J956" s="41" t="s">
        <v>672</v>
      </c>
      <c r="K956" s="42"/>
      <c r="L956" s="41" t="s">
        <v>1337</v>
      </c>
      <c r="M956" s="41">
        <v>23</v>
      </c>
      <c r="N956" s="41" t="s">
        <v>3872</v>
      </c>
      <c r="O956" s="41" t="s">
        <v>291</v>
      </c>
      <c r="P956" s="41" t="s">
        <v>68</v>
      </c>
      <c r="Q956" s="41" t="s">
        <v>191</v>
      </c>
      <c r="R956" s="41" t="s">
        <v>132</v>
      </c>
      <c r="S956" s="41" t="s">
        <v>3873</v>
      </c>
      <c r="T956" s="41" t="s">
        <v>3429</v>
      </c>
      <c r="U956" s="41" t="s">
        <v>40</v>
      </c>
    </row>
    <row r="957" spans="1:21">
      <c r="A957" s="41">
        <v>1967</v>
      </c>
      <c r="B957" s="41" t="s">
        <v>3874</v>
      </c>
      <c r="D957" s="41">
        <v>4878</v>
      </c>
      <c r="E957" s="41" t="s">
        <v>3875</v>
      </c>
      <c r="F957" s="41" t="s">
        <v>28</v>
      </c>
      <c r="G957" s="41" t="s">
        <v>64</v>
      </c>
      <c r="I957" s="41" t="s">
        <v>2572</v>
      </c>
      <c r="J957" s="41" t="s">
        <v>32</v>
      </c>
      <c r="K957" s="42"/>
      <c r="L957" s="41" t="s">
        <v>3876</v>
      </c>
      <c r="M957" s="41">
        <v>220</v>
      </c>
      <c r="N957" s="41" t="s">
        <v>2895</v>
      </c>
      <c r="O957" s="41" t="s">
        <v>1045</v>
      </c>
      <c r="P957" s="41" t="s">
        <v>50</v>
      </c>
      <c r="Q957" s="41" t="s">
        <v>1499</v>
      </c>
      <c r="R957" s="41" t="s">
        <v>39</v>
      </c>
      <c r="S957" s="41" t="s">
        <v>40</v>
      </c>
      <c r="T957" s="41" t="s">
        <v>40</v>
      </c>
      <c r="U957" s="41" t="s">
        <v>40</v>
      </c>
    </row>
    <row r="958" spans="1:21">
      <c r="A958" s="41">
        <v>1966</v>
      </c>
      <c r="B958" s="41" t="s">
        <v>3877</v>
      </c>
      <c r="D958" s="41">
        <v>4877</v>
      </c>
      <c r="E958" s="41" t="s">
        <v>1227</v>
      </c>
      <c r="F958" s="41" t="s">
        <v>28</v>
      </c>
      <c r="G958" s="41" t="s">
        <v>301</v>
      </c>
      <c r="I958" s="41" t="s">
        <v>3101</v>
      </c>
      <c r="J958" s="41" t="s">
        <v>32</v>
      </c>
      <c r="K958" s="42"/>
      <c r="L958" s="41" t="s">
        <v>3878</v>
      </c>
      <c r="M958" s="41">
        <v>220</v>
      </c>
      <c r="N958" s="41" t="s">
        <v>3879</v>
      </c>
      <c r="O958" s="41" t="s">
        <v>1525</v>
      </c>
      <c r="P958" s="41" t="s">
        <v>98</v>
      </c>
      <c r="Q958" s="41" t="s">
        <v>491</v>
      </c>
      <c r="R958" s="41" t="s">
        <v>39</v>
      </c>
      <c r="S958" s="41" t="s">
        <v>3880</v>
      </c>
      <c r="T958" s="41" t="s">
        <v>305</v>
      </c>
      <c r="U958" s="41" t="s">
        <v>40</v>
      </c>
    </row>
    <row r="959" spans="1:21">
      <c r="A959" s="41">
        <v>1965</v>
      </c>
      <c r="B959" s="41" t="s">
        <v>3881</v>
      </c>
      <c r="D959" s="41">
        <v>4876</v>
      </c>
      <c r="E959" s="41" t="s">
        <v>2405</v>
      </c>
      <c r="F959" s="41" t="s">
        <v>28</v>
      </c>
      <c r="G959" s="41" t="s">
        <v>301</v>
      </c>
      <c r="I959" s="41" t="s">
        <v>325</v>
      </c>
      <c r="J959" s="41" t="s">
        <v>32</v>
      </c>
      <c r="K959" s="42"/>
      <c r="L959" s="41" t="s">
        <v>3882</v>
      </c>
      <c r="M959" s="41">
        <v>220</v>
      </c>
      <c r="N959" s="41" t="s">
        <v>3758</v>
      </c>
      <c r="O959" s="41" t="s">
        <v>3883</v>
      </c>
      <c r="P959" s="41" t="s">
        <v>60</v>
      </c>
      <c r="Q959" s="41" t="s">
        <v>1348</v>
      </c>
      <c r="R959" s="41" t="s">
        <v>39</v>
      </c>
      <c r="S959" s="41" t="s">
        <v>3884</v>
      </c>
      <c r="T959" s="41" t="s">
        <v>210</v>
      </c>
      <c r="U959" s="41" t="s">
        <v>40</v>
      </c>
    </row>
    <row r="960" spans="1:21">
      <c r="A960" s="41">
        <v>1964</v>
      </c>
      <c r="B960" s="41" t="s">
        <v>3885</v>
      </c>
      <c r="E960" s="41" t="s">
        <v>3886</v>
      </c>
      <c r="F960" s="41" t="s">
        <v>53</v>
      </c>
      <c r="G960" s="41" t="s">
        <v>64</v>
      </c>
      <c r="I960" s="41" t="s">
        <v>1024</v>
      </c>
      <c r="J960" s="41" t="s">
        <v>380</v>
      </c>
      <c r="K960" s="42"/>
      <c r="L960" s="41" t="s">
        <v>1386</v>
      </c>
      <c r="M960" s="41">
        <v>220</v>
      </c>
      <c r="N960" s="41" t="s">
        <v>67</v>
      </c>
      <c r="O960" s="41" t="s">
        <v>757</v>
      </c>
      <c r="P960" s="41" t="s">
        <v>37</v>
      </c>
      <c r="Q960" s="41" t="s">
        <v>1387</v>
      </c>
      <c r="R960" s="41" t="s">
        <v>62</v>
      </c>
      <c r="S960" s="41" t="s">
        <v>40</v>
      </c>
      <c r="T960" s="41" t="s">
        <v>40</v>
      </c>
      <c r="U960" s="41" t="s">
        <v>40</v>
      </c>
    </row>
    <row r="961" spans="1:21">
      <c r="A961" s="41">
        <v>1963</v>
      </c>
      <c r="B961" s="41" t="s">
        <v>3887</v>
      </c>
      <c r="D961" s="41">
        <v>4848</v>
      </c>
      <c r="E961" s="41" t="s">
        <v>3888</v>
      </c>
      <c r="F961" s="41" t="s">
        <v>42</v>
      </c>
      <c r="G961" s="41" t="s">
        <v>141</v>
      </c>
      <c r="I961" s="41" t="s">
        <v>3889</v>
      </c>
      <c r="J961" s="41" t="s">
        <v>32</v>
      </c>
      <c r="K961" s="42"/>
      <c r="L961" s="41" t="s">
        <v>3890</v>
      </c>
      <c r="M961" s="41">
        <v>33</v>
      </c>
      <c r="N961" s="41" t="s">
        <v>395</v>
      </c>
      <c r="O961" s="41" t="s">
        <v>77</v>
      </c>
      <c r="P961" s="41" t="s">
        <v>50</v>
      </c>
      <c r="Q961" s="41" t="s">
        <v>51</v>
      </c>
      <c r="R961" s="41" t="s">
        <v>39</v>
      </c>
      <c r="S961" s="41" t="s">
        <v>3891</v>
      </c>
      <c r="T961" s="41" t="s">
        <v>753</v>
      </c>
      <c r="U961" s="41" t="s">
        <v>40</v>
      </c>
    </row>
    <row r="962" spans="1:21">
      <c r="A962" s="41">
        <v>1962</v>
      </c>
      <c r="B962" s="41" t="s">
        <v>3141</v>
      </c>
      <c r="D962" s="41">
        <v>4866</v>
      </c>
      <c r="E962" s="41" t="s">
        <v>3142</v>
      </c>
      <c r="F962" s="41" t="s">
        <v>42</v>
      </c>
      <c r="G962" s="41" t="s">
        <v>1175</v>
      </c>
      <c r="I962" s="41" t="s">
        <v>3101</v>
      </c>
      <c r="J962" s="41" t="s">
        <v>1652</v>
      </c>
      <c r="K962" s="42"/>
      <c r="L962" s="41" t="s">
        <v>3143</v>
      </c>
      <c r="M962" s="41">
        <v>220</v>
      </c>
      <c r="N962" s="41" t="s">
        <v>3892</v>
      </c>
      <c r="O962" s="41" t="s">
        <v>2045</v>
      </c>
      <c r="P962" s="41" t="s">
        <v>37</v>
      </c>
      <c r="Q962" s="41" t="s">
        <v>38</v>
      </c>
      <c r="R962" s="41" t="s">
        <v>39</v>
      </c>
      <c r="S962" s="41" t="s">
        <v>40</v>
      </c>
      <c r="T962" s="41" t="s">
        <v>40</v>
      </c>
      <c r="U962" s="41" t="s">
        <v>40</v>
      </c>
    </row>
    <row r="963" spans="1:21">
      <c r="A963" s="41">
        <v>1961</v>
      </c>
      <c r="B963" s="41" t="s">
        <v>3893</v>
      </c>
      <c r="D963" s="41">
        <v>4863</v>
      </c>
      <c r="E963" s="41" t="s">
        <v>3056</v>
      </c>
      <c r="F963" s="41" t="s">
        <v>53</v>
      </c>
      <c r="G963" s="41" t="s">
        <v>64</v>
      </c>
      <c r="I963" s="41" t="s">
        <v>3894</v>
      </c>
      <c r="J963" s="41" t="s">
        <v>380</v>
      </c>
      <c r="K963" s="42"/>
      <c r="L963" s="41" t="s">
        <v>3895</v>
      </c>
      <c r="M963" s="41">
        <v>220</v>
      </c>
      <c r="N963" s="41" t="s">
        <v>1145</v>
      </c>
      <c r="O963" s="41" t="s">
        <v>757</v>
      </c>
      <c r="P963" s="41" t="s">
        <v>60</v>
      </c>
      <c r="Q963" s="41" t="s">
        <v>436</v>
      </c>
      <c r="R963" s="41" t="s">
        <v>62</v>
      </c>
      <c r="S963" s="41" t="s">
        <v>40</v>
      </c>
      <c r="T963" s="41" t="s">
        <v>40</v>
      </c>
      <c r="U963" s="41" t="s">
        <v>40</v>
      </c>
    </row>
    <row r="964" spans="1:21">
      <c r="A964" s="41">
        <v>1960</v>
      </c>
      <c r="B964" s="41" t="s">
        <v>3896</v>
      </c>
      <c r="D964" s="41">
        <v>4865</v>
      </c>
      <c r="E964" s="41" t="s">
        <v>1248</v>
      </c>
      <c r="F964" s="41" t="s">
        <v>53</v>
      </c>
      <c r="G964" s="41" t="s">
        <v>43</v>
      </c>
      <c r="I964" s="41" t="s">
        <v>399</v>
      </c>
      <c r="J964" s="41" t="s">
        <v>672</v>
      </c>
      <c r="K964" s="42"/>
      <c r="L964" s="41" t="s">
        <v>3897</v>
      </c>
      <c r="M964" s="41">
        <v>23</v>
      </c>
      <c r="N964" s="41" t="s">
        <v>3898</v>
      </c>
      <c r="O964" s="41" t="s">
        <v>3899</v>
      </c>
      <c r="P964" s="41" t="s">
        <v>382</v>
      </c>
      <c r="Q964" s="41" t="s">
        <v>446</v>
      </c>
      <c r="R964" s="41" t="s">
        <v>132</v>
      </c>
      <c r="S964" s="41" t="s">
        <v>40</v>
      </c>
      <c r="T964" s="41" t="s">
        <v>40</v>
      </c>
      <c r="U964" s="41" t="s">
        <v>40</v>
      </c>
    </row>
    <row r="965" spans="1:21">
      <c r="A965" s="41">
        <v>1959</v>
      </c>
      <c r="B965" s="41" t="s">
        <v>3900</v>
      </c>
      <c r="D965" s="41">
        <v>4864</v>
      </c>
      <c r="E965" s="41" t="s">
        <v>1248</v>
      </c>
      <c r="F965" s="41" t="s">
        <v>53</v>
      </c>
      <c r="G965" s="41" t="s">
        <v>43</v>
      </c>
      <c r="I965" s="41" t="s">
        <v>399</v>
      </c>
      <c r="J965" s="41" t="s">
        <v>672</v>
      </c>
      <c r="K965" s="42"/>
      <c r="L965" s="41" t="s">
        <v>3897</v>
      </c>
      <c r="M965" s="41">
        <v>23</v>
      </c>
      <c r="N965" s="41" t="s">
        <v>2517</v>
      </c>
      <c r="O965" s="41" t="s">
        <v>553</v>
      </c>
      <c r="P965" s="41" t="s">
        <v>382</v>
      </c>
      <c r="Q965" s="41" t="s">
        <v>446</v>
      </c>
      <c r="R965" s="41" t="s">
        <v>132</v>
      </c>
      <c r="S965" s="41" t="s">
        <v>40</v>
      </c>
      <c r="T965" s="41" t="s">
        <v>40</v>
      </c>
      <c r="U965" s="41" t="s">
        <v>40</v>
      </c>
    </row>
    <row r="966" spans="1:21">
      <c r="A966" s="41">
        <v>1958</v>
      </c>
      <c r="B966" s="41" t="s">
        <v>3901</v>
      </c>
      <c r="D966" s="41">
        <v>4862</v>
      </c>
      <c r="E966" s="41" t="s">
        <v>2312</v>
      </c>
      <c r="F966" s="41" t="s">
        <v>28</v>
      </c>
      <c r="G966" s="41" t="s">
        <v>301</v>
      </c>
      <c r="I966" s="41" t="s">
        <v>45</v>
      </c>
      <c r="J966" s="41" t="s">
        <v>32</v>
      </c>
      <c r="K966" s="42"/>
      <c r="L966" s="41" t="s">
        <v>3902</v>
      </c>
      <c r="M966" s="41">
        <v>220</v>
      </c>
      <c r="N966" s="41" t="s">
        <v>3903</v>
      </c>
      <c r="O966" s="41" t="s">
        <v>452</v>
      </c>
      <c r="P966" s="41" t="s">
        <v>68</v>
      </c>
      <c r="Q966" s="41" t="s">
        <v>69</v>
      </c>
      <c r="R966" s="41" t="s">
        <v>39</v>
      </c>
      <c r="S966" s="41" t="s">
        <v>40</v>
      </c>
      <c r="T966" s="41" t="s">
        <v>1796</v>
      </c>
      <c r="U966" s="41" t="s">
        <v>40</v>
      </c>
    </row>
    <row r="967" spans="1:21">
      <c r="A967" s="41">
        <v>1957</v>
      </c>
      <c r="B967" s="41" t="s">
        <v>3904</v>
      </c>
      <c r="D967" s="41">
        <v>4861</v>
      </c>
      <c r="E967" s="41" t="s">
        <v>1726</v>
      </c>
      <c r="F967" s="41" t="s">
        <v>53</v>
      </c>
      <c r="G967" s="41" t="s">
        <v>64</v>
      </c>
      <c r="I967" s="41" t="s">
        <v>194</v>
      </c>
      <c r="J967" s="41" t="s">
        <v>295</v>
      </c>
      <c r="K967" s="42"/>
      <c r="L967" s="41" t="s">
        <v>3905</v>
      </c>
      <c r="M967" s="41">
        <v>12</v>
      </c>
      <c r="N967" s="41" t="s">
        <v>3906</v>
      </c>
      <c r="O967" s="41" t="s">
        <v>1925</v>
      </c>
      <c r="P967" s="41" t="s">
        <v>78</v>
      </c>
      <c r="Q967" s="41" t="s">
        <v>1729</v>
      </c>
      <c r="R967" s="41" t="s">
        <v>132</v>
      </c>
      <c r="S967" s="41" t="s">
        <v>40</v>
      </c>
      <c r="T967" s="41" t="s">
        <v>40</v>
      </c>
      <c r="U967" s="41" t="s">
        <v>40</v>
      </c>
    </row>
    <row r="968" spans="1:21">
      <c r="A968" s="41">
        <v>1954</v>
      </c>
      <c r="B968" s="41" t="s">
        <v>3907</v>
      </c>
      <c r="D968" s="41">
        <v>4856</v>
      </c>
      <c r="E968" s="41" t="s">
        <v>987</v>
      </c>
      <c r="F968" s="41" t="s">
        <v>53</v>
      </c>
      <c r="G968" s="41" t="s">
        <v>141</v>
      </c>
      <c r="I968" s="41" t="s">
        <v>149</v>
      </c>
      <c r="J968" s="41" t="s">
        <v>32</v>
      </c>
      <c r="K968" s="42"/>
      <c r="L968" s="41" t="s">
        <v>3908</v>
      </c>
      <c r="M968" s="41">
        <v>66</v>
      </c>
      <c r="N968" s="41" t="s">
        <v>395</v>
      </c>
      <c r="O968" s="41" t="s">
        <v>445</v>
      </c>
      <c r="P968" s="41" t="s">
        <v>382</v>
      </c>
      <c r="Q968" s="41" t="s">
        <v>383</v>
      </c>
      <c r="R968" s="41" t="s">
        <v>132</v>
      </c>
      <c r="S968" s="41" t="s">
        <v>3909</v>
      </c>
      <c r="T968" s="41" t="s">
        <v>2145</v>
      </c>
      <c r="U968" s="41" t="s">
        <v>40</v>
      </c>
    </row>
    <row r="969" spans="1:21">
      <c r="A969" s="41">
        <v>1953</v>
      </c>
      <c r="B969" s="41" t="s">
        <v>3910</v>
      </c>
      <c r="D969" s="41">
        <v>4871</v>
      </c>
      <c r="E969" s="41" t="s">
        <v>2611</v>
      </c>
      <c r="F969" s="41" t="s">
        <v>53</v>
      </c>
      <c r="G969" s="41" t="s">
        <v>64</v>
      </c>
      <c r="I969" s="41" t="s">
        <v>45</v>
      </c>
      <c r="J969" s="41" t="s">
        <v>32</v>
      </c>
      <c r="K969" s="42"/>
      <c r="L969" s="41" t="s">
        <v>3367</v>
      </c>
      <c r="M969" s="41">
        <v>220</v>
      </c>
      <c r="N969" s="41" t="s">
        <v>805</v>
      </c>
      <c r="O969" s="41" t="s">
        <v>345</v>
      </c>
      <c r="P969" s="41" t="s">
        <v>83</v>
      </c>
      <c r="Q969" s="41" t="s">
        <v>2000</v>
      </c>
      <c r="R969" s="41" t="s">
        <v>62</v>
      </c>
      <c r="S969" s="41" t="s">
        <v>40</v>
      </c>
      <c r="T969" s="41" t="s">
        <v>40</v>
      </c>
      <c r="U969" s="41" t="s">
        <v>40</v>
      </c>
    </row>
    <row r="970" spans="1:21">
      <c r="A970" s="41">
        <v>1952</v>
      </c>
      <c r="B970" s="41" t="s">
        <v>3911</v>
      </c>
      <c r="D970" s="41">
        <v>4870</v>
      </c>
      <c r="E970" s="41" t="s">
        <v>2611</v>
      </c>
      <c r="F970" s="41" t="s">
        <v>53</v>
      </c>
      <c r="G970" s="41" t="s">
        <v>141</v>
      </c>
      <c r="I970" s="41" t="s">
        <v>1570</v>
      </c>
      <c r="J970" s="41" t="s">
        <v>32</v>
      </c>
      <c r="K970" s="42"/>
      <c r="L970" s="41" t="s">
        <v>3597</v>
      </c>
      <c r="M970" s="41">
        <v>220</v>
      </c>
      <c r="N970" s="41" t="s">
        <v>2671</v>
      </c>
      <c r="O970" s="41" t="s">
        <v>3912</v>
      </c>
      <c r="P970" s="41" t="s">
        <v>98</v>
      </c>
      <c r="Q970" s="41" t="s">
        <v>116</v>
      </c>
      <c r="R970" s="41" t="s">
        <v>62</v>
      </c>
      <c r="S970" s="41" t="s">
        <v>3913</v>
      </c>
      <c r="T970" s="41" t="s">
        <v>1433</v>
      </c>
      <c r="U970" s="41" t="s">
        <v>40</v>
      </c>
    </row>
    <row r="971" spans="1:21">
      <c r="A971" s="41">
        <v>1951</v>
      </c>
      <c r="B971" s="41" t="s">
        <v>3914</v>
      </c>
      <c r="D971" s="41">
        <v>4855</v>
      </c>
      <c r="E971" s="41" t="s">
        <v>3915</v>
      </c>
      <c r="F971" s="41" t="s">
        <v>53</v>
      </c>
      <c r="G971" s="41" t="s">
        <v>141</v>
      </c>
      <c r="I971" s="41" t="s">
        <v>231</v>
      </c>
      <c r="J971" s="41" t="s">
        <v>32</v>
      </c>
      <c r="K971" s="42"/>
      <c r="L971" s="41" t="s">
        <v>3916</v>
      </c>
      <c r="M971" s="41">
        <v>66</v>
      </c>
      <c r="N971" s="41" t="s">
        <v>59</v>
      </c>
      <c r="O971" s="41" t="s">
        <v>482</v>
      </c>
      <c r="P971" s="41" t="s">
        <v>172</v>
      </c>
      <c r="Q971" s="41" t="s">
        <v>3917</v>
      </c>
      <c r="R971" s="41" t="s">
        <v>132</v>
      </c>
      <c r="S971" s="41" t="s">
        <v>3918</v>
      </c>
      <c r="T971" s="41" t="s">
        <v>186</v>
      </c>
      <c r="U971" s="41" t="s">
        <v>40</v>
      </c>
    </row>
    <row r="972" spans="1:21">
      <c r="A972" s="41">
        <v>1950</v>
      </c>
      <c r="B972" s="41" t="s">
        <v>3919</v>
      </c>
      <c r="D972" s="41">
        <v>4854</v>
      </c>
      <c r="E972" s="41" t="s">
        <v>1248</v>
      </c>
      <c r="F972" s="41" t="s">
        <v>53</v>
      </c>
      <c r="G972" s="41" t="s">
        <v>1071</v>
      </c>
      <c r="I972" s="41" t="s">
        <v>521</v>
      </c>
      <c r="J972" s="41" t="s">
        <v>672</v>
      </c>
      <c r="K972" s="42"/>
      <c r="L972" s="41" t="s">
        <v>3920</v>
      </c>
      <c r="M972" s="41">
        <v>13</v>
      </c>
      <c r="N972" s="41" t="s">
        <v>2517</v>
      </c>
      <c r="O972" s="41" t="s">
        <v>1095</v>
      </c>
      <c r="P972" s="41" t="s">
        <v>37</v>
      </c>
      <c r="Q972" s="41" t="s">
        <v>3921</v>
      </c>
      <c r="R972" s="41" t="s">
        <v>132</v>
      </c>
      <c r="S972" s="41" t="s">
        <v>40</v>
      </c>
      <c r="T972" s="41" t="s">
        <v>40</v>
      </c>
      <c r="U972" s="41" t="s">
        <v>40</v>
      </c>
    </row>
    <row r="973" spans="1:21">
      <c r="A973" s="41">
        <v>1949</v>
      </c>
      <c r="B973" s="41" t="s">
        <v>3922</v>
      </c>
      <c r="D973" s="41">
        <v>4853</v>
      </c>
      <c r="E973" s="41" t="s">
        <v>3284</v>
      </c>
      <c r="F973" s="41" t="s">
        <v>53</v>
      </c>
      <c r="G973" s="41" t="s">
        <v>141</v>
      </c>
      <c r="I973" s="41" t="s">
        <v>56</v>
      </c>
      <c r="J973" s="41" t="s">
        <v>32</v>
      </c>
      <c r="K973" s="42"/>
      <c r="L973" s="41" t="s">
        <v>3923</v>
      </c>
      <c r="M973" s="41">
        <v>110</v>
      </c>
      <c r="N973" s="41" t="s">
        <v>1908</v>
      </c>
      <c r="O973" s="41" t="s">
        <v>1799</v>
      </c>
      <c r="P973" s="41" t="s">
        <v>153</v>
      </c>
      <c r="Q973" s="41" t="s">
        <v>329</v>
      </c>
      <c r="R973" s="41" t="s">
        <v>132</v>
      </c>
      <c r="S973" s="41" t="s">
        <v>3924</v>
      </c>
      <c r="T973" s="41" t="s">
        <v>2187</v>
      </c>
      <c r="U973" s="41" t="s">
        <v>40</v>
      </c>
    </row>
    <row r="974" spans="1:21">
      <c r="A974" s="41">
        <v>1945</v>
      </c>
      <c r="B974" s="41" t="s">
        <v>3925</v>
      </c>
      <c r="D974" s="41">
        <v>4852</v>
      </c>
      <c r="E974" s="41" t="s">
        <v>1286</v>
      </c>
      <c r="F974" s="41" t="s">
        <v>53</v>
      </c>
      <c r="G974" s="41" t="s">
        <v>141</v>
      </c>
      <c r="I974" s="41" t="s">
        <v>1686</v>
      </c>
      <c r="J974" s="41" t="s">
        <v>32</v>
      </c>
      <c r="K974" s="42"/>
      <c r="L974" s="41" t="s">
        <v>3926</v>
      </c>
      <c r="M974" s="41">
        <v>66</v>
      </c>
      <c r="N974" s="41" t="s">
        <v>1020</v>
      </c>
      <c r="O974" s="41" t="s">
        <v>1799</v>
      </c>
      <c r="P974" s="41" t="s">
        <v>1046</v>
      </c>
      <c r="Q974" s="41" t="s">
        <v>1110</v>
      </c>
      <c r="R974" s="41" t="s">
        <v>132</v>
      </c>
      <c r="S974" s="41" t="s">
        <v>3927</v>
      </c>
      <c r="T974" s="41" t="s">
        <v>779</v>
      </c>
      <c r="U974" s="41" t="s">
        <v>40</v>
      </c>
    </row>
    <row r="975" spans="1:21">
      <c r="A975" s="41">
        <v>1944</v>
      </c>
      <c r="B975" s="41" t="s">
        <v>3928</v>
      </c>
      <c r="D975" s="41">
        <v>4851</v>
      </c>
      <c r="E975" s="41" t="s">
        <v>1286</v>
      </c>
      <c r="F975" s="41" t="s">
        <v>28</v>
      </c>
      <c r="G975" s="41" t="s">
        <v>301</v>
      </c>
      <c r="I975" s="41" t="s">
        <v>1686</v>
      </c>
      <c r="J975" s="41" t="s">
        <v>32</v>
      </c>
      <c r="K975" s="42"/>
      <c r="L975" s="41" t="s">
        <v>2120</v>
      </c>
      <c r="M975" s="41">
        <v>220</v>
      </c>
      <c r="N975" s="41" t="s">
        <v>1020</v>
      </c>
      <c r="O975" s="41" t="s">
        <v>757</v>
      </c>
      <c r="P975" s="41" t="s">
        <v>153</v>
      </c>
      <c r="Q975" s="41" t="s">
        <v>329</v>
      </c>
      <c r="R975" s="41" t="s">
        <v>39</v>
      </c>
      <c r="S975" s="41" t="s">
        <v>3929</v>
      </c>
      <c r="T975" s="41" t="s">
        <v>3157</v>
      </c>
      <c r="U975" s="41" t="s">
        <v>40</v>
      </c>
    </row>
    <row r="976" spans="1:21">
      <c r="A976" s="41">
        <v>1943</v>
      </c>
      <c r="B976" s="41" t="s">
        <v>3930</v>
      </c>
      <c r="D976" s="41">
        <v>4850</v>
      </c>
      <c r="E976" s="41" t="s">
        <v>3931</v>
      </c>
      <c r="F976" s="41" t="s">
        <v>53</v>
      </c>
      <c r="G976" s="41" t="s">
        <v>141</v>
      </c>
      <c r="I976" s="41" t="s">
        <v>231</v>
      </c>
      <c r="J976" s="41" t="s">
        <v>32</v>
      </c>
      <c r="K976" s="42"/>
      <c r="L976" s="41" t="s">
        <v>3932</v>
      </c>
      <c r="M976" s="41">
        <v>23</v>
      </c>
      <c r="N976" s="41" t="s">
        <v>3933</v>
      </c>
      <c r="O976" s="41" t="s">
        <v>3934</v>
      </c>
      <c r="P976" s="41" t="s">
        <v>68</v>
      </c>
      <c r="Q976" s="41" t="s">
        <v>91</v>
      </c>
      <c r="R976" s="41" t="s">
        <v>132</v>
      </c>
      <c r="S976" s="41" t="s">
        <v>3935</v>
      </c>
      <c r="T976" s="41" t="s">
        <v>3157</v>
      </c>
      <c r="U976" s="41" t="s">
        <v>40</v>
      </c>
    </row>
    <row r="977" spans="1:21">
      <c r="A977" s="41">
        <v>1942</v>
      </c>
      <c r="B977" s="41" t="s">
        <v>3936</v>
      </c>
      <c r="D977" s="41">
        <v>4849</v>
      </c>
      <c r="E977" s="41" t="s">
        <v>3937</v>
      </c>
      <c r="F977" s="41" t="s">
        <v>28</v>
      </c>
      <c r="G977" s="41" t="s">
        <v>301</v>
      </c>
      <c r="I977" s="41" t="s">
        <v>3938</v>
      </c>
      <c r="J977" s="41" t="s">
        <v>32</v>
      </c>
      <c r="K977" s="42"/>
      <c r="L977" s="41" t="s">
        <v>3939</v>
      </c>
      <c r="M977" s="41">
        <v>4</v>
      </c>
      <c r="N977" s="41" t="s">
        <v>395</v>
      </c>
      <c r="O977" s="41" t="s">
        <v>3940</v>
      </c>
      <c r="P977" s="41" t="s">
        <v>179</v>
      </c>
      <c r="Q977" s="41" t="s">
        <v>524</v>
      </c>
      <c r="R977" s="41" t="s">
        <v>39</v>
      </c>
      <c r="S977" s="41" t="s">
        <v>3941</v>
      </c>
      <c r="T977" s="41" t="s">
        <v>1449</v>
      </c>
      <c r="U977" s="41" t="s">
        <v>40</v>
      </c>
    </row>
    <row r="978" spans="1:21">
      <c r="A978" s="41">
        <v>1941</v>
      </c>
      <c r="B978" s="41" t="s">
        <v>3942</v>
      </c>
      <c r="D978" s="41">
        <v>4821</v>
      </c>
      <c r="E978" s="41" t="s">
        <v>3484</v>
      </c>
      <c r="F978" s="41" t="s">
        <v>53</v>
      </c>
      <c r="G978" s="41" t="s">
        <v>141</v>
      </c>
      <c r="I978" s="41" t="s">
        <v>45</v>
      </c>
      <c r="J978" s="41" t="s">
        <v>32</v>
      </c>
      <c r="K978" s="42"/>
      <c r="L978" s="41" t="s">
        <v>3943</v>
      </c>
      <c r="M978" s="41">
        <v>220</v>
      </c>
      <c r="N978" s="41" t="s">
        <v>1014</v>
      </c>
      <c r="O978" s="41" t="s">
        <v>1525</v>
      </c>
      <c r="P978" s="41" t="s">
        <v>37</v>
      </c>
      <c r="Q978" s="41" t="s">
        <v>969</v>
      </c>
      <c r="R978" s="41" t="s">
        <v>132</v>
      </c>
      <c r="S978" s="41" t="s">
        <v>3944</v>
      </c>
      <c r="T978" s="41" t="s">
        <v>146</v>
      </c>
      <c r="U978" s="41" t="s">
        <v>40</v>
      </c>
    </row>
    <row r="979" spans="1:21">
      <c r="A979" s="41">
        <v>1940</v>
      </c>
      <c r="B979" s="41" t="s">
        <v>3945</v>
      </c>
      <c r="D979" s="41">
        <v>4847</v>
      </c>
      <c r="E979" s="41" t="s">
        <v>2501</v>
      </c>
      <c r="F979" s="41" t="s">
        <v>53</v>
      </c>
      <c r="G979" s="41" t="s">
        <v>64</v>
      </c>
      <c r="I979" s="41" t="s">
        <v>56</v>
      </c>
      <c r="J979" s="41" t="s">
        <v>672</v>
      </c>
      <c r="K979" s="42"/>
      <c r="L979" s="41" t="s">
        <v>3946</v>
      </c>
      <c r="M979" s="41">
        <v>110</v>
      </c>
      <c r="N979" s="41" t="s">
        <v>1026</v>
      </c>
      <c r="O979" s="41" t="s">
        <v>178</v>
      </c>
      <c r="P979" s="41" t="s">
        <v>78</v>
      </c>
      <c r="Q979" s="41" t="s">
        <v>144</v>
      </c>
      <c r="R979" s="41" t="s">
        <v>62</v>
      </c>
      <c r="S979" s="41" t="s">
        <v>40</v>
      </c>
      <c r="T979" s="41" t="s">
        <v>40</v>
      </c>
      <c r="U979" s="41" t="s">
        <v>40</v>
      </c>
    </row>
    <row r="980" spans="1:21">
      <c r="A980" s="41">
        <v>1939</v>
      </c>
      <c r="B980" s="41" t="s">
        <v>3947</v>
      </c>
      <c r="D980" s="41">
        <v>4846</v>
      </c>
      <c r="E980" s="41" t="s">
        <v>3948</v>
      </c>
      <c r="F980" s="41" t="s">
        <v>53</v>
      </c>
      <c r="G980" s="41" t="s">
        <v>141</v>
      </c>
      <c r="I980" s="41" t="s">
        <v>1966</v>
      </c>
      <c r="J980" s="41" t="s">
        <v>672</v>
      </c>
      <c r="K980" s="42"/>
      <c r="L980" s="41" t="s">
        <v>3949</v>
      </c>
      <c r="M980" s="41">
        <v>23</v>
      </c>
      <c r="N980" s="41" t="s">
        <v>67</v>
      </c>
      <c r="O980" s="41" t="s">
        <v>3899</v>
      </c>
      <c r="P980" s="41" t="s">
        <v>83</v>
      </c>
      <c r="Q980" s="41" t="s">
        <v>84</v>
      </c>
      <c r="R980" s="41" t="s">
        <v>132</v>
      </c>
      <c r="S980" s="41" t="s">
        <v>3950</v>
      </c>
      <c r="T980" s="41" t="s">
        <v>146</v>
      </c>
      <c r="U980" s="41" t="s">
        <v>40</v>
      </c>
    </row>
    <row r="981" spans="1:21">
      <c r="A981" s="41">
        <v>1938</v>
      </c>
      <c r="B981" s="41" t="s">
        <v>3951</v>
      </c>
      <c r="D981" s="41">
        <v>4838</v>
      </c>
      <c r="E981" s="41" t="s">
        <v>2611</v>
      </c>
      <c r="F981" s="41" t="s">
        <v>53</v>
      </c>
      <c r="G981" s="41" t="s">
        <v>43</v>
      </c>
      <c r="I981" s="41" t="s">
        <v>45</v>
      </c>
      <c r="J981" s="41" t="s">
        <v>32</v>
      </c>
      <c r="K981" s="42"/>
      <c r="L981" s="41" t="s">
        <v>3952</v>
      </c>
      <c r="M981" s="41">
        <v>220</v>
      </c>
      <c r="N981" s="41" t="s">
        <v>805</v>
      </c>
      <c r="O981" s="41" t="s">
        <v>2566</v>
      </c>
      <c r="P981" s="41" t="s">
        <v>382</v>
      </c>
      <c r="Q981" s="41" t="s">
        <v>83</v>
      </c>
      <c r="R981" s="41" t="s">
        <v>62</v>
      </c>
      <c r="S981" s="41" t="s">
        <v>40</v>
      </c>
      <c r="T981" s="41" t="s">
        <v>40</v>
      </c>
      <c r="U981" s="41" t="s">
        <v>40</v>
      </c>
    </row>
    <row r="982" spans="1:21">
      <c r="A982" s="41">
        <v>1937</v>
      </c>
      <c r="B982" s="41" t="s">
        <v>3953</v>
      </c>
      <c r="D982" s="41">
        <v>4837</v>
      </c>
      <c r="E982" s="41" t="s">
        <v>1076</v>
      </c>
      <c r="F982" s="41" t="s">
        <v>53</v>
      </c>
      <c r="G982" s="41" t="s">
        <v>141</v>
      </c>
      <c r="I982" s="41" t="s">
        <v>149</v>
      </c>
      <c r="J982" s="41" t="s">
        <v>32</v>
      </c>
      <c r="K982" s="42"/>
      <c r="L982" s="41" t="s">
        <v>3954</v>
      </c>
      <c r="M982" s="41">
        <v>23</v>
      </c>
      <c r="N982" s="41" t="s">
        <v>67</v>
      </c>
      <c r="O982" s="41" t="s">
        <v>299</v>
      </c>
      <c r="P982" s="41" t="s">
        <v>78</v>
      </c>
      <c r="Q982" s="41" t="s">
        <v>1139</v>
      </c>
      <c r="R982" s="41" t="s">
        <v>132</v>
      </c>
      <c r="S982" s="41" t="s">
        <v>3955</v>
      </c>
      <c r="T982" s="41" t="s">
        <v>165</v>
      </c>
      <c r="U982" s="41" t="s">
        <v>40</v>
      </c>
    </row>
    <row r="983" spans="1:21">
      <c r="A983" s="41">
        <v>1936</v>
      </c>
      <c r="B983" s="41" t="s">
        <v>3956</v>
      </c>
      <c r="D983" s="41">
        <v>4834</v>
      </c>
      <c r="E983" s="41" t="s">
        <v>1028</v>
      </c>
      <c r="F983" s="41" t="s">
        <v>53</v>
      </c>
      <c r="G983" s="41" t="s">
        <v>141</v>
      </c>
      <c r="I983" s="41" t="s">
        <v>2653</v>
      </c>
      <c r="J983" s="41" t="s">
        <v>32</v>
      </c>
      <c r="K983" s="42"/>
      <c r="L983" s="41" t="s">
        <v>3957</v>
      </c>
      <c r="M983" s="41">
        <v>15</v>
      </c>
      <c r="N983" s="41" t="s">
        <v>2432</v>
      </c>
      <c r="O983" s="41" t="s">
        <v>2090</v>
      </c>
      <c r="P983" s="41" t="s">
        <v>172</v>
      </c>
      <c r="Q983" s="41" t="s">
        <v>173</v>
      </c>
      <c r="R983" s="41" t="s">
        <v>132</v>
      </c>
      <c r="S983" s="41" t="s">
        <v>3958</v>
      </c>
      <c r="T983" s="41" t="s">
        <v>1449</v>
      </c>
      <c r="U983" s="41" t="s">
        <v>40</v>
      </c>
    </row>
    <row r="984" spans="1:21">
      <c r="A984" s="41">
        <v>1935</v>
      </c>
      <c r="B984" s="41" t="s">
        <v>3959</v>
      </c>
      <c r="D984" s="41">
        <v>4833</v>
      </c>
      <c r="E984" s="41" t="s">
        <v>1076</v>
      </c>
      <c r="F984" s="41" t="s">
        <v>53</v>
      </c>
      <c r="G984" s="41" t="s">
        <v>43</v>
      </c>
      <c r="I984" s="41" t="s">
        <v>56</v>
      </c>
      <c r="J984" s="41" t="s">
        <v>32</v>
      </c>
      <c r="K984" s="42"/>
      <c r="L984" s="41" t="s">
        <v>3960</v>
      </c>
      <c r="M984" s="41">
        <v>110</v>
      </c>
      <c r="N984" s="41" t="s">
        <v>2671</v>
      </c>
      <c r="O984" s="41" t="s">
        <v>1473</v>
      </c>
      <c r="P984" s="41" t="s">
        <v>172</v>
      </c>
      <c r="Q984" s="41" t="s">
        <v>1803</v>
      </c>
      <c r="R984" s="41" t="s">
        <v>132</v>
      </c>
      <c r="S984" s="41" t="s">
        <v>40</v>
      </c>
      <c r="T984" s="41" t="s">
        <v>40</v>
      </c>
      <c r="U984" s="41" t="s">
        <v>40</v>
      </c>
    </row>
    <row r="985" spans="1:21">
      <c r="A985" s="41">
        <v>1934</v>
      </c>
      <c r="B985" s="41" t="s">
        <v>3961</v>
      </c>
      <c r="D985" s="41">
        <v>4832</v>
      </c>
      <c r="E985" s="41" t="s">
        <v>1227</v>
      </c>
      <c r="F985" s="41" t="s">
        <v>28</v>
      </c>
      <c r="G985" s="41" t="s">
        <v>301</v>
      </c>
      <c r="I985" s="41" t="s">
        <v>3962</v>
      </c>
      <c r="J985" s="41" t="s">
        <v>32</v>
      </c>
      <c r="K985" s="42"/>
      <c r="L985" s="41" t="s">
        <v>978</v>
      </c>
      <c r="M985" s="41">
        <v>110</v>
      </c>
      <c r="N985" s="41" t="s">
        <v>3963</v>
      </c>
      <c r="O985" s="41" t="s">
        <v>1473</v>
      </c>
      <c r="P985" s="41" t="s">
        <v>98</v>
      </c>
      <c r="Q985" s="41" t="s">
        <v>370</v>
      </c>
      <c r="R985" s="41" t="s">
        <v>39</v>
      </c>
      <c r="S985" s="41" t="s">
        <v>3964</v>
      </c>
      <c r="T985" s="41" t="s">
        <v>455</v>
      </c>
      <c r="U985" s="41" t="s">
        <v>40</v>
      </c>
    </row>
    <row r="986" spans="1:21">
      <c r="A986" s="41">
        <v>1933</v>
      </c>
      <c r="B986" s="41" t="s">
        <v>3965</v>
      </c>
      <c r="D986" s="41">
        <v>4831</v>
      </c>
      <c r="E986" s="41" t="s">
        <v>2487</v>
      </c>
      <c r="F986" s="41" t="s">
        <v>53</v>
      </c>
      <c r="G986" s="41" t="s">
        <v>141</v>
      </c>
      <c r="I986" s="41" t="s">
        <v>56</v>
      </c>
      <c r="J986" s="41" t="s">
        <v>32</v>
      </c>
      <c r="K986" s="42"/>
      <c r="L986" s="41" t="s">
        <v>3966</v>
      </c>
      <c r="M986" s="41">
        <v>110</v>
      </c>
      <c r="N986" s="41" t="s">
        <v>3967</v>
      </c>
      <c r="O986" s="41" t="s">
        <v>2215</v>
      </c>
      <c r="P986" s="41" t="s">
        <v>172</v>
      </c>
      <c r="Q986" s="41" t="s">
        <v>1803</v>
      </c>
      <c r="R986" s="41" t="s">
        <v>132</v>
      </c>
      <c r="S986" s="41" t="s">
        <v>3968</v>
      </c>
      <c r="T986" s="41" t="s">
        <v>3157</v>
      </c>
      <c r="U986" s="41" t="s">
        <v>40</v>
      </c>
    </row>
    <row r="987" spans="1:21">
      <c r="A987" s="41">
        <v>1932</v>
      </c>
      <c r="B987" s="41" t="s">
        <v>3969</v>
      </c>
      <c r="D987" s="41">
        <v>4830</v>
      </c>
      <c r="E987" s="41" t="s">
        <v>1076</v>
      </c>
      <c r="F987" s="41" t="s">
        <v>53</v>
      </c>
      <c r="G987" s="41" t="s">
        <v>54</v>
      </c>
      <c r="I987" s="41" t="s">
        <v>149</v>
      </c>
      <c r="J987" s="41" t="s">
        <v>32</v>
      </c>
      <c r="K987" s="42"/>
      <c r="L987" s="41" t="s">
        <v>171</v>
      </c>
      <c r="M987" s="41">
        <v>66</v>
      </c>
      <c r="N987" s="41" t="s">
        <v>67</v>
      </c>
      <c r="O987" s="41" t="s">
        <v>1151</v>
      </c>
      <c r="P987" s="41" t="s">
        <v>172</v>
      </c>
      <c r="Q987" s="41" t="s">
        <v>173</v>
      </c>
      <c r="R987" s="41" t="s">
        <v>132</v>
      </c>
      <c r="S987" s="41" t="s">
        <v>40</v>
      </c>
      <c r="T987" s="41" t="s">
        <v>40</v>
      </c>
      <c r="U987" s="41" t="s">
        <v>40</v>
      </c>
    </row>
    <row r="988" spans="1:21">
      <c r="A988" s="41">
        <v>1931</v>
      </c>
      <c r="B988" s="41" t="s">
        <v>3970</v>
      </c>
      <c r="D988" s="41">
        <v>4829</v>
      </c>
      <c r="E988" s="41" t="s">
        <v>3971</v>
      </c>
      <c r="F988" s="41" t="s">
        <v>53</v>
      </c>
      <c r="G988" s="41" t="s">
        <v>141</v>
      </c>
      <c r="I988" s="41" t="s">
        <v>994</v>
      </c>
      <c r="J988" s="41" t="s">
        <v>32</v>
      </c>
      <c r="K988" s="42"/>
      <c r="L988" s="41" t="s">
        <v>3972</v>
      </c>
      <c r="M988" s="41">
        <v>154</v>
      </c>
      <c r="N988" s="41" t="s">
        <v>59</v>
      </c>
      <c r="O988" s="41" t="s">
        <v>2576</v>
      </c>
      <c r="P988" s="41" t="s">
        <v>60</v>
      </c>
      <c r="Q988" s="41" t="s">
        <v>472</v>
      </c>
      <c r="R988" s="41" t="s">
        <v>132</v>
      </c>
      <c r="S988" s="41" t="s">
        <v>3973</v>
      </c>
      <c r="T988" s="41" t="s">
        <v>146</v>
      </c>
      <c r="U988" s="41" t="s">
        <v>40</v>
      </c>
    </row>
    <row r="989" spans="1:21">
      <c r="A989" s="41">
        <v>1928</v>
      </c>
      <c r="B989" s="41" t="s">
        <v>3974</v>
      </c>
      <c r="D989" s="41">
        <v>4828</v>
      </c>
      <c r="E989" s="41" t="s">
        <v>965</v>
      </c>
      <c r="F989" s="41" t="s">
        <v>53</v>
      </c>
      <c r="G989" s="41" t="s">
        <v>43</v>
      </c>
      <c r="I989" s="41" t="s">
        <v>149</v>
      </c>
      <c r="J989" s="41" t="s">
        <v>32</v>
      </c>
      <c r="K989" s="42"/>
      <c r="L989" s="41" t="s">
        <v>3975</v>
      </c>
      <c r="M989" s="41">
        <v>66</v>
      </c>
      <c r="N989" s="41" t="s">
        <v>67</v>
      </c>
      <c r="O989" s="41" t="s">
        <v>388</v>
      </c>
      <c r="P989" s="41" t="s">
        <v>60</v>
      </c>
      <c r="Q989" s="41" t="s">
        <v>413</v>
      </c>
      <c r="R989" s="41" t="s">
        <v>132</v>
      </c>
      <c r="S989" s="41" t="s">
        <v>40</v>
      </c>
      <c r="T989" s="41" t="s">
        <v>40</v>
      </c>
      <c r="U989" s="41" t="s">
        <v>40</v>
      </c>
    </row>
    <row r="990" spans="1:21">
      <c r="A990" s="41">
        <v>1927</v>
      </c>
      <c r="B990" s="41" t="s">
        <v>3976</v>
      </c>
      <c r="D990" s="41">
        <v>4827</v>
      </c>
      <c r="E990" s="41" t="s">
        <v>3977</v>
      </c>
      <c r="F990" s="41" t="s">
        <v>28</v>
      </c>
      <c r="G990" s="41" t="s">
        <v>301</v>
      </c>
      <c r="I990" s="41" t="s">
        <v>1168</v>
      </c>
      <c r="J990" s="41" t="s">
        <v>672</v>
      </c>
      <c r="K990" s="42"/>
      <c r="L990" s="41" t="s">
        <v>3978</v>
      </c>
      <c r="M990" s="41">
        <v>220</v>
      </c>
      <c r="N990" s="41" t="s">
        <v>59</v>
      </c>
      <c r="O990" s="41" t="s">
        <v>36</v>
      </c>
      <c r="P990" s="41" t="s">
        <v>98</v>
      </c>
      <c r="Q990" s="41" t="s">
        <v>2300</v>
      </c>
      <c r="R990" s="41" t="s">
        <v>39</v>
      </c>
      <c r="S990" s="41" t="s">
        <v>3979</v>
      </c>
      <c r="T990" s="41" t="s">
        <v>2539</v>
      </c>
      <c r="U990" s="41" t="s">
        <v>40</v>
      </c>
    </row>
    <row r="991" spans="1:21">
      <c r="A991" s="41">
        <v>1926</v>
      </c>
      <c r="B991" s="41" t="s">
        <v>3980</v>
      </c>
      <c r="D991" s="41">
        <v>4826</v>
      </c>
      <c r="E991" s="41" t="s">
        <v>1028</v>
      </c>
      <c r="F991" s="41" t="s">
        <v>53</v>
      </c>
      <c r="G991" s="41" t="s">
        <v>141</v>
      </c>
      <c r="I991" s="41" t="s">
        <v>149</v>
      </c>
      <c r="J991" s="41" t="s">
        <v>32</v>
      </c>
      <c r="K991" s="42"/>
      <c r="L991" s="41" t="s">
        <v>3981</v>
      </c>
      <c r="M991" s="41">
        <v>13</v>
      </c>
      <c r="N991" s="41" t="s">
        <v>59</v>
      </c>
      <c r="O991" s="41" t="s">
        <v>2090</v>
      </c>
      <c r="P991" s="41" t="s">
        <v>60</v>
      </c>
      <c r="Q991" s="41" t="s">
        <v>428</v>
      </c>
      <c r="R991" s="41" t="s">
        <v>62</v>
      </c>
      <c r="S991" s="41" t="s">
        <v>3982</v>
      </c>
      <c r="T991" s="41" t="s">
        <v>779</v>
      </c>
      <c r="U991" s="41" t="s">
        <v>40</v>
      </c>
    </row>
    <row r="992" spans="1:21">
      <c r="A992" s="41">
        <v>1925</v>
      </c>
      <c r="B992" s="41" t="s">
        <v>3983</v>
      </c>
      <c r="E992" s="41" t="s">
        <v>1028</v>
      </c>
      <c r="F992" s="41" t="s">
        <v>53</v>
      </c>
      <c r="G992" s="41" t="s">
        <v>43</v>
      </c>
      <c r="I992" s="41" t="s">
        <v>149</v>
      </c>
      <c r="J992" s="41" t="s">
        <v>32</v>
      </c>
      <c r="K992" s="42"/>
      <c r="L992" s="41" t="s">
        <v>3981</v>
      </c>
      <c r="M992" s="41">
        <v>13</v>
      </c>
      <c r="N992" s="41" t="s">
        <v>67</v>
      </c>
      <c r="O992" s="41" t="s">
        <v>2090</v>
      </c>
      <c r="P992" s="41" t="s">
        <v>60</v>
      </c>
      <c r="Q992" s="41" t="s">
        <v>428</v>
      </c>
      <c r="R992" s="41" t="s">
        <v>132</v>
      </c>
      <c r="S992" s="41" t="s">
        <v>40</v>
      </c>
      <c r="T992" s="41" t="s">
        <v>40</v>
      </c>
      <c r="U992" s="41" t="s">
        <v>40</v>
      </c>
    </row>
    <row r="993" spans="1:21">
      <c r="A993" s="41">
        <v>1924</v>
      </c>
      <c r="B993" s="41" t="s">
        <v>3984</v>
      </c>
      <c r="D993" s="41">
        <v>4819</v>
      </c>
      <c r="E993" s="41" t="s">
        <v>3484</v>
      </c>
      <c r="F993" s="41" t="s">
        <v>53</v>
      </c>
      <c r="G993" s="41" t="s">
        <v>141</v>
      </c>
      <c r="I993" s="41" t="s">
        <v>338</v>
      </c>
      <c r="J993" s="41" t="s">
        <v>32</v>
      </c>
      <c r="K993" s="42"/>
      <c r="L993" s="41" t="s">
        <v>3943</v>
      </c>
      <c r="M993" s="41">
        <v>220</v>
      </c>
      <c r="N993" s="41" t="s">
        <v>1014</v>
      </c>
      <c r="O993" s="41" t="s">
        <v>757</v>
      </c>
      <c r="P993" s="41" t="s">
        <v>37</v>
      </c>
      <c r="Q993" s="41" t="s">
        <v>969</v>
      </c>
      <c r="R993" s="41" t="s">
        <v>132</v>
      </c>
      <c r="S993" s="41" t="s">
        <v>3985</v>
      </c>
      <c r="T993" s="41" t="s">
        <v>1402</v>
      </c>
      <c r="U993" s="41" t="s">
        <v>40</v>
      </c>
    </row>
    <row r="994" spans="1:21">
      <c r="A994" s="41">
        <v>1923</v>
      </c>
      <c r="B994" s="41" t="s">
        <v>3986</v>
      </c>
      <c r="D994" s="41">
        <v>4822</v>
      </c>
      <c r="E994" s="41" t="s">
        <v>3987</v>
      </c>
      <c r="F994" s="41" t="s">
        <v>53</v>
      </c>
      <c r="G994" s="41" t="s">
        <v>141</v>
      </c>
      <c r="I994" s="41" t="s">
        <v>194</v>
      </c>
      <c r="J994" s="41" t="s">
        <v>32</v>
      </c>
      <c r="K994" s="42"/>
      <c r="L994" s="41" t="s">
        <v>3988</v>
      </c>
      <c r="M994" s="41">
        <v>15</v>
      </c>
      <c r="N994" s="41" t="s">
        <v>3989</v>
      </c>
      <c r="O994" s="41" t="s">
        <v>1095</v>
      </c>
      <c r="P994" s="41" t="s">
        <v>37</v>
      </c>
      <c r="Q994" s="41" t="s">
        <v>969</v>
      </c>
      <c r="R994" s="41" t="s">
        <v>132</v>
      </c>
      <c r="S994" s="41" t="s">
        <v>3990</v>
      </c>
      <c r="T994" s="41" t="s">
        <v>1894</v>
      </c>
      <c r="U994" s="41" t="s">
        <v>40</v>
      </c>
    </row>
    <row r="995" spans="1:21">
      <c r="A995" s="41">
        <v>1922</v>
      </c>
      <c r="B995" s="41" t="s">
        <v>3991</v>
      </c>
      <c r="D995" s="41">
        <v>4820</v>
      </c>
      <c r="E995" s="41" t="s">
        <v>1191</v>
      </c>
      <c r="F995" s="41" t="s">
        <v>28</v>
      </c>
      <c r="G995" s="41" t="s">
        <v>64</v>
      </c>
      <c r="I995" s="41" t="s">
        <v>45</v>
      </c>
      <c r="J995" s="41" t="s">
        <v>32</v>
      </c>
      <c r="K995" s="42"/>
      <c r="L995" s="41" t="s">
        <v>3992</v>
      </c>
      <c r="M995" s="41">
        <v>220</v>
      </c>
      <c r="N995" s="41" t="s">
        <v>67</v>
      </c>
      <c r="O995" s="41" t="s">
        <v>1827</v>
      </c>
      <c r="P995" s="41" t="s">
        <v>98</v>
      </c>
      <c r="Q995" s="41" t="s">
        <v>98</v>
      </c>
      <c r="R995" s="41" t="s">
        <v>39</v>
      </c>
      <c r="S995" s="41" t="s">
        <v>40</v>
      </c>
      <c r="T995" s="41" t="s">
        <v>40</v>
      </c>
      <c r="U995" s="41" t="s">
        <v>40</v>
      </c>
    </row>
    <row r="996" spans="1:21">
      <c r="A996" s="41">
        <v>1921</v>
      </c>
      <c r="B996" s="41" t="s">
        <v>3993</v>
      </c>
      <c r="D996" s="41">
        <v>4818</v>
      </c>
      <c r="E996" s="41" t="s">
        <v>965</v>
      </c>
      <c r="F996" s="41" t="s">
        <v>53</v>
      </c>
      <c r="G996" s="41" t="s">
        <v>141</v>
      </c>
      <c r="I996" s="41" t="s">
        <v>149</v>
      </c>
      <c r="J996" s="41" t="s">
        <v>32</v>
      </c>
      <c r="K996" s="42"/>
      <c r="L996" s="41" t="s">
        <v>3994</v>
      </c>
      <c r="M996" s="41">
        <v>66</v>
      </c>
      <c r="N996" s="41" t="s">
        <v>1333</v>
      </c>
      <c r="O996" s="41" t="s">
        <v>388</v>
      </c>
      <c r="P996" s="41" t="s">
        <v>172</v>
      </c>
      <c r="Q996" s="41" t="s">
        <v>3856</v>
      </c>
      <c r="R996" s="41" t="s">
        <v>132</v>
      </c>
      <c r="S996" s="41" t="s">
        <v>3995</v>
      </c>
      <c r="T996" s="41" t="s">
        <v>1433</v>
      </c>
      <c r="U996" s="41" t="s">
        <v>40</v>
      </c>
    </row>
    <row r="997" spans="1:21">
      <c r="A997" s="41">
        <v>1920</v>
      </c>
      <c r="B997" s="41" t="s">
        <v>3996</v>
      </c>
      <c r="D997" s="41">
        <v>4817</v>
      </c>
      <c r="E997" s="41" t="s">
        <v>3997</v>
      </c>
      <c r="F997" s="41" t="s">
        <v>53</v>
      </c>
      <c r="G997" s="41" t="s">
        <v>175</v>
      </c>
      <c r="I997" s="41" t="s">
        <v>3998</v>
      </c>
      <c r="J997" s="41" t="s">
        <v>380</v>
      </c>
      <c r="K997" s="42"/>
      <c r="L997" s="41" t="s">
        <v>3999</v>
      </c>
      <c r="M997" s="41">
        <v>220</v>
      </c>
      <c r="N997" s="41" t="s">
        <v>4000</v>
      </c>
      <c r="O997" s="41" t="s">
        <v>2854</v>
      </c>
      <c r="P997" s="41" t="s">
        <v>37</v>
      </c>
      <c r="Q997" s="41" t="s">
        <v>1661</v>
      </c>
      <c r="R997" s="41" t="s">
        <v>62</v>
      </c>
      <c r="S997" s="41" t="s">
        <v>40</v>
      </c>
      <c r="T997" s="41" t="s">
        <v>40</v>
      </c>
      <c r="U997" s="41" t="s">
        <v>40</v>
      </c>
    </row>
    <row r="998" spans="1:21">
      <c r="A998" s="41">
        <v>1919</v>
      </c>
      <c r="B998" s="41" t="s">
        <v>126</v>
      </c>
      <c r="D998" s="41">
        <v>4814</v>
      </c>
      <c r="E998" s="41" t="s">
        <v>27</v>
      </c>
      <c r="F998" s="41" t="s">
        <v>53</v>
      </c>
      <c r="G998" s="41" t="s">
        <v>141</v>
      </c>
      <c r="I998" s="41" t="s">
        <v>56</v>
      </c>
      <c r="J998" s="41" t="s">
        <v>32</v>
      </c>
      <c r="K998" s="42"/>
      <c r="L998" s="41" t="s">
        <v>130</v>
      </c>
      <c r="M998" s="41">
        <v>110</v>
      </c>
      <c r="N998" s="41" t="s">
        <v>67</v>
      </c>
      <c r="O998" s="41" t="s">
        <v>77</v>
      </c>
      <c r="P998" s="41" t="s">
        <v>78</v>
      </c>
      <c r="Q998" s="41" t="s">
        <v>131</v>
      </c>
      <c r="R998" s="41" t="s">
        <v>132</v>
      </c>
      <c r="S998" s="41" t="s">
        <v>4001</v>
      </c>
      <c r="T998" s="41" t="s">
        <v>1172</v>
      </c>
      <c r="U998" s="41" t="s">
        <v>40</v>
      </c>
    </row>
    <row r="999" spans="1:21">
      <c r="A999" s="41">
        <v>1918</v>
      </c>
      <c r="B999" s="41" t="s">
        <v>4002</v>
      </c>
      <c r="D999" s="41">
        <v>4816</v>
      </c>
      <c r="E999" s="41" t="s">
        <v>4003</v>
      </c>
      <c r="F999" s="41" t="s">
        <v>53</v>
      </c>
      <c r="G999" s="41" t="s">
        <v>141</v>
      </c>
      <c r="I999" s="41" t="s">
        <v>338</v>
      </c>
      <c r="J999" s="41" t="s">
        <v>32</v>
      </c>
      <c r="K999" s="42"/>
      <c r="L999" s="41" t="s">
        <v>3597</v>
      </c>
      <c r="M999" s="41">
        <v>220</v>
      </c>
      <c r="N999" s="41" t="s">
        <v>784</v>
      </c>
      <c r="O999" s="41" t="s">
        <v>3002</v>
      </c>
      <c r="P999" s="41" t="s">
        <v>98</v>
      </c>
      <c r="Q999" s="41" t="s">
        <v>116</v>
      </c>
      <c r="R999" s="41" t="s">
        <v>62</v>
      </c>
      <c r="S999" s="41" t="s">
        <v>4004</v>
      </c>
      <c r="T999" s="41" t="s">
        <v>186</v>
      </c>
      <c r="U999" s="41" t="s">
        <v>40</v>
      </c>
    </row>
    <row r="1000" spans="1:21">
      <c r="A1000" s="41">
        <v>1917</v>
      </c>
      <c r="B1000" s="41" t="s">
        <v>4005</v>
      </c>
      <c r="D1000" s="41">
        <v>4815</v>
      </c>
      <c r="E1000" s="41" t="s">
        <v>4006</v>
      </c>
      <c r="F1000" s="41" t="s">
        <v>53</v>
      </c>
      <c r="G1000" s="41" t="s">
        <v>54</v>
      </c>
      <c r="I1000" s="41" t="s">
        <v>411</v>
      </c>
      <c r="J1000" s="41" t="s">
        <v>295</v>
      </c>
      <c r="K1000" s="42"/>
      <c r="L1000" s="41" t="s">
        <v>4007</v>
      </c>
      <c r="M1000" s="41">
        <v>220</v>
      </c>
      <c r="N1000" s="41" t="s">
        <v>4008</v>
      </c>
      <c r="O1000" s="41" t="s">
        <v>2597</v>
      </c>
      <c r="P1000" s="41" t="s">
        <v>153</v>
      </c>
      <c r="Q1000" s="41" t="s">
        <v>329</v>
      </c>
      <c r="R1000" s="41" t="s">
        <v>4009</v>
      </c>
      <c r="S1000" s="41" t="s">
        <v>40</v>
      </c>
      <c r="T1000" s="41" t="s">
        <v>40</v>
      </c>
      <c r="U1000" s="41" t="s">
        <v>40</v>
      </c>
    </row>
    <row r="1001" spans="1:21">
      <c r="A1001" s="41">
        <v>1916</v>
      </c>
      <c r="B1001" s="41" t="s">
        <v>3700</v>
      </c>
      <c r="D1001" s="41">
        <v>4813</v>
      </c>
      <c r="E1001" s="41" t="s">
        <v>1028</v>
      </c>
      <c r="F1001" s="41" t="s">
        <v>53</v>
      </c>
      <c r="G1001" s="41" t="s">
        <v>64</v>
      </c>
      <c r="I1001" s="41" t="s">
        <v>1131</v>
      </c>
      <c r="J1001" s="41" t="s">
        <v>32</v>
      </c>
      <c r="K1001" s="42"/>
      <c r="L1001" s="41" t="s">
        <v>3701</v>
      </c>
      <c r="M1001" s="41">
        <v>23</v>
      </c>
      <c r="N1001" s="41" t="s">
        <v>395</v>
      </c>
      <c r="O1001" s="41" t="s">
        <v>2228</v>
      </c>
      <c r="P1001" s="41" t="s">
        <v>68</v>
      </c>
      <c r="Q1001" s="41" t="s">
        <v>69</v>
      </c>
      <c r="R1001" s="41" t="s">
        <v>132</v>
      </c>
      <c r="S1001" s="41" t="s">
        <v>40</v>
      </c>
      <c r="T1001" s="41" t="s">
        <v>40</v>
      </c>
      <c r="U1001" s="41" t="s">
        <v>40</v>
      </c>
    </row>
    <row r="1002" spans="1:21">
      <c r="A1002" s="41">
        <v>1915</v>
      </c>
      <c r="B1002" s="41" t="s">
        <v>3901</v>
      </c>
      <c r="D1002" s="41">
        <v>4792</v>
      </c>
      <c r="E1002" s="41" t="s">
        <v>2312</v>
      </c>
      <c r="F1002" s="41" t="s">
        <v>53</v>
      </c>
      <c r="G1002" s="41" t="s">
        <v>64</v>
      </c>
      <c r="I1002" s="41" t="s">
        <v>45</v>
      </c>
      <c r="J1002" s="41" t="s">
        <v>32</v>
      </c>
      <c r="K1002" s="42"/>
      <c r="L1002" s="41" t="s">
        <v>3902</v>
      </c>
      <c r="M1002" s="41">
        <v>220</v>
      </c>
      <c r="N1002" s="41" t="s">
        <v>3295</v>
      </c>
      <c r="O1002" s="41" t="s">
        <v>452</v>
      </c>
      <c r="P1002" s="41" t="s">
        <v>68</v>
      </c>
      <c r="Q1002" s="41" t="s">
        <v>69</v>
      </c>
      <c r="R1002" s="41" t="s">
        <v>62</v>
      </c>
      <c r="S1002" s="41" t="s">
        <v>40</v>
      </c>
      <c r="T1002" s="41" t="s">
        <v>40</v>
      </c>
      <c r="U1002" s="41" t="s">
        <v>40</v>
      </c>
    </row>
    <row r="1003" spans="1:21">
      <c r="A1003" s="41">
        <v>1914</v>
      </c>
      <c r="B1003" s="41" t="s">
        <v>4010</v>
      </c>
      <c r="D1003" s="41">
        <v>4812</v>
      </c>
      <c r="E1003" s="41" t="s">
        <v>1028</v>
      </c>
      <c r="F1003" s="41" t="s">
        <v>28</v>
      </c>
      <c r="G1003" s="41" t="s">
        <v>64</v>
      </c>
      <c r="I1003" s="41" t="s">
        <v>3468</v>
      </c>
      <c r="J1003" s="41" t="s">
        <v>32</v>
      </c>
      <c r="K1003" s="42"/>
      <c r="L1003" s="41" t="s">
        <v>4011</v>
      </c>
      <c r="M1003" s="41">
        <v>110</v>
      </c>
      <c r="N1003" s="41" t="s">
        <v>2234</v>
      </c>
      <c r="O1003" s="41" t="s">
        <v>1566</v>
      </c>
      <c r="P1003" s="41" t="s">
        <v>98</v>
      </c>
      <c r="Q1003" s="41" t="s">
        <v>491</v>
      </c>
      <c r="R1003" s="41" t="s">
        <v>39</v>
      </c>
      <c r="S1003" s="41" t="s">
        <v>40</v>
      </c>
      <c r="T1003" s="41" t="s">
        <v>40</v>
      </c>
      <c r="U1003" s="41" t="s">
        <v>40</v>
      </c>
    </row>
    <row r="1004" spans="1:21">
      <c r="A1004" s="41">
        <v>1913</v>
      </c>
      <c r="B1004" s="41" t="s">
        <v>4012</v>
      </c>
      <c r="D1004" s="41">
        <v>4807</v>
      </c>
      <c r="E1004" s="41" t="s">
        <v>965</v>
      </c>
      <c r="F1004" s="41" t="s">
        <v>53</v>
      </c>
      <c r="G1004" s="41" t="s">
        <v>141</v>
      </c>
      <c r="I1004" s="41" t="s">
        <v>149</v>
      </c>
      <c r="J1004" s="41" t="s">
        <v>32</v>
      </c>
      <c r="K1004" s="42"/>
      <c r="L1004" s="41" t="s">
        <v>374</v>
      </c>
      <c r="M1004" s="41">
        <v>66</v>
      </c>
      <c r="N1004" s="41" t="s">
        <v>67</v>
      </c>
      <c r="O1004" s="41" t="s">
        <v>482</v>
      </c>
      <c r="P1004" s="41" t="s">
        <v>334</v>
      </c>
      <c r="Q1004" s="41" t="s">
        <v>335</v>
      </c>
      <c r="R1004" s="41" t="s">
        <v>132</v>
      </c>
      <c r="S1004" s="41" t="s">
        <v>4013</v>
      </c>
      <c r="T1004" s="41" t="s">
        <v>146</v>
      </c>
      <c r="U1004" s="41" t="s">
        <v>40</v>
      </c>
    </row>
    <row r="1005" spans="1:21">
      <c r="A1005" s="41">
        <v>1912</v>
      </c>
      <c r="B1005" s="41" t="s">
        <v>133</v>
      </c>
      <c r="D1005" s="41">
        <v>4806</v>
      </c>
      <c r="E1005" s="41" t="s">
        <v>27</v>
      </c>
      <c r="F1005" s="41" t="s">
        <v>28</v>
      </c>
      <c r="G1005" s="41" t="s">
        <v>64</v>
      </c>
      <c r="I1005" s="41" t="s">
        <v>135</v>
      </c>
      <c r="J1005" s="41" t="s">
        <v>32</v>
      </c>
      <c r="K1005" s="42"/>
      <c r="L1005" s="41" t="s">
        <v>137</v>
      </c>
      <c r="M1005" s="41">
        <v>220</v>
      </c>
      <c r="N1005" s="41" t="s">
        <v>67</v>
      </c>
      <c r="O1005" s="41" t="s">
        <v>138</v>
      </c>
      <c r="P1005" s="41" t="s">
        <v>78</v>
      </c>
      <c r="Q1005" s="41" t="s">
        <v>139</v>
      </c>
      <c r="R1005" s="41" t="s">
        <v>39</v>
      </c>
      <c r="S1005" s="41" t="s">
        <v>40</v>
      </c>
      <c r="T1005" s="41" t="s">
        <v>40</v>
      </c>
      <c r="U1005" s="41" t="s">
        <v>40</v>
      </c>
    </row>
    <row r="1006" spans="1:21">
      <c r="A1006" s="41">
        <v>1911</v>
      </c>
      <c r="B1006" s="41" t="s">
        <v>140</v>
      </c>
      <c r="D1006" s="41">
        <v>4805</v>
      </c>
      <c r="E1006" s="41" t="s">
        <v>27</v>
      </c>
      <c r="F1006" s="41" t="s">
        <v>53</v>
      </c>
      <c r="G1006" s="41" t="s">
        <v>141</v>
      </c>
      <c r="I1006" s="41" t="s">
        <v>56</v>
      </c>
      <c r="J1006" s="41" t="s">
        <v>32</v>
      </c>
      <c r="K1006" s="42"/>
      <c r="L1006" s="41" t="s">
        <v>143</v>
      </c>
      <c r="M1006" s="41">
        <v>110</v>
      </c>
      <c r="N1006" s="41" t="s">
        <v>67</v>
      </c>
      <c r="O1006" s="41" t="s">
        <v>77</v>
      </c>
      <c r="P1006" s="41" t="s">
        <v>78</v>
      </c>
      <c r="Q1006" s="41" t="s">
        <v>144</v>
      </c>
      <c r="R1006" s="41" t="s">
        <v>62</v>
      </c>
      <c r="S1006" s="41" t="s">
        <v>145</v>
      </c>
      <c r="T1006" s="41" t="s">
        <v>146</v>
      </c>
      <c r="U1006" s="41" t="s">
        <v>40</v>
      </c>
    </row>
    <row r="1007" spans="1:21">
      <c r="A1007" s="41">
        <v>1910</v>
      </c>
      <c r="B1007" s="41" t="s">
        <v>4014</v>
      </c>
      <c r="D1007" s="41">
        <v>4804</v>
      </c>
      <c r="E1007" s="41" t="s">
        <v>1028</v>
      </c>
      <c r="F1007" s="41" t="s">
        <v>53</v>
      </c>
      <c r="G1007" s="41" t="s">
        <v>141</v>
      </c>
      <c r="I1007" s="41" t="s">
        <v>194</v>
      </c>
      <c r="J1007" s="41" t="s">
        <v>32</v>
      </c>
      <c r="K1007" s="42"/>
      <c r="L1007" s="41" t="s">
        <v>4015</v>
      </c>
      <c r="M1007" s="41">
        <v>13</v>
      </c>
      <c r="N1007" s="41" t="s">
        <v>395</v>
      </c>
      <c r="O1007" s="41" t="s">
        <v>1439</v>
      </c>
      <c r="P1007" s="41" t="s">
        <v>172</v>
      </c>
      <c r="Q1007" s="41" t="s">
        <v>197</v>
      </c>
      <c r="R1007" s="41" t="s">
        <v>132</v>
      </c>
      <c r="S1007" s="41" t="s">
        <v>4016</v>
      </c>
      <c r="T1007" s="41" t="s">
        <v>1433</v>
      </c>
      <c r="U1007" s="41" t="s">
        <v>40</v>
      </c>
    </row>
    <row r="1008" spans="1:21">
      <c r="A1008" s="41">
        <v>1909</v>
      </c>
      <c r="B1008" s="41" t="s">
        <v>4017</v>
      </c>
      <c r="D1008" s="41">
        <v>4803</v>
      </c>
      <c r="E1008" s="41" t="s">
        <v>987</v>
      </c>
      <c r="F1008" s="41" t="s">
        <v>53</v>
      </c>
      <c r="G1008" s="41" t="s">
        <v>127</v>
      </c>
      <c r="I1008" s="41" t="s">
        <v>149</v>
      </c>
      <c r="J1008" s="41" t="s">
        <v>32</v>
      </c>
      <c r="K1008" s="42"/>
      <c r="L1008" s="41" t="s">
        <v>2780</v>
      </c>
      <c r="M1008" s="41">
        <v>66</v>
      </c>
      <c r="N1008" s="41" t="s">
        <v>67</v>
      </c>
      <c r="O1008" s="41" t="s">
        <v>1151</v>
      </c>
      <c r="P1008" s="41" t="s">
        <v>83</v>
      </c>
      <c r="Q1008" s="41" t="s">
        <v>461</v>
      </c>
      <c r="R1008" s="41" t="s">
        <v>132</v>
      </c>
      <c r="S1008" s="41" t="s">
        <v>40</v>
      </c>
      <c r="T1008" s="41" t="s">
        <v>40</v>
      </c>
      <c r="U1008" s="41" t="s">
        <v>40</v>
      </c>
    </row>
    <row r="1009" spans="1:21">
      <c r="A1009" s="41">
        <v>1908</v>
      </c>
      <c r="B1009" s="41" t="s">
        <v>4018</v>
      </c>
      <c r="D1009" s="41">
        <v>4795</v>
      </c>
      <c r="E1009" s="41" t="s">
        <v>3015</v>
      </c>
      <c r="F1009" s="41" t="s">
        <v>53</v>
      </c>
      <c r="G1009" s="41" t="s">
        <v>188</v>
      </c>
      <c r="I1009" s="41" t="s">
        <v>2580</v>
      </c>
      <c r="J1009" s="41" t="s">
        <v>32</v>
      </c>
      <c r="K1009" s="42"/>
      <c r="L1009" s="41" t="s">
        <v>574</v>
      </c>
      <c r="M1009" s="41">
        <v>220</v>
      </c>
      <c r="N1009" s="41" t="s">
        <v>1014</v>
      </c>
      <c r="O1009" s="41" t="s">
        <v>2994</v>
      </c>
      <c r="P1009" s="41" t="s">
        <v>179</v>
      </c>
      <c r="Q1009" s="41" t="s">
        <v>284</v>
      </c>
      <c r="R1009" s="41" t="s">
        <v>62</v>
      </c>
      <c r="S1009" s="41" t="s">
        <v>40</v>
      </c>
      <c r="T1009" s="41" t="s">
        <v>40</v>
      </c>
      <c r="U1009" s="41" t="s">
        <v>40</v>
      </c>
    </row>
    <row r="1010" spans="1:21">
      <c r="A1010" s="41">
        <v>1907</v>
      </c>
      <c r="B1010" s="41" t="s">
        <v>4019</v>
      </c>
      <c r="D1010" s="41">
        <v>4794</v>
      </c>
      <c r="E1010" s="41" t="s">
        <v>2611</v>
      </c>
      <c r="F1010" s="41" t="s">
        <v>53</v>
      </c>
      <c r="G1010" s="41" t="s">
        <v>43</v>
      </c>
      <c r="I1010" s="41" t="s">
        <v>45</v>
      </c>
      <c r="J1010" s="41" t="s">
        <v>32</v>
      </c>
      <c r="K1010" s="42"/>
      <c r="L1010" s="41" t="s">
        <v>4020</v>
      </c>
      <c r="M1010" s="41">
        <v>220</v>
      </c>
      <c r="N1010" s="41" t="s">
        <v>2671</v>
      </c>
      <c r="O1010" s="41" t="s">
        <v>345</v>
      </c>
      <c r="P1010" s="41" t="s">
        <v>382</v>
      </c>
      <c r="Q1010" s="41" t="s">
        <v>4021</v>
      </c>
      <c r="R1010" s="41" t="s">
        <v>62</v>
      </c>
      <c r="S1010" s="41" t="s">
        <v>40</v>
      </c>
      <c r="T1010" s="41" t="s">
        <v>40</v>
      </c>
      <c r="U1010" s="41" t="s">
        <v>40</v>
      </c>
    </row>
    <row r="1011" spans="1:21">
      <c r="A1011" s="41">
        <v>1906</v>
      </c>
      <c r="B1011" s="41" t="s">
        <v>4022</v>
      </c>
      <c r="D1011" s="41">
        <v>4793</v>
      </c>
      <c r="E1011" s="41" t="s">
        <v>1028</v>
      </c>
      <c r="F1011" s="41" t="s">
        <v>53</v>
      </c>
      <c r="G1011" s="41" t="s">
        <v>141</v>
      </c>
      <c r="I1011" s="41" t="s">
        <v>1131</v>
      </c>
      <c r="J1011" s="41" t="s">
        <v>32</v>
      </c>
      <c r="K1011" s="42"/>
      <c r="L1011" s="41" t="s">
        <v>4023</v>
      </c>
      <c r="M1011" s="41">
        <v>15</v>
      </c>
      <c r="N1011" s="41" t="s">
        <v>67</v>
      </c>
      <c r="O1011" s="41" t="s">
        <v>663</v>
      </c>
      <c r="P1011" s="41" t="s">
        <v>172</v>
      </c>
      <c r="Q1011" s="41" t="s">
        <v>2069</v>
      </c>
      <c r="R1011" s="41" t="s">
        <v>132</v>
      </c>
      <c r="S1011" s="41" t="s">
        <v>4024</v>
      </c>
      <c r="T1011" s="41" t="s">
        <v>1449</v>
      </c>
      <c r="U1011" s="41" t="s">
        <v>40</v>
      </c>
    </row>
    <row r="1012" spans="1:21">
      <c r="A1012" s="41">
        <v>1905</v>
      </c>
      <c r="B1012" s="41" t="s">
        <v>4025</v>
      </c>
      <c r="D1012" s="41">
        <v>4791</v>
      </c>
      <c r="E1012" s="41" t="s">
        <v>1286</v>
      </c>
      <c r="F1012" s="41" t="s">
        <v>28</v>
      </c>
      <c r="G1012" s="41" t="s">
        <v>64</v>
      </c>
      <c r="I1012" s="41" t="s">
        <v>45</v>
      </c>
      <c r="J1012" s="41" t="s">
        <v>32</v>
      </c>
      <c r="K1012" s="42"/>
      <c r="L1012" s="41" t="s">
        <v>1229</v>
      </c>
      <c r="M1012" s="41">
        <v>220</v>
      </c>
      <c r="N1012" s="41" t="s">
        <v>4026</v>
      </c>
      <c r="O1012" s="41" t="s">
        <v>4027</v>
      </c>
      <c r="P1012" s="41" t="s">
        <v>98</v>
      </c>
      <c r="Q1012" s="41" t="s">
        <v>491</v>
      </c>
      <c r="R1012" s="41" t="s">
        <v>39</v>
      </c>
      <c r="S1012" s="41" t="s">
        <v>40</v>
      </c>
      <c r="T1012" s="41" t="s">
        <v>40</v>
      </c>
      <c r="U1012" s="41" t="s">
        <v>40</v>
      </c>
    </row>
    <row r="1013" spans="1:21">
      <c r="A1013" s="41">
        <v>1904</v>
      </c>
      <c r="B1013" s="41" t="s">
        <v>147</v>
      </c>
      <c r="D1013" s="41">
        <v>4790</v>
      </c>
      <c r="E1013" s="41" t="s">
        <v>27</v>
      </c>
      <c r="F1013" s="41" t="s">
        <v>53</v>
      </c>
      <c r="G1013" s="41" t="s">
        <v>141</v>
      </c>
      <c r="I1013" s="41" t="s">
        <v>149</v>
      </c>
      <c r="J1013" s="41" t="s">
        <v>32</v>
      </c>
      <c r="K1013" s="42"/>
      <c r="L1013" s="41" t="s">
        <v>150</v>
      </c>
      <c r="M1013" s="41">
        <v>23</v>
      </c>
      <c r="N1013" s="41" t="s">
        <v>151</v>
      </c>
      <c r="O1013" s="41" t="s">
        <v>152</v>
      </c>
      <c r="P1013" s="41" t="s">
        <v>153</v>
      </c>
      <c r="Q1013" s="41" t="s">
        <v>154</v>
      </c>
      <c r="R1013" s="41" t="s">
        <v>132</v>
      </c>
      <c r="S1013" s="41" t="s">
        <v>155</v>
      </c>
      <c r="T1013" s="41" t="s">
        <v>146</v>
      </c>
      <c r="U1013" s="41" t="s">
        <v>40</v>
      </c>
    </row>
    <row r="1014" spans="1:21">
      <c r="A1014" s="41">
        <v>1903</v>
      </c>
      <c r="B1014" s="41" t="s">
        <v>4028</v>
      </c>
      <c r="D1014" s="41">
        <v>4789</v>
      </c>
      <c r="E1014" s="41" t="s">
        <v>965</v>
      </c>
      <c r="F1014" s="41" t="s">
        <v>53</v>
      </c>
      <c r="G1014" s="41" t="s">
        <v>43</v>
      </c>
      <c r="I1014" s="41" t="s">
        <v>149</v>
      </c>
      <c r="J1014" s="41" t="s">
        <v>32</v>
      </c>
      <c r="K1014" s="42"/>
      <c r="L1014" s="41" t="s">
        <v>4029</v>
      </c>
      <c r="M1014" s="41">
        <v>66</v>
      </c>
      <c r="N1014" s="41" t="s">
        <v>67</v>
      </c>
      <c r="O1014" s="41" t="s">
        <v>1151</v>
      </c>
      <c r="P1014" s="41" t="s">
        <v>172</v>
      </c>
      <c r="Q1014" s="41" t="s">
        <v>4030</v>
      </c>
      <c r="R1014" s="41" t="s">
        <v>132</v>
      </c>
      <c r="S1014" s="41" t="s">
        <v>40</v>
      </c>
      <c r="T1014" s="41" t="s">
        <v>40</v>
      </c>
      <c r="U1014" s="41" t="s">
        <v>40</v>
      </c>
    </row>
    <row r="1015" spans="1:21">
      <c r="A1015" s="41">
        <v>1902</v>
      </c>
      <c r="B1015" s="41" t="s">
        <v>4031</v>
      </c>
      <c r="D1015" s="41">
        <v>4788</v>
      </c>
      <c r="E1015" s="41" t="s">
        <v>1708</v>
      </c>
      <c r="F1015" s="41" t="s">
        <v>53</v>
      </c>
      <c r="G1015" s="41" t="s">
        <v>64</v>
      </c>
      <c r="I1015" s="41" t="s">
        <v>162</v>
      </c>
      <c r="J1015" s="41" t="s">
        <v>32</v>
      </c>
      <c r="K1015" s="42"/>
      <c r="L1015" s="41" t="s">
        <v>4032</v>
      </c>
      <c r="M1015" s="41">
        <v>220</v>
      </c>
      <c r="N1015" s="41" t="s">
        <v>4033</v>
      </c>
      <c r="O1015" s="41" t="s">
        <v>1615</v>
      </c>
      <c r="P1015" s="41" t="s">
        <v>60</v>
      </c>
      <c r="Q1015" s="41" t="s">
        <v>4034</v>
      </c>
      <c r="R1015" s="41" t="s">
        <v>62</v>
      </c>
      <c r="S1015" s="41" t="s">
        <v>40</v>
      </c>
      <c r="T1015" s="41" t="s">
        <v>40</v>
      </c>
      <c r="U1015" s="41" t="s">
        <v>40</v>
      </c>
    </row>
    <row r="1016" spans="1:21">
      <c r="A1016" s="41">
        <v>1901</v>
      </c>
      <c r="B1016" s="41" t="s">
        <v>4035</v>
      </c>
      <c r="D1016" s="41">
        <v>4787</v>
      </c>
      <c r="E1016" s="41" t="s">
        <v>965</v>
      </c>
      <c r="F1016" s="41" t="s">
        <v>53</v>
      </c>
      <c r="G1016" s="41" t="s">
        <v>43</v>
      </c>
      <c r="I1016" s="41" t="s">
        <v>149</v>
      </c>
      <c r="J1016" s="41" t="s">
        <v>32</v>
      </c>
      <c r="K1016" s="42"/>
      <c r="L1016" s="41" t="s">
        <v>4036</v>
      </c>
      <c r="M1016" s="41">
        <v>66</v>
      </c>
      <c r="N1016" s="41" t="s">
        <v>4037</v>
      </c>
      <c r="O1016" s="41" t="s">
        <v>482</v>
      </c>
      <c r="P1016" s="41" t="s">
        <v>60</v>
      </c>
      <c r="Q1016" s="41" t="s">
        <v>436</v>
      </c>
      <c r="R1016" s="41" t="s">
        <v>132</v>
      </c>
      <c r="S1016" s="41" t="s">
        <v>40</v>
      </c>
      <c r="T1016" s="41" t="s">
        <v>40</v>
      </c>
      <c r="U1016" s="41" t="s">
        <v>40</v>
      </c>
    </row>
    <row r="1017" spans="1:21">
      <c r="A1017" s="41">
        <v>1900</v>
      </c>
      <c r="B1017" s="41" t="s">
        <v>4038</v>
      </c>
      <c r="D1017" s="41">
        <v>4780</v>
      </c>
      <c r="E1017" s="41" t="s">
        <v>1076</v>
      </c>
      <c r="F1017" s="41" t="s">
        <v>53</v>
      </c>
      <c r="G1017" s="41" t="s">
        <v>141</v>
      </c>
      <c r="I1017" s="41" t="s">
        <v>56</v>
      </c>
      <c r="J1017" s="41" t="s">
        <v>32</v>
      </c>
      <c r="K1017" s="42"/>
      <c r="L1017" s="41" t="s">
        <v>4039</v>
      </c>
      <c r="M1017" s="41">
        <v>220</v>
      </c>
      <c r="N1017" s="41" t="s">
        <v>805</v>
      </c>
      <c r="O1017" s="41" t="s">
        <v>2633</v>
      </c>
      <c r="P1017" s="41" t="s">
        <v>78</v>
      </c>
      <c r="Q1017" s="41" t="s">
        <v>1065</v>
      </c>
      <c r="R1017" s="41" t="s">
        <v>132</v>
      </c>
      <c r="S1017" s="41" t="s">
        <v>4040</v>
      </c>
      <c r="T1017" s="41" t="s">
        <v>165</v>
      </c>
      <c r="U1017" s="41" t="s">
        <v>40</v>
      </c>
    </row>
    <row r="1018" spans="1:21">
      <c r="A1018" s="41">
        <v>1899</v>
      </c>
      <c r="B1018" s="41" t="s">
        <v>4041</v>
      </c>
      <c r="D1018" s="41">
        <v>4781</v>
      </c>
      <c r="E1018" s="41" t="s">
        <v>4042</v>
      </c>
      <c r="F1018" s="41" t="s">
        <v>53</v>
      </c>
      <c r="G1018" s="41" t="s">
        <v>141</v>
      </c>
      <c r="I1018" s="41" t="s">
        <v>338</v>
      </c>
      <c r="J1018" s="41" t="s">
        <v>32</v>
      </c>
      <c r="K1018" s="42"/>
      <c r="L1018" s="41" t="s">
        <v>4043</v>
      </c>
      <c r="M1018" s="41">
        <v>220</v>
      </c>
      <c r="N1018" s="41" t="s">
        <v>1629</v>
      </c>
      <c r="O1018" s="41" t="s">
        <v>791</v>
      </c>
      <c r="P1018" s="41" t="s">
        <v>153</v>
      </c>
      <c r="Q1018" s="41" t="s">
        <v>154</v>
      </c>
      <c r="R1018" s="41" t="s">
        <v>62</v>
      </c>
      <c r="S1018" s="41" t="s">
        <v>4044</v>
      </c>
      <c r="T1018" s="41" t="s">
        <v>2187</v>
      </c>
      <c r="U1018" s="41" t="s">
        <v>40</v>
      </c>
    </row>
    <row r="1019" spans="1:21">
      <c r="A1019" s="41">
        <v>1898</v>
      </c>
      <c r="B1019" s="41" t="s">
        <v>4045</v>
      </c>
      <c r="D1019" s="41">
        <v>4779</v>
      </c>
      <c r="E1019" s="41" t="s">
        <v>1708</v>
      </c>
      <c r="F1019" s="41" t="s">
        <v>53</v>
      </c>
      <c r="G1019" s="41" t="s">
        <v>64</v>
      </c>
      <c r="I1019" s="41" t="s">
        <v>162</v>
      </c>
      <c r="J1019" s="41" t="s">
        <v>32</v>
      </c>
      <c r="K1019" s="42"/>
      <c r="L1019" s="41" t="s">
        <v>236</v>
      </c>
      <c r="M1019" s="41">
        <v>110</v>
      </c>
      <c r="N1019" s="41" t="s">
        <v>4046</v>
      </c>
      <c r="O1019" s="41" t="s">
        <v>328</v>
      </c>
      <c r="P1019" s="41" t="s">
        <v>78</v>
      </c>
      <c r="Q1019" s="41" t="s">
        <v>238</v>
      </c>
      <c r="R1019" s="41" t="s">
        <v>132</v>
      </c>
      <c r="S1019" s="41" t="s">
        <v>40</v>
      </c>
      <c r="T1019" s="41" t="s">
        <v>40</v>
      </c>
      <c r="U1019" s="41" t="s">
        <v>40</v>
      </c>
    </row>
    <row r="1020" spans="1:21">
      <c r="A1020" s="41">
        <v>1897</v>
      </c>
      <c r="B1020" s="41" t="s">
        <v>4047</v>
      </c>
      <c r="D1020" s="41">
        <v>4778</v>
      </c>
      <c r="E1020" s="41" t="s">
        <v>3737</v>
      </c>
      <c r="F1020" s="41" t="s">
        <v>42</v>
      </c>
      <c r="G1020" s="41" t="s">
        <v>1197</v>
      </c>
      <c r="I1020" s="41" t="s">
        <v>464</v>
      </c>
      <c r="J1020" s="41" t="s">
        <v>32</v>
      </c>
      <c r="K1020" s="42"/>
      <c r="L1020" s="41" t="s">
        <v>4048</v>
      </c>
      <c r="M1020" s="41">
        <v>23</v>
      </c>
      <c r="N1020" s="41" t="s">
        <v>4049</v>
      </c>
      <c r="O1020" s="41" t="s">
        <v>4049</v>
      </c>
      <c r="P1020" s="41" t="s">
        <v>179</v>
      </c>
      <c r="Q1020" s="41" t="s">
        <v>284</v>
      </c>
      <c r="R1020" s="41" t="s">
        <v>39</v>
      </c>
      <c r="S1020" s="41" t="s">
        <v>40</v>
      </c>
      <c r="T1020" s="41" t="s">
        <v>40</v>
      </c>
      <c r="U1020" s="41" t="s">
        <v>40</v>
      </c>
    </row>
    <row r="1021" spans="1:21">
      <c r="A1021" s="41">
        <v>1896</v>
      </c>
      <c r="B1021" s="41" t="s">
        <v>4050</v>
      </c>
      <c r="D1021" s="41">
        <v>4776</v>
      </c>
      <c r="E1021" s="41" t="s">
        <v>2426</v>
      </c>
      <c r="F1021" s="41" t="s">
        <v>53</v>
      </c>
      <c r="G1021" s="41" t="s">
        <v>54</v>
      </c>
      <c r="I1021" s="41" t="s">
        <v>325</v>
      </c>
      <c r="J1021" s="41" t="s">
        <v>32</v>
      </c>
      <c r="K1021" s="42"/>
      <c r="L1021" s="41" t="s">
        <v>4051</v>
      </c>
      <c r="M1021" s="41">
        <v>110</v>
      </c>
      <c r="N1021" s="41" t="s">
        <v>67</v>
      </c>
      <c r="O1021" s="41" t="s">
        <v>1473</v>
      </c>
      <c r="P1021" s="41" t="s">
        <v>68</v>
      </c>
      <c r="Q1021" s="41" t="s">
        <v>244</v>
      </c>
      <c r="R1021" s="41" t="s">
        <v>62</v>
      </c>
      <c r="S1021" s="41" t="s">
        <v>40</v>
      </c>
      <c r="T1021" s="41" t="s">
        <v>40</v>
      </c>
      <c r="U1021" s="41" t="s">
        <v>40</v>
      </c>
    </row>
    <row r="1022" spans="1:21">
      <c r="A1022" s="41">
        <v>1895</v>
      </c>
      <c r="B1022" s="41" t="s">
        <v>4052</v>
      </c>
      <c r="D1022" s="41">
        <v>4777</v>
      </c>
      <c r="E1022" s="41" t="s">
        <v>4053</v>
      </c>
      <c r="F1022" s="41" t="s">
        <v>53</v>
      </c>
      <c r="G1022" s="41" t="s">
        <v>54</v>
      </c>
      <c r="I1022" s="41" t="s">
        <v>325</v>
      </c>
      <c r="J1022" s="41" t="s">
        <v>32</v>
      </c>
      <c r="K1022" s="42"/>
      <c r="L1022" s="41" t="s">
        <v>4054</v>
      </c>
      <c r="M1022" s="41">
        <v>110</v>
      </c>
      <c r="N1022" s="41" t="s">
        <v>59</v>
      </c>
      <c r="O1022" s="41" t="s">
        <v>328</v>
      </c>
      <c r="P1022" s="41" t="s">
        <v>78</v>
      </c>
      <c r="Q1022" s="41" t="s">
        <v>238</v>
      </c>
      <c r="R1022" s="41" t="s">
        <v>62</v>
      </c>
      <c r="S1022" s="41" t="s">
        <v>40</v>
      </c>
      <c r="T1022" s="41" t="s">
        <v>40</v>
      </c>
      <c r="U1022" s="41" t="s">
        <v>40</v>
      </c>
    </row>
    <row r="1023" spans="1:21">
      <c r="A1023" s="41">
        <v>1894</v>
      </c>
      <c r="B1023" s="41" t="s">
        <v>4055</v>
      </c>
      <c r="D1023" s="41">
        <v>4775</v>
      </c>
      <c r="E1023" s="41" t="s">
        <v>987</v>
      </c>
      <c r="F1023" s="41" t="s">
        <v>53</v>
      </c>
      <c r="G1023" s="41" t="s">
        <v>141</v>
      </c>
      <c r="I1023" s="41" t="s">
        <v>149</v>
      </c>
      <c r="J1023" s="41" t="s">
        <v>32</v>
      </c>
      <c r="K1023" s="42"/>
      <c r="L1023" s="41" t="s">
        <v>3555</v>
      </c>
      <c r="M1023" s="41">
        <v>66</v>
      </c>
      <c r="N1023" s="41" t="s">
        <v>340</v>
      </c>
      <c r="O1023" s="41" t="s">
        <v>482</v>
      </c>
      <c r="P1023" s="41" t="s">
        <v>172</v>
      </c>
      <c r="Q1023" s="41" t="s">
        <v>197</v>
      </c>
      <c r="R1023" s="41" t="s">
        <v>132</v>
      </c>
      <c r="S1023" s="41" t="s">
        <v>4056</v>
      </c>
      <c r="T1023" s="41" t="s">
        <v>2512</v>
      </c>
      <c r="U1023" s="41" t="s">
        <v>40</v>
      </c>
    </row>
    <row r="1024" spans="1:21">
      <c r="A1024" s="41">
        <v>1893</v>
      </c>
      <c r="B1024" s="41" t="s">
        <v>4057</v>
      </c>
      <c r="D1024" s="41">
        <v>4774</v>
      </c>
      <c r="E1024" s="41" t="s">
        <v>1395</v>
      </c>
      <c r="F1024" s="41" t="s">
        <v>28</v>
      </c>
      <c r="G1024" s="41" t="s">
        <v>301</v>
      </c>
      <c r="I1024" s="41" t="s">
        <v>4058</v>
      </c>
      <c r="J1024" s="41" t="s">
        <v>380</v>
      </c>
      <c r="K1024" s="42"/>
      <c r="L1024" s="41" t="s">
        <v>4059</v>
      </c>
      <c r="M1024" s="41">
        <v>33</v>
      </c>
      <c r="N1024" s="41" t="s">
        <v>1980</v>
      </c>
      <c r="O1024" s="41" t="s">
        <v>36</v>
      </c>
      <c r="P1024" s="41" t="s">
        <v>1046</v>
      </c>
      <c r="Q1024" s="41" t="s">
        <v>1047</v>
      </c>
      <c r="R1024" s="41" t="s">
        <v>39</v>
      </c>
      <c r="S1024" s="41" t="s">
        <v>40</v>
      </c>
      <c r="T1024" s="41" t="s">
        <v>1796</v>
      </c>
      <c r="U1024" s="41" t="s">
        <v>40</v>
      </c>
    </row>
    <row r="1025" spans="1:21">
      <c r="A1025" s="41">
        <v>1892</v>
      </c>
      <c r="B1025" s="41" t="s">
        <v>4060</v>
      </c>
      <c r="D1025" s="41">
        <v>4772</v>
      </c>
      <c r="E1025" s="41" t="s">
        <v>4061</v>
      </c>
      <c r="F1025" s="41" t="s">
        <v>53</v>
      </c>
      <c r="G1025" s="41" t="s">
        <v>141</v>
      </c>
      <c r="I1025" s="41" t="s">
        <v>45</v>
      </c>
      <c r="J1025" s="41" t="s">
        <v>32</v>
      </c>
      <c r="K1025" s="42"/>
      <c r="L1025" s="41" t="s">
        <v>2723</v>
      </c>
      <c r="M1025" s="41">
        <v>220</v>
      </c>
      <c r="N1025" s="41" t="s">
        <v>2632</v>
      </c>
      <c r="O1025" s="41" t="s">
        <v>757</v>
      </c>
      <c r="P1025" s="41" t="s">
        <v>68</v>
      </c>
      <c r="Q1025" s="41" t="s">
        <v>403</v>
      </c>
      <c r="R1025" s="41" t="s">
        <v>62</v>
      </c>
      <c r="S1025" s="41" t="s">
        <v>4062</v>
      </c>
      <c r="T1025" s="41" t="s">
        <v>2169</v>
      </c>
      <c r="U1025" s="41" t="s">
        <v>40</v>
      </c>
    </row>
    <row r="1026" spans="1:21">
      <c r="A1026" s="41">
        <v>1891</v>
      </c>
      <c r="B1026" s="41" t="s">
        <v>4063</v>
      </c>
      <c r="D1026" s="41">
        <v>4773</v>
      </c>
      <c r="E1026" s="41" t="s">
        <v>801</v>
      </c>
      <c r="F1026" s="41" t="s">
        <v>53</v>
      </c>
      <c r="G1026" s="41" t="s">
        <v>141</v>
      </c>
      <c r="I1026" s="41" t="s">
        <v>392</v>
      </c>
      <c r="J1026" s="41" t="s">
        <v>32</v>
      </c>
      <c r="K1026" s="42"/>
      <c r="L1026" s="41" t="s">
        <v>4064</v>
      </c>
      <c r="M1026" s="41">
        <v>220</v>
      </c>
      <c r="N1026" s="41" t="s">
        <v>805</v>
      </c>
      <c r="O1026" s="41" t="s">
        <v>2566</v>
      </c>
      <c r="P1026" s="41" t="s">
        <v>50</v>
      </c>
      <c r="Q1026" s="41" t="s">
        <v>1499</v>
      </c>
      <c r="R1026" s="41" t="s">
        <v>132</v>
      </c>
      <c r="S1026" s="41" t="s">
        <v>4065</v>
      </c>
      <c r="T1026" s="41" t="s">
        <v>1773</v>
      </c>
      <c r="U1026" s="41" t="s">
        <v>1500</v>
      </c>
    </row>
    <row r="1027" spans="1:21">
      <c r="A1027" s="41">
        <v>1890</v>
      </c>
      <c r="B1027" s="41" t="s">
        <v>4066</v>
      </c>
      <c r="D1027" s="41">
        <v>4768</v>
      </c>
      <c r="E1027" s="41" t="s">
        <v>965</v>
      </c>
      <c r="F1027" s="41" t="s">
        <v>53</v>
      </c>
      <c r="G1027" s="41" t="s">
        <v>54</v>
      </c>
      <c r="I1027" s="41" t="s">
        <v>426</v>
      </c>
      <c r="J1027" s="41" t="s">
        <v>32</v>
      </c>
      <c r="K1027" s="42"/>
      <c r="L1027" s="41" t="s">
        <v>4067</v>
      </c>
      <c r="M1027" s="41">
        <v>66</v>
      </c>
      <c r="N1027" s="41" t="s">
        <v>4068</v>
      </c>
      <c r="O1027" s="41" t="s">
        <v>482</v>
      </c>
      <c r="P1027" s="41" t="s">
        <v>172</v>
      </c>
      <c r="Q1027" s="41" t="s">
        <v>1457</v>
      </c>
      <c r="R1027" s="41" t="s">
        <v>132</v>
      </c>
      <c r="S1027" s="41" t="s">
        <v>40</v>
      </c>
      <c r="T1027" s="41" t="s">
        <v>40</v>
      </c>
      <c r="U1027" s="41" t="s">
        <v>40</v>
      </c>
    </row>
    <row r="1028" spans="1:21">
      <c r="A1028" s="41">
        <v>1889</v>
      </c>
      <c r="B1028" s="41" t="s">
        <v>4069</v>
      </c>
      <c r="D1028" s="41">
        <v>4767</v>
      </c>
      <c r="E1028" s="41" t="s">
        <v>1028</v>
      </c>
      <c r="F1028" s="41" t="s">
        <v>42</v>
      </c>
      <c r="G1028" s="41" t="s">
        <v>1197</v>
      </c>
      <c r="I1028" s="41" t="s">
        <v>458</v>
      </c>
      <c r="J1028" s="41" t="s">
        <v>32</v>
      </c>
      <c r="K1028" s="42"/>
      <c r="L1028" s="41" t="s">
        <v>4070</v>
      </c>
      <c r="M1028" s="41">
        <v>110</v>
      </c>
      <c r="N1028" s="41" t="s">
        <v>67</v>
      </c>
      <c r="O1028" s="41" t="s">
        <v>36</v>
      </c>
      <c r="P1028" s="41" t="s">
        <v>179</v>
      </c>
      <c r="Q1028" s="41" t="s">
        <v>524</v>
      </c>
      <c r="R1028" s="41" t="s">
        <v>39</v>
      </c>
      <c r="S1028" s="41" t="s">
        <v>40</v>
      </c>
      <c r="T1028" s="41" t="s">
        <v>40</v>
      </c>
      <c r="U1028" s="41" t="s">
        <v>40</v>
      </c>
    </row>
    <row r="1029" spans="1:21">
      <c r="A1029" s="41">
        <v>1888</v>
      </c>
      <c r="B1029" s="41" t="s">
        <v>4071</v>
      </c>
      <c r="D1029" s="41">
        <v>4766</v>
      </c>
      <c r="E1029" s="41" t="s">
        <v>1286</v>
      </c>
      <c r="F1029" s="41" t="s">
        <v>42</v>
      </c>
      <c r="G1029" s="41" t="s">
        <v>141</v>
      </c>
      <c r="I1029" s="41" t="s">
        <v>162</v>
      </c>
      <c r="J1029" s="41" t="s">
        <v>32</v>
      </c>
      <c r="K1029" s="42"/>
      <c r="L1029" s="41" t="s">
        <v>3175</v>
      </c>
      <c r="M1029" s="41">
        <v>33</v>
      </c>
      <c r="N1029" s="41" t="s">
        <v>2299</v>
      </c>
      <c r="O1029" s="41" t="s">
        <v>2299</v>
      </c>
      <c r="P1029" s="41" t="s">
        <v>98</v>
      </c>
      <c r="Q1029" s="41" t="s">
        <v>2300</v>
      </c>
      <c r="R1029" s="41" t="s">
        <v>39</v>
      </c>
      <c r="S1029" s="41" t="s">
        <v>40</v>
      </c>
      <c r="T1029" s="41" t="s">
        <v>3646</v>
      </c>
      <c r="U1029" s="41" t="s">
        <v>40</v>
      </c>
    </row>
    <row r="1030" spans="1:21">
      <c r="A1030" s="41">
        <v>1887</v>
      </c>
      <c r="B1030" s="41" t="s">
        <v>4072</v>
      </c>
      <c r="D1030" s="41">
        <v>4763</v>
      </c>
      <c r="E1030" s="41" t="s">
        <v>1028</v>
      </c>
      <c r="F1030" s="41" t="s">
        <v>53</v>
      </c>
      <c r="G1030" s="41" t="s">
        <v>796</v>
      </c>
      <c r="I1030" s="41" t="s">
        <v>2653</v>
      </c>
      <c r="J1030" s="41" t="s">
        <v>32</v>
      </c>
      <c r="K1030" s="42"/>
      <c r="L1030" s="41" t="s">
        <v>1783</v>
      </c>
      <c r="M1030" s="41">
        <v>12</v>
      </c>
      <c r="N1030" s="41" t="s">
        <v>151</v>
      </c>
      <c r="O1030" s="41" t="s">
        <v>1095</v>
      </c>
      <c r="P1030" s="41" t="s">
        <v>78</v>
      </c>
      <c r="Q1030" s="41" t="s">
        <v>1786</v>
      </c>
      <c r="R1030" s="41" t="s">
        <v>132</v>
      </c>
      <c r="S1030" s="41" t="s">
        <v>40</v>
      </c>
      <c r="T1030" s="41" t="s">
        <v>40</v>
      </c>
      <c r="U1030" s="41" t="s">
        <v>40</v>
      </c>
    </row>
    <row r="1031" spans="1:21">
      <c r="A1031" s="41">
        <v>1886</v>
      </c>
      <c r="B1031" s="41" t="s">
        <v>4073</v>
      </c>
      <c r="D1031" s="41">
        <v>4764</v>
      </c>
      <c r="E1031" s="41" t="s">
        <v>1028</v>
      </c>
      <c r="F1031" s="41" t="s">
        <v>28</v>
      </c>
      <c r="G1031" s="41" t="s">
        <v>286</v>
      </c>
      <c r="I1031" s="41" t="s">
        <v>194</v>
      </c>
      <c r="J1031" s="41" t="s">
        <v>32</v>
      </c>
      <c r="K1031" s="42"/>
      <c r="L1031" s="41" t="s">
        <v>4074</v>
      </c>
      <c r="M1031" s="41">
        <v>23</v>
      </c>
      <c r="N1031" s="41" t="s">
        <v>340</v>
      </c>
      <c r="O1031" s="41" t="s">
        <v>3296</v>
      </c>
      <c r="P1031" s="41" t="s">
        <v>179</v>
      </c>
      <c r="Q1031" s="41" t="s">
        <v>180</v>
      </c>
      <c r="R1031" s="41" t="s">
        <v>39</v>
      </c>
      <c r="S1031" s="41" t="s">
        <v>40</v>
      </c>
      <c r="T1031" s="41" t="s">
        <v>40</v>
      </c>
      <c r="U1031" s="41" t="s">
        <v>40</v>
      </c>
    </row>
    <row r="1032" spans="1:21">
      <c r="A1032" s="41">
        <v>1885</v>
      </c>
      <c r="B1032" s="41" t="s">
        <v>4075</v>
      </c>
      <c r="D1032" s="41">
        <v>4765</v>
      </c>
      <c r="E1032" s="41" t="s">
        <v>2221</v>
      </c>
      <c r="F1032" s="41" t="s">
        <v>28</v>
      </c>
      <c r="G1032" s="41" t="s">
        <v>64</v>
      </c>
      <c r="I1032" s="41" t="s">
        <v>194</v>
      </c>
      <c r="J1032" s="41" t="s">
        <v>295</v>
      </c>
      <c r="K1032" s="42"/>
      <c r="L1032" s="41" t="s">
        <v>4076</v>
      </c>
      <c r="M1032" s="41">
        <v>23</v>
      </c>
      <c r="N1032" s="41" t="s">
        <v>1578</v>
      </c>
      <c r="O1032" s="41" t="s">
        <v>1578</v>
      </c>
      <c r="P1032" s="41" t="s">
        <v>153</v>
      </c>
      <c r="Q1032" s="41" t="s">
        <v>154</v>
      </c>
      <c r="R1032" s="41" t="s">
        <v>39</v>
      </c>
      <c r="S1032" s="41" t="s">
        <v>40</v>
      </c>
      <c r="T1032" s="41" t="s">
        <v>40</v>
      </c>
      <c r="U1032" s="41" t="s">
        <v>40</v>
      </c>
    </row>
    <row r="1033" spans="1:21">
      <c r="A1033" s="41">
        <v>1884</v>
      </c>
      <c r="B1033" s="41" t="s">
        <v>4077</v>
      </c>
      <c r="D1033" s="41">
        <v>4761</v>
      </c>
      <c r="E1033" s="41" t="s">
        <v>1913</v>
      </c>
      <c r="F1033" s="41" t="s">
        <v>28</v>
      </c>
      <c r="G1033" s="41" t="s">
        <v>64</v>
      </c>
      <c r="I1033" s="41" t="s">
        <v>4078</v>
      </c>
      <c r="J1033" s="41" t="s">
        <v>32</v>
      </c>
      <c r="K1033" s="42"/>
      <c r="L1033" s="41" t="s">
        <v>4079</v>
      </c>
      <c r="M1033" s="41">
        <v>220</v>
      </c>
      <c r="N1033" s="41" t="s">
        <v>1052</v>
      </c>
      <c r="O1033" s="41" t="s">
        <v>757</v>
      </c>
      <c r="P1033" s="41" t="s">
        <v>98</v>
      </c>
      <c r="Q1033" s="41" t="s">
        <v>491</v>
      </c>
      <c r="R1033" s="41" t="s">
        <v>39</v>
      </c>
      <c r="S1033" s="41" t="s">
        <v>40</v>
      </c>
      <c r="T1033" s="41" t="s">
        <v>40</v>
      </c>
      <c r="U1033" s="41" t="s">
        <v>40</v>
      </c>
    </row>
    <row r="1034" spans="1:21">
      <c r="A1034" s="41">
        <v>1883</v>
      </c>
      <c r="B1034" s="41" t="s">
        <v>4080</v>
      </c>
      <c r="E1034" s="41" t="s">
        <v>1913</v>
      </c>
      <c r="F1034" s="41" t="s">
        <v>28</v>
      </c>
      <c r="G1034" s="41" t="s">
        <v>64</v>
      </c>
      <c r="I1034" s="41" t="s">
        <v>4078</v>
      </c>
      <c r="J1034" s="41" t="s">
        <v>32</v>
      </c>
      <c r="K1034" s="42"/>
      <c r="L1034" s="41" t="s">
        <v>4081</v>
      </c>
      <c r="M1034" s="41">
        <v>220</v>
      </c>
      <c r="N1034" s="41" t="s">
        <v>357</v>
      </c>
      <c r="O1034" s="41" t="s">
        <v>4027</v>
      </c>
      <c r="P1034" s="41" t="s">
        <v>98</v>
      </c>
      <c r="Q1034" s="41" t="s">
        <v>204</v>
      </c>
      <c r="R1034" s="41" t="s">
        <v>39</v>
      </c>
      <c r="S1034" s="41" t="s">
        <v>40</v>
      </c>
      <c r="T1034" s="41" t="s">
        <v>40</v>
      </c>
      <c r="U1034" s="41" t="s">
        <v>40</v>
      </c>
    </row>
    <row r="1035" spans="1:21">
      <c r="A1035" s="41">
        <v>1882</v>
      </c>
      <c r="B1035" s="41" t="s">
        <v>4082</v>
      </c>
      <c r="D1035" s="41">
        <v>4760</v>
      </c>
      <c r="E1035" s="41" t="s">
        <v>1076</v>
      </c>
      <c r="F1035" s="41" t="s">
        <v>53</v>
      </c>
      <c r="G1035" s="41" t="s">
        <v>141</v>
      </c>
      <c r="I1035" s="41" t="s">
        <v>149</v>
      </c>
      <c r="J1035" s="41" t="s">
        <v>32</v>
      </c>
      <c r="K1035" s="42"/>
      <c r="L1035" s="41" t="s">
        <v>4083</v>
      </c>
      <c r="M1035" s="41">
        <v>66</v>
      </c>
      <c r="N1035" s="41" t="s">
        <v>3751</v>
      </c>
      <c r="O1035" s="41" t="s">
        <v>482</v>
      </c>
      <c r="P1035" s="41" t="s">
        <v>172</v>
      </c>
      <c r="Q1035" s="41" t="s">
        <v>1803</v>
      </c>
      <c r="R1035" s="41" t="s">
        <v>132</v>
      </c>
      <c r="S1035" s="41" t="s">
        <v>4084</v>
      </c>
      <c r="T1035" s="41" t="s">
        <v>2169</v>
      </c>
      <c r="U1035" s="41" t="s">
        <v>40</v>
      </c>
    </row>
    <row r="1036" spans="1:21">
      <c r="A1036" s="41">
        <v>1881</v>
      </c>
      <c r="B1036" s="41" t="s">
        <v>4085</v>
      </c>
      <c r="D1036" s="41">
        <v>4759</v>
      </c>
      <c r="E1036" s="41" t="s">
        <v>987</v>
      </c>
      <c r="F1036" s="41" t="s">
        <v>53</v>
      </c>
      <c r="G1036" s="41" t="s">
        <v>175</v>
      </c>
      <c r="I1036" s="41" t="s">
        <v>411</v>
      </c>
      <c r="J1036" s="41" t="s">
        <v>32</v>
      </c>
      <c r="K1036" s="42"/>
      <c r="L1036" s="41" t="s">
        <v>4086</v>
      </c>
      <c r="M1036" s="41">
        <v>66</v>
      </c>
      <c r="N1036" s="41" t="s">
        <v>67</v>
      </c>
      <c r="O1036" s="41" t="s">
        <v>2721</v>
      </c>
      <c r="P1036" s="41" t="s">
        <v>172</v>
      </c>
      <c r="Q1036" s="41" t="s">
        <v>173</v>
      </c>
      <c r="R1036" s="41" t="s">
        <v>132</v>
      </c>
      <c r="S1036" s="41" t="s">
        <v>40</v>
      </c>
      <c r="T1036" s="41" t="s">
        <v>40</v>
      </c>
      <c r="U1036" s="41" t="s">
        <v>40</v>
      </c>
    </row>
    <row r="1037" spans="1:21">
      <c r="A1037" s="41">
        <v>1880</v>
      </c>
      <c r="B1037" s="41" t="s">
        <v>4087</v>
      </c>
      <c r="D1037" s="41">
        <v>4758</v>
      </c>
      <c r="E1037" s="41" t="s">
        <v>1227</v>
      </c>
      <c r="F1037" s="41" t="s">
        <v>42</v>
      </c>
      <c r="G1037" s="41" t="s">
        <v>1175</v>
      </c>
      <c r="I1037" s="41" t="s">
        <v>135</v>
      </c>
      <c r="J1037" s="41" t="s">
        <v>32</v>
      </c>
      <c r="K1037" s="42"/>
      <c r="L1037" s="41" t="s">
        <v>978</v>
      </c>
      <c r="M1037" s="41">
        <v>110</v>
      </c>
      <c r="N1037" s="41" t="s">
        <v>719</v>
      </c>
      <c r="O1037" s="41" t="s">
        <v>4088</v>
      </c>
      <c r="P1037" s="41" t="s">
        <v>98</v>
      </c>
      <c r="Q1037" s="41" t="s">
        <v>370</v>
      </c>
      <c r="R1037" s="41" t="s">
        <v>39</v>
      </c>
      <c r="S1037" s="41" t="s">
        <v>40</v>
      </c>
      <c r="T1037" s="41" t="s">
        <v>40</v>
      </c>
      <c r="U1037" s="41" t="s">
        <v>40</v>
      </c>
    </row>
    <row r="1038" spans="1:21">
      <c r="A1038" s="41">
        <v>1879</v>
      </c>
      <c r="B1038" s="41" t="s">
        <v>4089</v>
      </c>
      <c r="D1038" s="41">
        <v>4752</v>
      </c>
      <c r="E1038" s="41" t="s">
        <v>4090</v>
      </c>
      <c r="F1038" s="41" t="s">
        <v>42</v>
      </c>
      <c r="G1038" s="41" t="s">
        <v>141</v>
      </c>
      <c r="I1038" s="41" t="s">
        <v>231</v>
      </c>
      <c r="J1038" s="41" t="s">
        <v>32</v>
      </c>
      <c r="K1038" s="42"/>
      <c r="L1038" s="41" t="s">
        <v>4091</v>
      </c>
      <c r="M1038" s="41">
        <v>23</v>
      </c>
      <c r="N1038" s="41" t="s">
        <v>4092</v>
      </c>
      <c r="O1038" s="41" t="s">
        <v>4092</v>
      </c>
      <c r="P1038" s="41" t="s">
        <v>179</v>
      </c>
      <c r="Q1038" s="41" t="s">
        <v>284</v>
      </c>
      <c r="R1038" s="41" t="s">
        <v>39</v>
      </c>
      <c r="S1038" s="41" t="s">
        <v>40</v>
      </c>
      <c r="T1038" s="41" t="s">
        <v>604</v>
      </c>
      <c r="U1038" s="41" t="s">
        <v>40</v>
      </c>
    </row>
    <row r="1039" spans="1:21">
      <c r="A1039" s="41">
        <v>1878</v>
      </c>
      <c r="B1039" s="41" t="s">
        <v>4093</v>
      </c>
      <c r="D1039" s="41">
        <v>4751</v>
      </c>
      <c r="E1039" s="41" t="s">
        <v>1028</v>
      </c>
      <c r="F1039" s="41" t="s">
        <v>53</v>
      </c>
      <c r="G1039" s="41" t="s">
        <v>1162</v>
      </c>
      <c r="I1039" s="41" t="s">
        <v>4094</v>
      </c>
      <c r="J1039" s="41" t="s">
        <v>32</v>
      </c>
      <c r="K1039" s="42"/>
      <c r="L1039" s="41" t="s">
        <v>4095</v>
      </c>
      <c r="M1039" s="41">
        <v>13</v>
      </c>
      <c r="N1039" s="41" t="s">
        <v>790</v>
      </c>
      <c r="O1039" s="41" t="s">
        <v>2085</v>
      </c>
      <c r="P1039" s="41" t="s">
        <v>153</v>
      </c>
      <c r="Q1039" s="41" t="s">
        <v>1757</v>
      </c>
      <c r="R1039" s="41" t="s">
        <v>132</v>
      </c>
      <c r="S1039" s="41" t="s">
        <v>40</v>
      </c>
      <c r="T1039" s="41" t="s">
        <v>40</v>
      </c>
      <c r="U1039" s="41" t="s">
        <v>40</v>
      </c>
    </row>
    <row r="1040" spans="1:21">
      <c r="A1040" s="41">
        <v>1877</v>
      </c>
      <c r="B1040" s="41" t="s">
        <v>4096</v>
      </c>
      <c r="D1040" s="41">
        <v>4750</v>
      </c>
      <c r="E1040" s="41" t="s">
        <v>3467</v>
      </c>
      <c r="F1040" s="41" t="s">
        <v>28</v>
      </c>
      <c r="G1040" s="41" t="s">
        <v>43</v>
      </c>
      <c r="I1040" s="41" t="s">
        <v>4097</v>
      </c>
      <c r="J1040" s="41" t="s">
        <v>672</v>
      </c>
      <c r="K1040" s="42"/>
      <c r="L1040" s="41" t="s">
        <v>4098</v>
      </c>
      <c r="M1040" s="41">
        <v>220</v>
      </c>
      <c r="N1040" s="41" t="s">
        <v>4099</v>
      </c>
      <c r="O1040" s="41" t="s">
        <v>2566</v>
      </c>
      <c r="P1040" s="41" t="s">
        <v>179</v>
      </c>
      <c r="Q1040" s="41" t="s">
        <v>1116</v>
      </c>
      <c r="R1040" s="41" t="s">
        <v>39</v>
      </c>
      <c r="S1040" s="41" t="s">
        <v>40</v>
      </c>
      <c r="T1040" s="41" t="s">
        <v>40</v>
      </c>
      <c r="U1040" s="41" t="s">
        <v>40</v>
      </c>
    </row>
    <row r="1041" spans="1:21">
      <c r="A1041" s="41">
        <v>1876</v>
      </c>
      <c r="B1041" s="41" t="s">
        <v>4100</v>
      </c>
      <c r="D1041" s="41">
        <v>4749</v>
      </c>
      <c r="E1041" s="41" t="s">
        <v>4101</v>
      </c>
      <c r="F1041" s="41" t="s">
        <v>28</v>
      </c>
      <c r="G1041" s="41" t="s">
        <v>307</v>
      </c>
      <c r="I1041" s="41" t="s">
        <v>201</v>
      </c>
      <c r="J1041" s="41" t="s">
        <v>32</v>
      </c>
      <c r="K1041" s="42"/>
      <c r="L1041" s="41" t="s">
        <v>4102</v>
      </c>
      <c r="M1041" s="41">
        <v>220</v>
      </c>
      <c r="N1041" s="41" t="s">
        <v>311</v>
      </c>
      <c r="O1041" s="41" t="s">
        <v>311</v>
      </c>
      <c r="P1041" s="41" t="s">
        <v>98</v>
      </c>
      <c r="Q1041" s="41" t="s">
        <v>99</v>
      </c>
      <c r="R1041" s="41" t="s">
        <v>39</v>
      </c>
      <c r="S1041" s="41" t="s">
        <v>4103</v>
      </c>
      <c r="T1041" s="41" t="s">
        <v>3491</v>
      </c>
      <c r="U1041" s="41" t="s">
        <v>40</v>
      </c>
    </row>
    <row r="1042" spans="1:21">
      <c r="A1042" s="41">
        <v>1875</v>
      </c>
      <c r="B1042" s="41" t="s">
        <v>4104</v>
      </c>
      <c r="D1042" s="41">
        <v>4748</v>
      </c>
      <c r="E1042" s="41" t="s">
        <v>1395</v>
      </c>
      <c r="F1042" s="41" t="s">
        <v>42</v>
      </c>
      <c r="G1042" s="41" t="s">
        <v>141</v>
      </c>
      <c r="I1042" s="41" t="s">
        <v>1396</v>
      </c>
      <c r="J1042" s="41" t="s">
        <v>32</v>
      </c>
      <c r="K1042" s="42"/>
      <c r="L1042" s="41" t="s">
        <v>1397</v>
      </c>
      <c r="M1042" s="41">
        <v>33</v>
      </c>
      <c r="N1042" s="41" t="s">
        <v>1398</v>
      </c>
      <c r="O1042" s="41" t="s">
        <v>77</v>
      </c>
      <c r="P1042" s="41" t="s">
        <v>98</v>
      </c>
      <c r="Q1042" s="41" t="s">
        <v>569</v>
      </c>
      <c r="R1042" s="41" t="s">
        <v>39</v>
      </c>
      <c r="S1042" s="41" t="s">
        <v>40</v>
      </c>
      <c r="T1042" s="41" t="s">
        <v>1894</v>
      </c>
      <c r="U1042" s="41" t="s">
        <v>40</v>
      </c>
    </row>
    <row r="1043" spans="1:21">
      <c r="A1043" s="41">
        <v>1874</v>
      </c>
      <c r="B1043" s="41" t="s">
        <v>4105</v>
      </c>
      <c r="D1043" s="41">
        <v>4747</v>
      </c>
      <c r="E1043" s="41" t="s">
        <v>1395</v>
      </c>
      <c r="F1043" s="41" t="s">
        <v>42</v>
      </c>
      <c r="G1043" s="41" t="s">
        <v>121</v>
      </c>
      <c r="I1043" s="41" t="s">
        <v>45</v>
      </c>
      <c r="J1043" s="41" t="s">
        <v>32</v>
      </c>
      <c r="K1043" s="42"/>
      <c r="L1043" s="41" t="s">
        <v>1400</v>
      </c>
      <c r="M1043" s="41">
        <v>33</v>
      </c>
      <c r="N1043" s="41" t="s">
        <v>1401</v>
      </c>
      <c r="O1043" s="41" t="s">
        <v>36</v>
      </c>
      <c r="P1043" s="41" t="s">
        <v>179</v>
      </c>
      <c r="Q1043" s="41" t="s">
        <v>592</v>
      </c>
      <c r="R1043" s="41" t="s">
        <v>39</v>
      </c>
      <c r="S1043" s="41" t="s">
        <v>40</v>
      </c>
      <c r="T1043" s="41" t="s">
        <v>1894</v>
      </c>
      <c r="U1043" s="41" t="s">
        <v>40</v>
      </c>
    </row>
    <row r="1044" spans="1:21">
      <c r="A1044" s="41">
        <v>1873</v>
      </c>
      <c r="B1044" s="41" t="s">
        <v>4106</v>
      </c>
      <c r="D1044" s="41">
        <v>4746</v>
      </c>
      <c r="E1044" s="41" t="s">
        <v>1395</v>
      </c>
      <c r="F1044" s="41" t="s">
        <v>42</v>
      </c>
      <c r="G1044" s="41" t="s">
        <v>141</v>
      </c>
      <c r="I1044" s="41" t="s">
        <v>1404</v>
      </c>
      <c r="J1044" s="41" t="s">
        <v>32</v>
      </c>
      <c r="K1044" s="42"/>
      <c r="L1044" s="41" t="s">
        <v>4107</v>
      </c>
      <c r="M1044" s="41">
        <v>33</v>
      </c>
      <c r="N1044" s="41" t="s">
        <v>1398</v>
      </c>
      <c r="O1044" s="41" t="s">
        <v>77</v>
      </c>
      <c r="P1044" s="41" t="s">
        <v>179</v>
      </c>
      <c r="Q1044" s="41" t="s">
        <v>284</v>
      </c>
      <c r="R1044" s="41" t="s">
        <v>39</v>
      </c>
      <c r="S1044" s="41" t="s">
        <v>40</v>
      </c>
      <c r="T1044" s="41" t="s">
        <v>1894</v>
      </c>
      <c r="U1044" s="41" t="s">
        <v>40</v>
      </c>
    </row>
    <row r="1045" spans="1:21">
      <c r="A1045" s="41">
        <v>1872</v>
      </c>
      <c r="B1045" s="41" t="s">
        <v>4108</v>
      </c>
      <c r="D1045" s="41">
        <v>4745</v>
      </c>
      <c r="E1045" s="41" t="s">
        <v>1395</v>
      </c>
      <c r="F1045" s="41" t="s">
        <v>42</v>
      </c>
      <c r="G1045" s="41" t="s">
        <v>141</v>
      </c>
      <c r="I1045" s="41" t="s">
        <v>1396</v>
      </c>
      <c r="J1045" s="41" t="s">
        <v>32</v>
      </c>
      <c r="K1045" s="42"/>
      <c r="L1045" s="41" t="s">
        <v>1407</v>
      </c>
      <c r="M1045" s="41">
        <v>33</v>
      </c>
      <c r="N1045" s="41" t="s">
        <v>1408</v>
      </c>
      <c r="O1045" s="41" t="s">
        <v>77</v>
      </c>
      <c r="P1045" s="41" t="s">
        <v>179</v>
      </c>
      <c r="Q1045" s="41" t="s">
        <v>532</v>
      </c>
      <c r="R1045" s="41" t="s">
        <v>39</v>
      </c>
      <c r="S1045" s="41" t="s">
        <v>40</v>
      </c>
      <c r="T1045" s="41" t="s">
        <v>1894</v>
      </c>
      <c r="U1045" s="41" t="s">
        <v>40</v>
      </c>
    </row>
    <row r="1046" spans="1:21">
      <c r="A1046" s="41">
        <v>1871</v>
      </c>
      <c r="B1046" s="41" t="s">
        <v>4109</v>
      </c>
      <c r="D1046" s="41">
        <v>4744</v>
      </c>
      <c r="E1046" s="41" t="s">
        <v>1276</v>
      </c>
      <c r="F1046" s="41" t="s">
        <v>28</v>
      </c>
      <c r="G1046" s="41" t="s">
        <v>301</v>
      </c>
      <c r="I1046" s="41" t="s">
        <v>325</v>
      </c>
      <c r="J1046" s="41" t="s">
        <v>32</v>
      </c>
      <c r="K1046" s="42"/>
      <c r="L1046" s="41" t="s">
        <v>4110</v>
      </c>
      <c r="M1046" s="41">
        <v>220</v>
      </c>
      <c r="N1046" s="41" t="s">
        <v>4111</v>
      </c>
      <c r="O1046" s="41" t="s">
        <v>4111</v>
      </c>
      <c r="P1046" s="41" t="s">
        <v>179</v>
      </c>
      <c r="Q1046" s="41" t="s">
        <v>1116</v>
      </c>
      <c r="R1046" s="41" t="s">
        <v>39</v>
      </c>
      <c r="S1046" s="41" t="s">
        <v>40</v>
      </c>
      <c r="T1046" s="41" t="s">
        <v>1773</v>
      </c>
      <c r="U1046" s="41" t="s">
        <v>3157</v>
      </c>
    </row>
    <row r="1047" spans="1:21">
      <c r="A1047" s="41">
        <v>1870</v>
      </c>
      <c r="B1047" s="41" t="s">
        <v>4112</v>
      </c>
      <c r="D1047" s="41">
        <v>4743</v>
      </c>
      <c r="E1047" s="41" t="s">
        <v>4113</v>
      </c>
      <c r="F1047" s="41" t="s">
        <v>53</v>
      </c>
      <c r="G1047" s="41" t="s">
        <v>64</v>
      </c>
      <c r="I1047" s="41" t="s">
        <v>4114</v>
      </c>
      <c r="J1047" s="41" t="s">
        <v>380</v>
      </c>
      <c r="K1047" s="42"/>
      <c r="L1047" s="41" t="s">
        <v>4115</v>
      </c>
      <c r="M1047" s="41">
        <v>220</v>
      </c>
      <c r="N1047" s="41" t="s">
        <v>59</v>
      </c>
      <c r="O1047" s="41" t="s">
        <v>1525</v>
      </c>
      <c r="P1047" s="41" t="s">
        <v>37</v>
      </c>
      <c r="Q1047" s="41" t="s">
        <v>969</v>
      </c>
      <c r="R1047" s="41" t="s">
        <v>62</v>
      </c>
      <c r="S1047" s="41" t="s">
        <v>40</v>
      </c>
      <c r="T1047" s="41" t="s">
        <v>40</v>
      </c>
      <c r="U1047" s="41" t="s">
        <v>40</v>
      </c>
    </row>
    <row r="1048" spans="1:21">
      <c r="A1048" s="41">
        <v>1869</v>
      </c>
      <c r="B1048" s="41" t="s">
        <v>4116</v>
      </c>
      <c r="D1048" s="41">
        <v>4738</v>
      </c>
      <c r="E1048" s="41" t="s">
        <v>1227</v>
      </c>
      <c r="F1048" s="41" t="s">
        <v>28</v>
      </c>
      <c r="G1048" s="41" t="s">
        <v>301</v>
      </c>
      <c r="I1048" s="41" t="s">
        <v>1686</v>
      </c>
      <c r="J1048" s="41" t="s">
        <v>380</v>
      </c>
      <c r="K1048" s="42"/>
      <c r="L1048" s="41" t="s">
        <v>4117</v>
      </c>
      <c r="M1048" s="41">
        <v>110</v>
      </c>
      <c r="N1048" s="41" t="s">
        <v>4118</v>
      </c>
      <c r="O1048" s="41" t="s">
        <v>4119</v>
      </c>
      <c r="P1048" s="41" t="s">
        <v>83</v>
      </c>
      <c r="Q1048" s="41" t="s">
        <v>4120</v>
      </c>
      <c r="R1048" s="41" t="s">
        <v>39</v>
      </c>
      <c r="S1048" s="41" t="s">
        <v>4121</v>
      </c>
      <c r="T1048" s="41" t="s">
        <v>3157</v>
      </c>
      <c r="U1048" s="41" t="s">
        <v>40</v>
      </c>
    </row>
    <row r="1049" spans="1:21">
      <c r="A1049" s="41">
        <v>1868</v>
      </c>
      <c r="B1049" s="41" t="s">
        <v>4122</v>
      </c>
      <c r="D1049" s="41">
        <v>4737</v>
      </c>
      <c r="E1049" s="41" t="s">
        <v>1617</v>
      </c>
      <c r="F1049" s="41" t="s">
        <v>42</v>
      </c>
      <c r="G1049" s="41" t="s">
        <v>43</v>
      </c>
      <c r="I1049" s="41" t="s">
        <v>1131</v>
      </c>
      <c r="J1049" s="41" t="s">
        <v>32</v>
      </c>
      <c r="K1049" s="42"/>
      <c r="L1049" s="41" t="s">
        <v>4123</v>
      </c>
      <c r="M1049" s="41">
        <v>23</v>
      </c>
      <c r="N1049" s="41" t="s">
        <v>1052</v>
      </c>
      <c r="O1049" s="41" t="s">
        <v>299</v>
      </c>
      <c r="P1049" s="41" t="s">
        <v>153</v>
      </c>
      <c r="Q1049" s="41" t="s">
        <v>153</v>
      </c>
      <c r="R1049" s="41" t="s">
        <v>39</v>
      </c>
      <c r="S1049" s="41" t="s">
        <v>40</v>
      </c>
      <c r="T1049" s="41" t="s">
        <v>604</v>
      </c>
      <c r="U1049" s="41" t="s">
        <v>40</v>
      </c>
    </row>
    <row r="1050" spans="1:21">
      <c r="A1050" s="41">
        <v>1867</v>
      </c>
      <c r="B1050" s="41" t="s">
        <v>4124</v>
      </c>
      <c r="D1050" s="41">
        <v>4736</v>
      </c>
      <c r="E1050" s="41" t="s">
        <v>1028</v>
      </c>
      <c r="F1050" s="41" t="s">
        <v>53</v>
      </c>
      <c r="G1050" s="41" t="s">
        <v>64</v>
      </c>
      <c r="I1050" s="41" t="s">
        <v>45</v>
      </c>
      <c r="J1050" s="41" t="s">
        <v>32</v>
      </c>
      <c r="K1050" s="42"/>
      <c r="L1050" s="41" t="s">
        <v>4125</v>
      </c>
      <c r="M1050" s="41">
        <v>220</v>
      </c>
      <c r="N1050" s="41" t="s">
        <v>4126</v>
      </c>
      <c r="O1050" s="41" t="s">
        <v>452</v>
      </c>
      <c r="P1050" s="41" t="s">
        <v>98</v>
      </c>
      <c r="Q1050" s="41" t="s">
        <v>98</v>
      </c>
      <c r="R1050" s="41" t="s">
        <v>132</v>
      </c>
      <c r="S1050" s="41" t="s">
        <v>40</v>
      </c>
      <c r="T1050" s="41" t="s">
        <v>40</v>
      </c>
      <c r="U1050" s="41" t="s">
        <v>40</v>
      </c>
    </row>
    <row r="1051" spans="1:21">
      <c r="A1051" s="41">
        <v>1866</v>
      </c>
      <c r="B1051" s="41" t="s">
        <v>4127</v>
      </c>
      <c r="D1051" s="41">
        <v>4731</v>
      </c>
      <c r="E1051" s="41" t="s">
        <v>1076</v>
      </c>
      <c r="F1051" s="41" t="s">
        <v>53</v>
      </c>
      <c r="G1051" s="41" t="s">
        <v>54</v>
      </c>
      <c r="I1051" s="41" t="s">
        <v>56</v>
      </c>
      <c r="J1051" s="41" t="s">
        <v>32</v>
      </c>
      <c r="K1051" s="42"/>
      <c r="L1051" s="41" t="s">
        <v>247</v>
      </c>
      <c r="M1051" s="41">
        <v>154</v>
      </c>
      <c r="N1051" s="41" t="s">
        <v>4128</v>
      </c>
      <c r="O1051" s="41" t="s">
        <v>4129</v>
      </c>
      <c r="P1051" s="41" t="s">
        <v>68</v>
      </c>
      <c r="Q1051" s="41" t="s">
        <v>159</v>
      </c>
      <c r="R1051" s="41" t="s">
        <v>132</v>
      </c>
      <c r="S1051" s="41" t="s">
        <v>40</v>
      </c>
      <c r="T1051" s="41" t="s">
        <v>40</v>
      </c>
      <c r="U1051" s="41" t="s">
        <v>40</v>
      </c>
    </row>
    <row r="1052" spans="1:21">
      <c r="A1052" s="41">
        <v>1865</v>
      </c>
      <c r="B1052" s="41" t="s">
        <v>156</v>
      </c>
      <c r="D1052" s="41">
        <v>4734</v>
      </c>
      <c r="E1052" s="41" t="s">
        <v>27</v>
      </c>
      <c r="F1052" s="41" t="s">
        <v>53</v>
      </c>
      <c r="G1052" s="41" t="s">
        <v>127</v>
      </c>
      <c r="I1052" s="41" t="s">
        <v>56</v>
      </c>
      <c r="J1052" s="41" t="s">
        <v>32</v>
      </c>
      <c r="K1052" s="42"/>
      <c r="L1052" s="41" t="s">
        <v>158</v>
      </c>
      <c r="M1052" s="41">
        <v>110</v>
      </c>
      <c r="N1052" s="41" t="s">
        <v>67</v>
      </c>
      <c r="O1052" s="41" t="s">
        <v>77</v>
      </c>
      <c r="P1052" s="41" t="s">
        <v>68</v>
      </c>
      <c r="Q1052" s="41" t="s">
        <v>159</v>
      </c>
      <c r="R1052" s="41" t="s">
        <v>62</v>
      </c>
      <c r="S1052" s="41" t="s">
        <v>40</v>
      </c>
      <c r="T1052" s="41" t="s">
        <v>40</v>
      </c>
      <c r="U1052" s="41" t="s">
        <v>40</v>
      </c>
    </row>
    <row r="1053" spans="1:21">
      <c r="A1053" s="41">
        <v>1864</v>
      </c>
      <c r="B1053" s="41" t="s">
        <v>160</v>
      </c>
      <c r="D1053" s="41">
        <v>4735</v>
      </c>
      <c r="E1053" s="41" t="s">
        <v>27</v>
      </c>
      <c r="F1053" s="41" t="s">
        <v>53</v>
      </c>
      <c r="G1053" s="41" t="s">
        <v>141</v>
      </c>
      <c r="I1053" s="41" t="s">
        <v>162</v>
      </c>
      <c r="J1053" s="41" t="s">
        <v>32</v>
      </c>
      <c r="K1053" s="42"/>
      <c r="L1053" s="41" t="s">
        <v>163</v>
      </c>
      <c r="M1053" s="41">
        <v>154</v>
      </c>
      <c r="N1053" s="41" t="s">
        <v>67</v>
      </c>
      <c r="O1053" s="41" t="s">
        <v>97</v>
      </c>
      <c r="P1053" s="41" t="s">
        <v>68</v>
      </c>
      <c r="Q1053" s="41" t="s">
        <v>159</v>
      </c>
      <c r="R1053" s="41" t="s">
        <v>62</v>
      </c>
      <c r="S1053" s="41" t="s">
        <v>164</v>
      </c>
      <c r="T1053" s="41" t="s">
        <v>165</v>
      </c>
      <c r="U1053" s="41" t="s">
        <v>40</v>
      </c>
    </row>
    <row r="1054" spans="1:21">
      <c r="A1054" s="41">
        <v>1863</v>
      </c>
      <c r="B1054" s="41" t="s">
        <v>166</v>
      </c>
      <c r="D1054" s="41">
        <v>4732</v>
      </c>
      <c r="E1054" s="41" t="s">
        <v>27</v>
      </c>
      <c r="F1054" s="41" t="s">
        <v>53</v>
      </c>
      <c r="G1054" s="41" t="s">
        <v>127</v>
      </c>
      <c r="I1054" s="41" t="s">
        <v>45</v>
      </c>
      <c r="J1054" s="41" t="s">
        <v>32</v>
      </c>
      <c r="K1054" s="42"/>
      <c r="L1054" s="41" t="s">
        <v>168</v>
      </c>
      <c r="M1054" s="41">
        <v>220</v>
      </c>
      <c r="N1054" s="41" t="s">
        <v>67</v>
      </c>
      <c r="O1054" s="41" t="s">
        <v>97</v>
      </c>
      <c r="P1054" s="41" t="s">
        <v>68</v>
      </c>
      <c r="Q1054" s="41" t="s">
        <v>159</v>
      </c>
      <c r="R1054" s="41" t="s">
        <v>62</v>
      </c>
      <c r="S1054" s="41" t="s">
        <v>40</v>
      </c>
      <c r="T1054" s="41" t="s">
        <v>40</v>
      </c>
      <c r="U1054" s="41" t="s">
        <v>40</v>
      </c>
    </row>
    <row r="1055" spans="1:21">
      <c r="A1055" s="41">
        <v>1862</v>
      </c>
      <c r="B1055" s="41" t="s">
        <v>4130</v>
      </c>
      <c r="D1055" s="41">
        <v>4733</v>
      </c>
      <c r="E1055" s="41" t="s">
        <v>869</v>
      </c>
      <c r="F1055" s="41" t="s">
        <v>53</v>
      </c>
      <c r="G1055" s="41" t="s">
        <v>141</v>
      </c>
      <c r="I1055" s="41" t="s">
        <v>1188</v>
      </c>
      <c r="J1055" s="41" t="s">
        <v>32</v>
      </c>
      <c r="K1055" s="42"/>
      <c r="L1055" s="41" t="s">
        <v>2723</v>
      </c>
      <c r="M1055" s="41">
        <v>220</v>
      </c>
      <c r="N1055" s="41" t="s">
        <v>805</v>
      </c>
      <c r="O1055" s="41" t="s">
        <v>4131</v>
      </c>
      <c r="P1055" s="41" t="s">
        <v>68</v>
      </c>
      <c r="Q1055" s="41" t="s">
        <v>403</v>
      </c>
      <c r="R1055" s="41" t="s">
        <v>62</v>
      </c>
      <c r="S1055" s="41" t="s">
        <v>4132</v>
      </c>
      <c r="T1055" s="41" t="s">
        <v>165</v>
      </c>
      <c r="U1055" s="41" t="s">
        <v>40</v>
      </c>
    </row>
    <row r="1056" spans="1:21">
      <c r="A1056" s="41">
        <v>1856</v>
      </c>
      <c r="B1056" s="41" t="s">
        <v>169</v>
      </c>
      <c r="D1056" s="41">
        <v>4723</v>
      </c>
      <c r="E1056" s="41" t="s">
        <v>27</v>
      </c>
      <c r="F1056" s="41" t="s">
        <v>53</v>
      </c>
      <c r="G1056" s="41" t="s">
        <v>54</v>
      </c>
      <c r="I1056" s="41" t="s">
        <v>56</v>
      </c>
      <c r="J1056" s="41" t="s">
        <v>32</v>
      </c>
      <c r="K1056" s="42"/>
      <c r="L1056" s="41" t="s">
        <v>171</v>
      </c>
      <c r="M1056" s="41">
        <v>66</v>
      </c>
      <c r="N1056" s="41" t="s">
        <v>67</v>
      </c>
      <c r="O1056" s="41" t="s">
        <v>97</v>
      </c>
      <c r="P1056" s="41" t="s">
        <v>172</v>
      </c>
      <c r="Q1056" s="41" t="s">
        <v>173</v>
      </c>
      <c r="R1056" s="41" t="s">
        <v>132</v>
      </c>
      <c r="S1056" s="41" t="s">
        <v>40</v>
      </c>
      <c r="T1056" s="41" t="s">
        <v>40</v>
      </c>
      <c r="U1056" s="41" t="s">
        <v>40</v>
      </c>
    </row>
    <row r="1057" spans="1:21">
      <c r="A1057" s="41">
        <v>1855</v>
      </c>
      <c r="B1057" s="41" t="s">
        <v>4133</v>
      </c>
      <c r="D1057" s="41">
        <v>4722</v>
      </c>
      <c r="E1057" s="41" t="s">
        <v>4134</v>
      </c>
      <c r="F1057" s="41" t="s">
        <v>42</v>
      </c>
      <c r="G1057" s="41" t="s">
        <v>64</v>
      </c>
      <c r="I1057" s="41" t="s">
        <v>338</v>
      </c>
      <c r="J1057" s="41" t="s">
        <v>32</v>
      </c>
      <c r="K1057" s="42"/>
      <c r="L1057" s="41" t="s">
        <v>4135</v>
      </c>
      <c r="M1057" s="41">
        <v>33</v>
      </c>
      <c r="N1057" s="41" t="s">
        <v>4136</v>
      </c>
      <c r="O1057" s="41" t="s">
        <v>4137</v>
      </c>
      <c r="P1057" s="41" t="s">
        <v>546</v>
      </c>
      <c r="Q1057" s="41" t="s">
        <v>2100</v>
      </c>
      <c r="R1057" s="41" t="s">
        <v>39</v>
      </c>
      <c r="S1057" s="41" t="s">
        <v>40</v>
      </c>
      <c r="T1057" s="41" t="s">
        <v>604</v>
      </c>
      <c r="U1057" s="41" t="s">
        <v>40</v>
      </c>
    </row>
    <row r="1058" spans="1:21">
      <c r="A1058" s="41">
        <v>1854</v>
      </c>
      <c r="B1058" s="41" t="s">
        <v>4138</v>
      </c>
      <c r="D1058" s="41">
        <v>4720</v>
      </c>
      <c r="E1058" s="41" t="s">
        <v>2487</v>
      </c>
      <c r="F1058" s="41" t="s">
        <v>53</v>
      </c>
      <c r="G1058" s="41" t="s">
        <v>141</v>
      </c>
      <c r="I1058" s="41" t="s">
        <v>56</v>
      </c>
      <c r="J1058" s="41" t="s">
        <v>32</v>
      </c>
      <c r="K1058" s="42"/>
      <c r="L1058" s="41" t="s">
        <v>3285</v>
      </c>
      <c r="M1058" s="41">
        <v>110</v>
      </c>
      <c r="N1058" s="41" t="s">
        <v>4139</v>
      </c>
      <c r="O1058" s="41" t="s">
        <v>4140</v>
      </c>
      <c r="P1058" s="41" t="s">
        <v>179</v>
      </c>
      <c r="Q1058" s="41" t="s">
        <v>538</v>
      </c>
      <c r="R1058" s="41" t="s">
        <v>132</v>
      </c>
      <c r="S1058" s="41" t="s">
        <v>4141</v>
      </c>
      <c r="T1058" s="41" t="s">
        <v>2145</v>
      </c>
      <c r="U1058" s="41" t="s">
        <v>40</v>
      </c>
    </row>
    <row r="1059" spans="1:21">
      <c r="A1059" s="41">
        <v>1853</v>
      </c>
      <c r="B1059" s="41" t="s">
        <v>4142</v>
      </c>
      <c r="D1059" s="41">
        <v>4719</v>
      </c>
      <c r="E1059" s="41" t="s">
        <v>1638</v>
      </c>
      <c r="F1059" s="41" t="s">
        <v>28</v>
      </c>
      <c r="G1059" s="41" t="s">
        <v>64</v>
      </c>
      <c r="I1059" s="41" t="s">
        <v>1480</v>
      </c>
      <c r="J1059" s="41" t="s">
        <v>380</v>
      </c>
      <c r="K1059" s="42"/>
      <c r="L1059" s="41" t="s">
        <v>4143</v>
      </c>
      <c r="M1059" s="41">
        <v>220</v>
      </c>
      <c r="N1059" s="41" t="s">
        <v>151</v>
      </c>
      <c r="O1059" s="41" t="s">
        <v>36</v>
      </c>
      <c r="P1059" s="41" t="s">
        <v>37</v>
      </c>
      <c r="Q1059" s="41" t="s">
        <v>969</v>
      </c>
      <c r="R1059" s="41" t="s">
        <v>39</v>
      </c>
      <c r="S1059" s="41" t="s">
        <v>40</v>
      </c>
      <c r="T1059" s="41" t="s">
        <v>40</v>
      </c>
      <c r="U1059" s="41" t="s">
        <v>40</v>
      </c>
    </row>
    <row r="1060" spans="1:21">
      <c r="A1060" s="41">
        <v>1851</v>
      </c>
      <c r="B1060" s="41" t="s">
        <v>4144</v>
      </c>
      <c r="D1060" s="41">
        <v>4721</v>
      </c>
      <c r="E1060" s="41" t="s">
        <v>4145</v>
      </c>
      <c r="F1060" s="41" t="s">
        <v>42</v>
      </c>
      <c r="G1060" s="41" t="s">
        <v>141</v>
      </c>
      <c r="I1060" s="41" t="s">
        <v>231</v>
      </c>
      <c r="J1060" s="41" t="s">
        <v>295</v>
      </c>
      <c r="K1060" s="42"/>
      <c r="L1060" s="41" t="s">
        <v>4146</v>
      </c>
      <c r="M1060" s="41">
        <v>33</v>
      </c>
      <c r="N1060" s="41" t="s">
        <v>4147</v>
      </c>
      <c r="O1060" s="41" t="s">
        <v>36</v>
      </c>
      <c r="P1060" s="41" t="s">
        <v>179</v>
      </c>
      <c r="Q1060" s="41" t="s">
        <v>592</v>
      </c>
      <c r="R1060" s="41" t="s">
        <v>39</v>
      </c>
      <c r="S1060" s="41" t="s">
        <v>40</v>
      </c>
      <c r="T1060" s="41" t="s">
        <v>3491</v>
      </c>
      <c r="U1060" s="41" t="s">
        <v>40</v>
      </c>
    </row>
    <row r="1061" spans="1:21">
      <c r="A1061" s="41">
        <v>1850</v>
      </c>
      <c r="B1061" s="41" t="s">
        <v>174</v>
      </c>
      <c r="D1061" s="41">
        <v>4718</v>
      </c>
      <c r="E1061" s="41" t="s">
        <v>27</v>
      </c>
      <c r="F1061" s="41" t="s">
        <v>53</v>
      </c>
      <c r="G1061" s="41" t="s">
        <v>141</v>
      </c>
      <c r="I1061" s="41" t="s">
        <v>56</v>
      </c>
      <c r="J1061" s="41" t="s">
        <v>32</v>
      </c>
      <c r="K1061" s="42"/>
      <c r="L1061" s="41" t="s">
        <v>177</v>
      </c>
      <c r="M1061" s="41">
        <v>110</v>
      </c>
      <c r="N1061" s="41" t="s">
        <v>67</v>
      </c>
      <c r="O1061" s="41" t="s">
        <v>178</v>
      </c>
      <c r="P1061" s="41" t="s">
        <v>179</v>
      </c>
      <c r="Q1061" s="41" t="s">
        <v>180</v>
      </c>
      <c r="R1061" s="41" t="s">
        <v>132</v>
      </c>
      <c r="S1061" s="41" t="s">
        <v>4148</v>
      </c>
      <c r="T1061" s="41" t="s">
        <v>3157</v>
      </c>
      <c r="U1061" s="41" t="s">
        <v>40</v>
      </c>
    </row>
    <row r="1062" spans="1:21">
      <c r="A1062" s="41">
        <v>1848</v>
      </c>
      <c r="B1062" s="41" t="s">
        <v>4149</v>
      </c>
      <c r="D1062" s="41">
        <v>4714</v>
      </c>
      <c r="E1062" s="41" t="s">
        <v>1286</v>
      </c>
      <c r="F1062" s="41" t="s">
        <v>42</v>
      </c>
      <c r="G1062" s="41" t="s">
        <v>121</v>
      </c>
      <c r="I1062" s="41" t="s">
        <v>162</v>
      </c>
      <c r="J1062" s="41" t="s">
        <v>32</v>
      </c>
      <c r="K1062" s="42"/>
      <c r="L1062" s="41" t="s">
        <v>4150</v>
      </c>
      <c r="M1062" s="41">
        <v>33</v>
      </c>
      <c r="N1062" s="41" t="s">
        <v>2299</v>
      </c>
      <c r="O1062" s="41" t="s">
        <v>2299</v>
      </c>
      <c r="P1062" s="41" t="s">
        <v>98</v>
      </c>
      <c r="Q1062" s="41" t="s">
        <v>116</v>
      </c>
      <c r="R1062" s="41" t="s">
        <v>39</v>
      </c>
      <c r="S1062" s="41" t="s">
        <v>40</v>
      </c>
      <c r="T1062" s="41" t="s">
        <v>2101</v>
      </c>
      <c r="U1062" s="41" t="s">
        <v>40</v>
      </c>
    </row>
    <row r="1063" spans="1:21">
      <c r="A1063" s="41">
        <v>1847</v>
      </c>
      <c r="B1063" s="41" t="s">
        <v>4151</v>
      </c>
      <c r="D1063" s="41">
        <v>4713</v>
      </c>
      <c r="E1063" s="41" t="s">
        <v>4152</v>
      </c>
      <c r="F1063" s="41" t="s">
        <v>53</v>
      </c>
      <c r="G1063" s="41" t="s">
        <v>141</v>
      </c>
      <c r="I1063" s="41" t="s">
        <v>392</v>
      </c>
      <c r="J1063" s="41" t="s">
        <v>32</v>
      </c>
      <c r="K1063" s="42"/>
      <c r="L1063" s="41" t="s">
        <v>4153</v>
      </c>
      <c r="M1063" s="41">
        <v>500</v>
      </c>
      <c r="N1063" s="41" t="s">
        <v>1741</v>
      </c>
      <c r="O1063" s="41" t="s">
        <v>4154</v>
      </c>
      <c r="P1063" s="41" t="s">
        <v>179</v>
      </c>
      <c r="Q1063" s="41" t="s">
        <v>524</v>
      </c>
      <c r="R1063" s="41" t="s">
        <v>62</v>
      </c>
      <c r="S1063" s="41" t="s">
        <v>4155</v>
      </c>
      <c r="T1063" s="41" t="s">
        <v>1449</v>
      </c>
      <c r="U1063" s="41" t="s">
        <v>40</v>
      </c>
    </row>
    <row r="1064" spans="1:21">
      <c r="A1064" s="41">
        <v>1846</v>
      </c>
      <c r="B1064" s="41" t="s">
        <v>4156</v>
      </c>
      <c r="D1064" s="41">
        <v>4711</v>
      </c>
      <c r="E1064" s="41" t="s">
        <v>1141</v>
      </c>
      <c r="F1064" s="41" t="s">
        <v>53</v>
      </c>
      <c r="G1064" s="41" t="s">
        <v>43</v>
      </c>
      <c r="I1064" s="41" t="s">
        <v>521</v>
      </c>
      <c r="J1064" s="41" t="s">
        <v>672</v>
      </c>
      <c r="K1064" s="42"/>
      <c r="L1064" s="41" t="s">
        <v>4157</v>
      </c>
      <c r="M1064" s="41">
        <v>13</v>
      </c>
      <c r="N1064" s="41" t="s">
        <v>4158</v>
      </c>
      <c r="O1064" s="41" t="s">
        <v>663</v>
      </c>
      <c r="P1064" s="41" t="s">
        <v>98</v>
      </c>
      <c r="Q1064" s="41" t="s">
        <v>98</v>
      </c>
      <c r="R1064" s="41" t="s">
        <v>132</v>
      </c>
      <c r="S1064" s="41" t="s">
        <v>40</v>
      </c>
      <c r="T1064" s="41" t="s">
        <v>40</v>
      </c>
      <c r="U1064" s="41" t="s">
        <v>40</v>
      </c>
    </row>
    <row r="1065" spans="1:21">
      <c r="A1065" s="41">
        <v>1845</v>
      </c>
      <c r="B1065" s="41" t="s">
        <v>4159</v>
      </c>
      <c r="D1065" s="41">
        <v>4710</v>
      </c>
      <c r="E1065" s="41" t="s">
        <v>4160</v>
      </c>
      <c r="F1065" s="41" t="s">
        <v>53</v>
      </c>
      <c r="G1065" s="41" t="s">
        <v>141</v>
      </c>
      <c r="I1065" s="41" t="s">
        <v>102</v>
      </c>
      <c r="J1065" s="41" t="s">
        <v>32</v>
      </c>
      <c r="K1065" s="42"/>
      <c r="L1065" s="41" t="s">
        <v>4161</v>
      </c>
      <c r="M1065" s="41">
        <v>500</v>
      </c>
      <c r="N1065" s="41" t="s">
        <v>1741</v>
      </c>
      <c r="O1065" s="41" t="s">
        <v>777</v>
      </c>
      <c r="P1065" s="41" t="s">
        <v>179</v>
      </c>
      <c r="Q1065" s="41" t="s">
        <v>532</v>
      </c>
      <c r="R1065" s="41" t="s">
        <v>62</v>
      </c>
      <c r="S1065" s="41" t="s">
        <v>4162</v>
      </c>
      <c r="T1065" s="41" t="s">
        <v>1796</v>
      </c>
      <c r="U1065" s="41" t="s">
        <v>40</v>
      </c>
    </row>
    <row r="1066" spans="1:21">
      <c r="A1066" s="41">
        <v>1844</v>
      </c>
      <c r="B1066" s="41" t="s">
        <v>4163</v>
      </c>
      <c r="D1066" s="41">
        <v>4709</v>
      </c>
      <c r="E1066" s="41" t="s">
        <v>4164</v>
      </c>
      <c r="F1066" s="41" t="s">
        <v>53</v>
      </c>
      <c r="G1066" s="41" t="s">
        <v>127</v>
      </c>
      <c r="I1066" s="41" t="s">
        <v>102</v>
      </c>
      <c r="J1066" s="41" t="s">
        <v>32</v>
      </c>
      <c r="K1066" s="42"/>
      <c r="L1066" s="41" t="s">
        <v>4165</v>
      </c>
      <c r="M1066" s="41">
        <v>220</v>
      </c>
      <c r="N1066" s="41" t="s">
        <v>151</v>
      </c>
      <c r="O1066" s="41" t="s">
        <v>4166</v>
      </c>
      <c r="P1066" s="41" t="s">
        <v>98</v>
      </c>
      <c r="Q1066" s="41" t="s">
        <v>116</v>
      </c>
      <c r="R1066" s="41" t="s">
        <v>62</v>
      </c>
      <c r="S1066" s="41" t="s">
        <v>40</v>
      </c>
      <c r="T1066" s="41" t="s">
        <v>40</v>
      </c>
      <c r="U1066" s="41" t="s">
        <v>40</v>
      </c>
    </row>
    <row r="1067" spans="1:21">
      <c r="A1067" s="41">
        <v>1843</v>
      </c>
      <c r="B1067" s="41" t="s">
        <v>2544</v>
      </c>
      <c r="D1067" s="41">
        <v>4712</v>
      </c>
      <c r="E1067" s="41" t="s">
        <v>1286</v>
      </c>
      <c r="F1067" s="41" t="s">
        <v>42</v>
      </c>
      <c r="G1067" s="41" t="s">
        <v>121</v>
      </c>
      <c r="I1067" s="41" t="s">
        <v>231</v>
      </c>
      <c r="J1067" s="41" t="s">
        <v>32</v>
      </c>
      <c r="K1067" s="42"/>
      <c r="L1067" s="41" t="s">
        <v>4167</v>
      </c>
      <c r="M1067" s="41">
        <v>33</v>
      </c>
      <c r="N1067" s="41" t="s">
        <v>4168</v>
      </c>
      <c r="O1067" s="41" t="s">
        <v>2299</v>
      </c>
      <c r="P1067" s="41" t="s">
        <v>98</v>
      </c>
      <c r="Q1067" s="41" t="s">
        <v>204</v>
      </c>
      <c r="R1067" s="41" t="s">
        <v>39</v>
      </c>
      <c r="S1067" s="41" t="s">
        <v>40</v>
      </c>
      <c r="T1067" s="41" t="s">
        <v>1699</v>
      </c>
      <c r="U1067" s="41" t="s">
        <v>40</v>
      </c>
    </row>
    <row r="1068" spans="1:21">
      <c r="A1068" s="41">
        <v>1842</v>
      </c>
      <c r="B1068" s="41" t="s">
        <v>4169</v>
      </c>
      <c r="D1068" s="41">
        <v>4708</v>
      </c>
      <c r="E1068" s="41" t="s">
        <v>2932</v>
      </c>
      <c r="F1068" s="41" t="s">
        <v>42</v>
      </c>
      <c r="G1068" s="41" t="s">
        <v>43</v>
      </c>
      <c r="I1068" s="41" t="s">
        <v>1520</v>
      </c>
      <c r="J1068" s="41" t="s">
        <v>32</v>
      </c>
      <c r="K1068" s="42"/>
      <c r="L1068" s="41" t="s">
        <v>2933</v>
      </c>
      <c r="M1068" s="41">
        <v>30</v>
      </c>
      <c r="N1068" s="41" t="s">
        <v>2934</v>
      </c>
      <c r="O1068" s="41" t="s">
        <v>4170</v>
      </c>
      <c r="P1068" s="41" t="s">
        <v>68</v>
      </c>
      <c r="Q1068" s="41" t="s">
        <v>69</v>
      </c>
      <c r="R1068" s="41" t="s">
        <v>39</v>
      </c>
      <c r="S1068" s="41" t="s">
        <v>40</v>
      </c>
      <c r="T1068" s="41" t="s">
        <v>604</v>
      </c>
      <c r="U1068" s="41" t="s">
        <v>40</v>
      </c>
    </row>
    <row r="1069" spans="1:21">
      <c r="A1069" s="41">
        <v>1841</v>
      </c>
      <c r="B1069" s="41" t="s">
        <v>4171</v>
      </c>
      <c r="D1069" s="41">
        <v>4707</v>
      </c>
      <c r="E1069" s="41" t="s">
        <v>4042</v>
      </c>
      <c r="F1069" s="41" t="s">
        <v>53</v>
      </c>
      <c r="G1069" s="41" t="s">
        <v>141</v>
      </c>
      <c r="I1069" s="41" t="s">
        <v>338</v>
      </c>
      <c r="J1069" s="41" t="s">
        <v>32</v>
      </c>
      <c r="K1069" s="42"/>
      <c r="L1069" s="41" t="s">
        <v>3130</v>
      </c>
      <c r="M1069" s="41">
        <v>154</v>
      </c>
      <c r="N1069" s="41" t="s">
        <v>805</v>
      </c>
      <c r="O1069" s="41" t="s">
        <v>3694</v>
      </c>
      <c r="P1069" s="41" t="s">
        <v>172</v>
      </c>
      <c r="Q1069" s="41" t="s">
        <v>1011</v>
      </c>
      <c r="R1069" s="41" t="s">
        <v>132</v>
      </c>
      <c r="S1069" s="41" t="s">
        <v>4172</v>
      </c>
      <c r="T1069" s="41" t="s">
        <v>1796</v>
      </c>
      <c r="U1069" s="41" t="s">
        <v>40</v>
      </c>
    </row>
    <row r="1070" spans="1:21">
      <c r="A1070" s="41">
        <v>1840</v>
      </c>
      <c r="B1070" s="41" t="s">
        <v>4173</v>
      </c>
      <c r="D1070" s="41">
        <v>4706</v>
      </c>
      <c r="E1070" s="41" t="s">
        <v>4174</v>
      </c>
      <c r="F1070" s="41" t="s">
        <v>53</v>
      </c>
      <c r="G1070" s="41" t="s">
        <v>141</v>
      </c>
      <c r="I1070" s="41" t="s">
        <v>45</v>
      </c>
      <c r="J1070" s="41" t="s">
        <v>32</v>
      </c>
      <c r="K1070" s="42"/>
      <c r="L1070" s="41" t="s">
        <v>4175</v>
      </c>
      <c r="M1070" s="41">
        <v>220</v>
      </c>
      <c r="N1070" s="41" t="s">
        <v>2632</v>
      </c>
      <c r="O1070" s="41" t="s">
        <v>4176</v>
      </c>
      <c r="P1070" s="41" t="s">
        <v>98</v>
      </c>
      <c r="Q1070" s="41" t="s">
        <v>569</v>
      </c>
      <c r="R1070" s="41" t="s">
        <v>62</v>
      </c>
      <c r="S1070" s="41" t="s">
        <v>4177</v>
      </c>
      <c r="T1070" s="41" t="s">
        <v>266</v>
      </c>
      <c r="U1070" s="41" t="s">
        <v>40</v>
      </c>
    </row>
    <row r="1071" spans="1:21">
      <c r="A1071" s="41">
        <v>1839</v>
      </c>
      <c r="B1071" s="41" t="s">
        <v>4178</v>
      </c>
      <c r="D1071" s="41">
        <v>4705</v>
      </c>
      <c r="E1071" s="41" t="s">
        <v>4179</v>
      </c>
      <c r="F1071" s="41" t="s">
        <v>42</v>
      </c>
      <c r="G1071" s="41" t="s">
        <v>141</v>
      </c>
      <c r="I1071" s="41" t="s">
        <v>231</v>
      </c>
      <c r="J1071" s="41" t="s">
        <v>295</v>
      </c>
      <c r="K1071" s="42"/>
      <c r="L1071" s="41" t="s">
        <v>4180</v>
      </c>
      <c r="M1071" s="41">
        <v>33</v>
      </c>
      <c r="N1071" s="41" t="s">
        <v>4181</v>
      </c>
      <c r="O1071" s="41" t="s">
        <v>36</v>
      </c>
      <c r="P1071" s="41" t="s">
        <v>98</v>
      </c>
      <c r="Q1071" s="41" t="s">
        <v>116</v>
      </c>
      <c r="R1071" s="41" t="s">
        <v>39</v>
      </c>
      <c r="S1071" s="41" t="s">
        <v>40</v>
      </c>
      <c r="T1071" s="41" t="s">
        <v>1846</v>
      </c>
      <c r="U1071" s="41" t="s">
        <v>40</v>
      </c>
    </row>
    <row r="1072" spans="1:21">
      <c r="A1072" s="41">
        <v>1838</v>
      </c>
      <c r="B1072" s="41" t="s">
        <v>4182</v>
      </c>
      <c r="D1072" s="41">
        <v>4704</v>
      </c>
      <c r="E1072" s="41" t="s">
        <v>4183</v>
      </c>
      <c r="F1072" s="41" t="s">
        <v>42</v>
      </c>
      <c r="G1072" s="41" t="s">
        <v>121</v>
      </c>
      <c r="I1072" s="41" t="s">
        <v>56</v>
      </c>
      <c r="J1072" s="41" t="s">
        <v>32</v>
      </c>
      <c r="K1072" s="42"/>
      <c r="L1072" s="41" t="s">
        <v>4184</v>
      </c>
      <c r="M1072" s="41">
        <v>33</v>
      </c>
      <c r="N1072" s="41" t="s">
        <v>67</v>
      </c>
      <c r="O1072" s="41" t="s">
        <v>4185</v>
      </c>
      <c r="P1072" s="41" t="s">
        <v>179</v>
      </c>
      <c r="Q1072" s="41" t="s">
        <v>284</v>
      </c>
      <c r="R1072" s="41" t="s">
        <v>39</v>
      </c>
      <c r="S1072" s="41" t="s">
        <v>40</v>
      </c>
      <c r="T1072" s="41" t="s">
        <v>1773</v>
      </c>
      <c r="U1072" s="41" t="s">
        <v>40</v>
      </c>
    </row>
    <row r="1073" spans="1:21">
      <c r="A1073" s="41">
        <v>1837</v>
      </c>
      <c r="B1073" s="41" t="s">
        <v>4186</v>
      </c>
      <c r="D1073" s="41">
        <v>4702</v>
      </c>
      <c r="E1073" s="41" t="s">
        <v>4187</v>
      </c>
      <c r="F1073" s="41" t="s">
        <v>42</v>
      </c>
      <c r="G1073" s="41" t="s">
        <v>121</v>
      </c>
      <c r="I1073" s="41" t="s">
        <v>4188</v>
      </c>
      <c r="J1073" s="41" t="s">
        <v>32</v>
      </c>
      <c r="K1073" s="42"/>
      <c r="L1073" s="41" t="s">
        <v>4189</v>
      </c>
      <c r="M1073" s="41">
        <v>33</v>
      </c>
      <c r="N1073" s="41" t="s">
        <v>67</v>
      </c>
      <c r="O1073" s="41" t="s">
        <v>4190</v>
      </c>
      <c r="P1073" s="41" t="s">
        <v>98</v>
      </c>
      <c r="Q1073" s="41" t="s">
        <v>116</v>
      </c>
      <c r="R1073" s="41" t="s">
        <v>39</v>
      </c>
      <c r="S1073" s="41" t="s">
        <v>40</v>
      </c>
      <c r="T1073" s="41" t="s">
        <v>1773</v>
      </c>
      <c r="U1073" s="41" t="s">
        <v>40</v>
      </c>
    </row>
    <row r="1074" spans="1:21">
      <c r="A1074" s="41">
        <v>1836</v>
      </c>
      <c r="B1074" s="41" t="s">
        <v>4191</v>
      </c>
      <c r="D1074" s="41">
        <v>4703</v>
      </c>
      <c r="E1074" s="41" t="s">
        <v>4192</v>
      </c>
      <c r="F1074" s="41" t="s">
        <v>42</v>
      </c>
      <c r="G1074" s="41" t="s">
        <v>121</v>
      </c>
      <c r="I1074" s="41" t="s">
        <v>1061</v>
      </c>
      <c r="J1074" s="41" t="s">
        <v>32</v>
      </c>
      <c r="K1074" s="42"/>
      <c r="L1074" s="41" t="s">
        <v>4193</v>
      </c>
      <c r="M1074" s="41">
        <v>33</v>
      </c>
      <c r="N1074" s="41" t="s">
        <v>67</v>
      </c>
      <c r="O1074" s="41" t="s">
        <v>3417</v>
      </c>
      <c r="P1074" s="41" t="s">
        <v>153</v>
      </c>
      <c r="Q1074" s="41" t="s">
        <v>329</v>
      </c>
      <c r="R1074" s="41" t="s">
        <v>39</v>
      </c>
      <c r="S1074" s="41" t="s">
        <v>40</v>
      </c>
      <c r="T1074" s="41" t="s">
        <v>1773</v>
      </c>
      <c r="U1074" s="41" t="s">
        <v>40</v>
      </c>
    </row>
    <row r="1075" spans="1:21">
      <c r="A1075" s="41">
        <v>1835</v>
      </c>
      <c r="B1075" s="41" t="s">
        <v>4194</v>
      </c>
      <c r="D1075" s="41">
        <v>4701</v>
      </c>
      <c r="E1075" s="41" t="s">
        <v>2675</v>
      </c>
      <c r="F1075" s="41" t="s">
        <v>53</v>
      </c>
      <c r="G1075" s="41" t="s">
        <v>64</v>
      </c>
      <c r="I1075" s="41" t="s">
        <v>56</v>
      </c>
      <c r="J1075" s="41" t="s">
        <v>380</v>
      </c>
      <c r="K1075" s="42"/>
      <c r="L1075" s="41" t="s">
        <v>4195</v>
      </c>
      <c r="M1075" s="41">
        <v>220</v>
      </c>
      <c r="N1075" s="41" t="s">
        <v>59</v>
      </c>
      <c r="O1075" s="41" t="s">
        <v>2566</v>
      </c>
      <c r="P1075" s="41" t="s">
        <v>83</v>
      </c>
      <c r="Q1075" s="41" t="s">
        <v>467</v>
      </c>
      <c r="R1075" s="41" t="s">
        <v>62</v>
      </c>
      <c r="S1075" s="41" t="s">
        <v>40</v>
      </c>
      <c r="T1075" s="41" t="s">
        <v>40</v>
      </c>
      <c r="U1075" s="41" t="s">
        <v>40</v>
      </c>
    </row>
    <row r="1076" spans="1:21">
      <c r="A1076" s="41">
        <v>1834</v>
      </c>
      <c r="B1076" s="41" t="s">
        <v>4196</v>
      </c>
      <c r="D1076" s="41">
        <v>4692</v>
      </c>
      <c r="E1076" s="41" t="s">
        <v>4197</v>
      </c>
      <c r="F1076" s="41" t="s">
        <v>28</v>
      </c>
      <c r="G1076" s="41" t="s">
        <v>301</v>
      </c>
      <c r="I1076" s="41" t="s">
        <v>4198</v>
      </c>
      <c r="J1076" s="41" t="s">
        <v>380</v>
      </c>
      <c r="K1076" s="42"/>
      <c r="L1076" s="41" t="s">
        <v>4199</v>
      </c>
      <c r="M1076" s="41">
        <v>220</v>
      </c>
      <c r="N1076" s="41" t="s">
        <v>4200</v>
      </c>
      <c r="O1076" s="41" t="s">
        <v>1525</v>
      </c>
      <c r="P1076" s="41" t="s">
        <v>98</v>
      </c>
      <c r="Q1076" s="41" t="s">
        <v>98</v>
      </c>
      <c r="R1076" s="41" t="s">
        <v>39</v>
      </c>
      <c r="S1076" s="41" t="s">
        <v>4201</v>
      </c>
      <c r="T1076" s="41" t="s">
        <v>1699</v>
      </c>
      <c r="U1076" s="41" t="s">
        <v>40</v>
      </c>
    </row>
    <row r="1077" spans="1:21">
      <c r="A1077" s="41">
        <v>1833</v>
      </c>
      <c r="B1077" s="41" t="s">
        <v>4202</v>
      </c>
      <c r="D1077" s="41">
        <v>4700</v>
      </c>
      <c r="E1077" s="41" t="s">
        <v>4101</v>
      </c>
      <c r="F1077" s="41" t="s">
        <v>28</v>
      </c>
      <c r="G1077" s="41" t="s">
        <v>43</v>
      </c>
      <c r="I1077" s="41" t="s">
        <v>45</v>
      </c>
      <c r="J1077" s="41" t="s">
        <v>32</v>
      </c>
      <c r="K1077" s="42"/>
      <c r="L1077" s="41" t="s">
        <v>4102</v>
      </c>
      <c r="M1077" s="41">
        <v>220</v>
      </c>
      <c r="N1077" s="41" t="s">
        <v>311</v>
      </c>
      <c r="O1077" s="41" t="s">
        <v>311</v>
      </c>
      <c r="P1077" s="41" t="s">
        <v>98</v>
      </c>
      <c r="Q1077" s="41" t="s">
        <v>99</v>
      </c>
      <c r="R1077" s="41" t="s">
        <v>39</v>
      </c>
      <c r="S1077" s="41" t="s">
        <v>40</v>
      </c>
      <c r="T1077" s="41" t="s">
        <v>40</v>
      </c>
      <c r="U1077" s="41" t="s">
        <v>40</v>
      </c>
    </row>
    <row r="1078" spans="1:21">
      <c r="A1078" s="41">
        <v>1832</v>
      </c>
      <c r="B1078" s="41" t="s">
        <v>4203</v>
      </c>
      <c r="D1078" s="41">
        <v>4699</v>
      </c>
      <c r="E1078" s="41" t="s">
        <v>4145</v>
      </c>
      <c r="F1078" s="41" t="s">
        <v>42</v>
      </c>
      <c r="G1078" s="41" t="s">
        <v>141</v>
      </c>
      <c r="I1078" s="41" t="s">
        <v>231</v>
      </c>
      <c r="J1078" s="41" t="s">
        <v>295</v>
      </c>
      <c r="K1078" s="42"/>
      <c r="L1078" s="41" t="s">
        <v>4204</v>
      </c>
      <c r="M1078" s="41">
        <v>33</v>
      </c>
      <c r="N1078" s="41" t="s">
        <v>4205</v>
      </c>
      <c r="O1078" s="41" t="s">
        <v>36</v>
      </c>
      <c r="P1078" s="41" t="s">
        <v>98</v>
      </c>
      <c r="Q1078" s="41" t="s">
        <v>98</v>
      </c>
      <c r="R1078" s="41" t="s">
        <v>39</v>
      </c>
      <c r="S1078" s="41" t="s">
        <v>40</v>
      </c>
      <c r="T1078" s="41" t="s">
        <v>1846</v>
      </c>
      <c r="U1078" s="41" t="s">
        <v>40</v>
      </c>
    </row>
    <row r="1079" spans="1:21">
      <c r="A1079" s="41">
        <v>1831</v>
      </c>
      <c r="B1079" s="41" t="s">
        <v>4206</v>
      </c>
      <c r="D1079" s="41">
        <v>4694</v>
      </c>
      <c r="E1079" s="41" t="s">
        <v>2611</v>
      </c>
      <c r="F1079" s="41" t="s">
        <v>53</v>
      </c>
      <c r="G1079" s="41" t="s">
        <v>43</v>
      </c>
      <c r="I1079" s="41" t="s">
        <v>45</v>
      </c>
      <c r="J1079" s="41" t="s">
        <v>32</v>
      </c>
      <c r="K1079" s="42"/>
      <c r="L1079" s="41" t="s">
        <v>4043</v>
      </c>
      <c r="M1079" s="41">
        <v>220</v>
      </c>
      <c r="N1079" s="41" t="s">
        <v>1653</v>
      </c>
      <c r="O1079" s="41" t="s">
        <v>791</v>
      </c>
      <c r="P1079" s="41" t="s">
        <v>153</v>
      </c>
      <c r="Q1079" s="41" t="s">
        <v>154</v>
      </c>
      <c r="R1079" s="41" t="s">
        <v>62</v>
      </c>
      <c r="S1079" s="41" t="s">
        <v>4207</v>
      </c>
      <c r="T1079" s="41" t="s">
        <v>186</v>
      </c>
      <c r="U1079" s="41" t="s">
        <v>40</v>
      </c>
    </row>
    <row r="1080" spans="1:21">
      <c r="A1080" s="41">
        <v>1830</v>
      </c>
      <c r="B1080" s="41" t="s">
        <v>2579</v>
      </c>
      <c r="D1080" s="41">
        <v>4693</v>
      </c>
      <c r="E1080" s="41" t="s">
        <v>2563</v>
      </c>
      <c r="F1080" s="41" t="s">
        <v>53</v>
      </c>
      <c r="G1080" s="41" t="s">
        <v>64</v>
      </c>
      <c r="I1080" s="41" t="s">
        <v>2580</v>
      </c>
      <c r="J1080" s="41" t="s">
        <v>295</v>
      </c>
      <c r="K1080" s="42"/>
      <c r="L1080" s="41" t="s">
        <v>2564</v>
      </c>
      <c r="M1080" s="41">
        <v>220</v>
      </c>
      <c r="N1080" s="41" t="s">
        <v>4208</v>
      </c>
      <c r="O1080" s="41" t="s">
        <v>36</v>
      </c>
      <c r="P1080" s="41" t="s">
        <v>78</v>
      </c>
      <c r="Q1080" s="41" t="s">
        <v>4209</v>
      </c>
      <c r="R1080" s="41" t="s">
        <v>62</v>
      </c>
      <c r="S1080" s="41" t="s">
        <v>40</v>
      </c>
      <c r="T1080" s="41" t="s">
        <v>40</v>
      </c>
      <c r="U1080" s="41" t="s">
        <v>40</v>
      </c>
    </row>
    <row r="1081" spans="1:21">
      <c r="A1081" s="41">
        <v>1829</v>
      </c>
      <c r="B1081" s="41" t="s">
        <v>4210</v>
      </c>
      <c r="D1081" s="41">
        <v>4691</v>
      </c>
      <c r="E1081" s="41" t="s">
        <v>4211</v>
      </c>
      <c r="F1081" s="41" t="s">
        <v>28</v>
      </c>
      <c r="G1081" s="41" t="s">
        <v>301</v>
      </c>
      <c r="I1081" s="41" t="s">
        <v>3468</v>
      </c>
      <c r="J1081" s="41" t="s">
        <v>32</v>
      </c>
      <c r="K1081" s="42"/>
      <c r="L1081" s="41" t="s">
        <v>4212</v>
      </c>
      <c r="M1081" s="41">
        <v>110</v>
      </c>
      <c r="N1081" s="41" t="s">
        <v>59</v>
      </c>
      <c r="O1081" s="41" t="s">
        <v>333</v>
      </c>
      <c r="P1081" s="41" t="s">
        <v>153</v>
      </c>
      <c r="Q1081" s="41" t="s">
        <v>153</v>
      </c>
      <c r="R1081" s="41" t="s">
        <v>132</v>
      </c>
      <c r="S1081" s="41" t="s">
        <v>4213</v>
      </c>
      <c r="T1081" s="41" t="s">
        <v>1846</v>
      </c>
      <c r="U1081" s="41" t="s">
        <v>40</v>
      </c>
    </row>
    <row r="1082" spans="1:21">
      <c r="A1082" s="41">
        <v>1828</v>
      </c>
      <c r="B1082" s="41" t="s">
        <v>4214</v>
      </c>
      <c r="D1082" s="41">
        <v>4690</v>
      </c>
      <c r="E1082" s="41" t="s">
        <v>1435</v>
      </c>
      <c r="F1082" s="41" t="s">
        <v>28</v>
      </c>
      <c r="G1082" s="41" t="s">
        <v>286</v>
      </c>
      <c r="I1082" s="41" t="s">
        <v>149</v>
      </c>
      <c r="J1082" s="41" t="s">
        <v>32</v>
      </c>
      <c r="K1082" s="42"/>
      <c r="L1082" s="41" t="s">
        <v>4215</v>
      </c>
      <c r="M1082" s="41">
        <v>23</v>
      </c>
      <c r="N1082" s="41" t="s">
        <v>290</v>
      </c>
      <c r="O1082" s="41" t="s">
        <v>4216</v>
      </c>
      <c r="P1082" s="41" t="s">
        <v>50</v>
      </c>
      <c r="Q1082" s="41" t="s">
        <v>1499</v>
      </c>
      <c r="R1082" s="41" t="s">
        <v>39</v>
      </c>
      <c r="S1082" s="41" t="s">
        <v>40</v>
      </c>
      <c r="T1082" s="41" t="s">
        <v>40</v>
      </c>
      <c r="U1082" s="41" t="s">
        <v>40</v>
      </c>
    </row>
    <row r="1083" spans="1:21">
      <c r="A1083" s="41">
        <v>1827</v>
      </c>
      <c r="B1083" s="41" t="s">
        <v>181</v>
      </c>
      <c r="D1083" s="41">
        <v>4684</v>
      </c>
      <c r="E1083" s="41" t="s">
        <v>27</v>
      </c>
      <c r="F1083" s="41" t="s">
        <v>53</v>
      </c>
      <c r="G1083" s="41" t="s">
        <v>141</v>
      </c>
      <c r="I1083" s="41" t="s">
        <v>56</v>
      </c>
      <c r="J1083" s="41" t="s">
        <v>32</v>
      </c>
      <c r="K1083" s="42"/>
      <c r="L1083" s="41" t="s">
        <v>183</v>
      </c>
      <c r="M1083" s="41">
        <v>110</v>
      </c>
      <c r="N1083" s="41" t="s">
        <v>67</v>
      </c>
      <c r="O1083" s="41" t="s">
        <v>77</v>
      </c>
      <c r="P1083" s="41" t="s">
        <v>68</v>
      </c>
      <c r="Q1083" s="41" t="s">
        <v>184</v>
      </c>
      <c r="R1083" s="41" t="s">
        <v>132</v>
      </c>
      <c r="S1083" s="41" t="s">
        <v>185</v>
      </c>
      <c r="T1083" s="41" t="s">
        <v>186</v>
      </c>
      <c r="U1083" s="41" t="s">
        <v>40</v>
      </c>
    </row>
    <row r="1084" spans="1:21">
      <c r="A1084" s="41">
        <v>1826</v>
      </c>
      <c r="B1084" s="41" t="s">
        <v>187</v>
      </c>
      <c r="D1084" s="41">
        <v>4683</v>
      </c>
      <c r="E1084" s="41" t="s">
        <v>27</v>
      </c>
      <c r="F1084" s="41" t="s">
        <v>53</v>
      </c>
      <c r="G1084" s="41" t="s">
        <v>175</v>
      </c>
      <c r="I1084" s="41" t="s">
        <v>56</v>
      </c>
      <c r="J1084" s="41" t="s">
        <v>32</v>
      </c>
      <c r="K1084" s="42"/>
      <c r="L1084" s="41" t="s">
        <v>190</v>
      </c>
      <c r="M1084" s="41">
        <v>110</v>
      </c>
      <c r="N1084" s="41" t="s">
        <v>67</v>
      </c>
      <c r="O1084" s="41" t="s">
        <v>36</v>
      </c>
      <c r="P1084" s="41" t="s">
        <v>68</v>
      </c>
      <c r="Q1084" s="41" t="s">
        <v>191</v>
      </c>
      <c r="R1084" s="41" t="s">
        <v>132</v>
      </c>
      <c r="S1084" s="41" t="s">
        <v>40</v>
      </c>
      <c r="T1084" s="41" t="s">
        <v>40</v>
      </c>
      <c r="U1084" s="41" t="s">
        <v>40</v>
      </c>
    </row>
    <row r="1085" spans="1:21">
      <c r="A1085" s="41">
        <v>1825</v>
      </c>
      <c r="B1085" s="41" t="s">
        <v>4217</v>
      </c>
      <c r="D1085" s="41">
        <v>4682</v>
      </c>
      <c r="E1085" s="41" t="s">
        <v>987</v>
      </c>
      <c r="F1085" s="41" t="s">
        <v>53</v>
      </c>
      <c r="G1085" s="41" t="s">
        <v>141</v>
      </c>
      <c r="I1085" s="41" t="s">
        <v>149</v>
      </c>
      <c r="J1085" s="41" t="s">
        <v>32</v>
      </c>
      <c r="K1085" s="42"/>
      <c r="L1085" s="41" t="s">
        <v>4218</v>
      </c>
      <c r="M1085" s="41">
        <v>66</v>
      </c>
      <c r="N1085" s="41" t="s">
        <v>67</v>
      </c>
      <c r="O1085" s="41" t="s">
        <v>2721</v>
      </c>
      <c r="P1085" s="41" t="s">
        <v>83</v>
      </c>
      <c r="Q1085" s="41" t="s">
        <v>3008</v>
      </c>
      <c r="R1085" s="41" t="s">
        <v>132</v>
      </c>
      <c r="S1085" s="41" t="s">
        <v>4219</v>
      </c>
      <c r="T1085" s="41" t="s">
        <v>2512</v>
      </c>
      <c r="U1085" s="41" t="s">
        <v>40</v>
      </c>
    </row>
    <row r="1086" spans="1:21">
      <c r="A1086" s="41">
        <v>1824</v>
      </c>
      <c r="B1086" s="41" t="s">
        <v>4220</v>
      </c>
      <c r="D1086" s="41">
        <v>4681</v>
      </c>
      <c r="E1086" s="41" t="s">
        <v>992</v>
      </c>
      <c r="F1086" s="41" t="s">
        <v>53</v>
      </c>
      <c r="G1086" s="41" t="s">
        <v>64</v>
      </c>
      <c r="I1086" s="41" t="s">
        <v>149</v>
      </c>
      <c r="J1086" s="41" t="s">
        <v>32</v>
      </c>
      <c r="K1086" s="42"/>
      <c r="L1086" s="41" t="s">
        <v>4221</v>
      </c>
      <c r="M1086" s="41">
        <v>66</v>
      </c>
      <c r="N1086" s="41" t="s">
        <v>4222</v>
      </c>
      <c r="O1086" s="41" t="s">
        <v>2721</v>
      </c>
      <c r="P1086" s="41" t="s">
        <v>172</v>
      </c>
      <c r="Q1086" s="41" t="s">
        <v>2270</v>
      </c>
      <c r="R1086" s="41" t="s">
        <v>132</v>
      </c>
      <c r="S1086" s="41" t="s">
        <v>40</v>
      </c>
      <c r="T1086" s="41" t="s">
        <v>40</v>
      </c>
      <c r="U1086" s="41" t="s">
        <v>40</v>
      </c>
    </row>
    <row r="1087" spans="1:21">
      <c r="A1087" s="41">
        <v>1823</v>
      </c>
      <c r="B1087" s="41" t="s">
        <v>4223</v>
      </c>
      <c r="D1087" s="41">
        <v>4680</v>
      </c>
      <c r="E1087" s="41" t="s">
        <v>987</v>
      </c>
      <c r="F1087" s="41" t="s">
        <v>53</v>
      </c>
      <c r="G1087" s="41" t="s">
        <v>141</v>
      </c>
      <c r="I1087" s="41" t="s">
        <v>149</v>
      </c>
      <c r="J1087" s="41" t="s">
        <v>32</v>
      </c>
      <c r="K1087" s="42"/>
      <c r="L1087" s="41" t="s">
        <v>4224</v>
      </c>
      <c r="M1087" s="41">
        <v>66</v>
      </c>
      <c r="N1087" s="41" t="s">
        <v>67</v>
      </c>
      <c r="O1087" s="41" t="s">
        <v>1151</v>
      </c>
      <c r="P1087" s="41" t="s">
        <v>60</v>
      </c>
      <c r="Q1087" s="41" t="s">
        <v>436</v>
      </c>
      <c r="R1087" s="41" t="s">
        <v>132</v>
      </c>
      <c r="S1087" s="41" t="s">
        <v>4225</v>
      </c>
      <c r="T1087" s="41" t="s">
        <v>2512</v>
      </c>
      <c r="U1087" s="41" t="s">
        <v>40</v>
      </c>
    </row>
    <row r="1088" spans="1:21">
      <c r="A1088" s="41">
        <v>1821</v>
      </c>
      <c r="B1088" s="41" t="s">
        <v>4226</v>
      </c>
      <c r="D1088" s="41">
        <v>4679</v>
      </c>
      <c r="E1088" s="41" t="s">
        <v>1385</v>
      </c>
      <c r="F1088" s="41" t="s">
        <v>28</v>
      </c>
      <c r="G1088" s="41" t="s">
        <v>301</v>
      </c>
      <c r="I1088" s="41" t="s">
        <v>4227</v>
      </c>
      <c r="J1088" s="41" t="s">
        <v>380</v>
      </c>
      <c r="K1088" s="42"/>
      <c r="L1088" s="41" t="s">
        <v>303</v>
      </c>
      <c r="M1088" s="41">
        <v>220</v>
      </c>
      <c r="N1088" s="41" t="s">
        <v>340</v>
      </c>
      <c r="O1088" s="41" t="s">
        <v>4228</v>
      </c>
      <c r="P1088" s="41" t="s">
        <v>37</v>
      </c>
      <c r="Q1088" s="41" t="s">
        <v>1535</v>
      </c>
      <c r="R1088" s="41" t="s">
        <v>39</v>
      </c>
      <c r="S1088" s="41" t="s">
        <v>4229</v>
      </c>
      <c r="T1088" s="41" t="s">
        <v>1699</v>
      </c>
      <c r="U1088" s="41" t="s">
        <v>40</v>
      </c>
    </row>
    <row r="1089" spans="1:21">
      <c r="A1089" s="41">
        <v>1820</v>
      </c>
      <c r="B1089" s="41" t="s">
        <v>4230</v>
      </c>
      <c r="D1089" s="41">
        <v>4662</v>
      </c>
      <c r="E1089" s="41" t="s">
        <v>4231</v>
      </c>
      <c r="F1089" s="41" t="s">
        <v>53</v>
      </c>
      <c r="G1089" s="41" t="s">
        <v>141</v>
      </c>
      <c r="I1089" s="41" t="s">
        <v>464</v>
      </c>
      <c r="J1089" s="41" t="s">
        <v>32</v>
      </c>
      <c r="K1089" s="42"/>
      <c r="L1089" s="41" t="s">
        <v>3102</v>
      </c>
      <c r="M1089" s="41">
        <v>110</v>
      </c>
      <c r="N1089" s="41" t="s">
        <v>67</v>
      </c>
      <c r="O1089" s="41" t="s">
        <v>333</v>
      </c>
      <c r="P1089" s="41" t="s">
        <v>172</v>
      </c>
      <c r="Q1089" s="41" t="s">
        <v>3329</v>
      </c>
      <c r="R1089" s="41" t="s">
        <v>132</v>
      </c>
      <c r="S1089" s="41" t="s">
        <v>4232</v>
      </c>
      <c r="T1089" s="41" t="s">
        <v>1500</v>
      </c>
      <c r="U1089" s="41" t="s">
        <v>40</v>
      </c>
    </row>
    <row r="1090" spans="1:21">
      <c r="A1090" s="41">
        <v>1819</v>
      </c>
      <c r="B1090" s="41" t="s">
        <v>4233</v>
      </c>
      <c r="D1090" s="41">
        <v>4678</v>
      </c>
      <c r="E1090" s="41" t="s">
        <v>1028</v>
      </c>
      <c r="F1090" s="41" t="s">
        <v>28</v>
      </c>
      <c r="G1090" s="41" t="s">
        <v>64</v>
      </c>
      <c r="I1090" s="41" t="s">
        <v>411</v>
      </c>
      <c r="J1090" s="41" t="s">
        <v>32</v>
      </c>
      <c r="K1090" s="42"/>
      <c r="L1090" s="41" t="s">
        <v>4234</v>
      </c>
      <c r="M1090" s="41">
        <v>110</v>
      </c>
      <c r="N1090" s="41" t="s">
        <v>4235</v>
      </c>
      <c r="O1090" s="41" t="s">
        <v>1566</v>
      </c>
      <c r="P1090" s="41" t="s">
        <v>179</v>
      </c>
      <c r="Q1090" s="41" t="s">
        <v>592</v>
      </c>
      <c r="R1090" s="41" t="s">
        <v>39</v>
      </c>
      <c r="S1090" s="41" t="s">
        <v>40</v>
      </c>
      <c r="T1090" s="41" t="s">
        <v>40</v>
      </c>
      <c r="U1090" s="41" t="s">
        <v>40</v>
      </c>
    </row>
    <row r="1091" spans="1:21">
      <c r="A1091" s="41">
        <v>1818</v>
      </c>
      <c r="B1091" s="41" t="s">
        <v>4236</v>
      </c>
      <c r="D1091" s="41">
        <v>4677</v>
      </c>
      <c r="E1091" s="41" t="s">
        <v>1191</v>
      </c>
      <c r="F1091" s="41" t="s">
        <v>53</v>
      </c>
      <c r="G1091" s="41" t="s">
        <v>64</v>
      </c>
      <c r="I1091" s="41" t="s">
        <v>45</v>
      </c>
      <c r="J1091" s="41" t="s">
        <v>32</v>
      </c>
      <c r="K1091" s="42"/>
      <c r="L1091" s="41" t="s">
        <v>4237</v>
      </c>
      <c r="M1091" s="41">
        <v>220</v>
      </c>
      <c r="N1091" s="41" t="s">
        <v>151</v>
      </c>
      <c r="O1091" s="41" t="s">
        <v>2633</v>
      </c>
      <c r="P1091" s="41" t="s">
        <v>179</v>
      </c>
      <c r="Q1091" s="41" t="s">
        <v>524</v>
      </c>
      <c r="R1091" s="41" t="s">
        <v>62</v>
      </c>
      <c r="S1091" s="41" t="s">
        <v>40</v>
      </c>
      <c r="T1091" s="41" t="s">
        <v>40</v>
      </c>
      <c r="U1091" s="41" t="s">
        <v>40</v>
      </c>
    </row>
    <row r="1092" spans="1:21">
      <c r="A1092" s="41">
        <v>1817</v>
      </c>
      <c r="B1092" s="41" t="s">
        <v>4238</v>
      </c>
      <c r="D1092" s="41">
        <v>4676</v>
      </c>
      <c r="E1092" s="41" t="s">
        <v>1076</v>
      </c>
      <c r="F1092" s="41" t="s">
        <v>53</v>
      </c>
      <c r="G1092" s="41" t="s">
        <v>175</v>
      </c>
      <c r="I1092" s="41" t="s">
        <v>406</v>
      </c>
      <c r="J1092" s="41" t="s">
        <v>32</v>
      </c>
      <c r="K1092" s="42"/>
      <c r="L1092" s="41" t="s">
        <v>4239</v>
      </c>
      <c r="M1092" s="41">
        <v>220</v>
      </c>
      <c r="N1092" s="41" t="s">
        <v>1529</v>
      </c>
      <c r="O1092" s="41" t="s">
        <v>1615</v>
      </c>
      <c r="P1092" s="41" t="s">
        <v>60</v>
      </c>
      <c r="Q1092" s="41" t="s">
        <v>2759</v>
      </c>
      <c r="R1092" s="41" t="s">
        <v>62</v>
      </c>
      <c r="S1092" s="41" t="s">
        <v>40</v>
      </c>
      <c r="T1092" s="41" t="s">
        <v>40</v>
      </c>
      <c r="U1092" s="41" t="s">
        <v>40</v>
      </c>
    </row>
    <row r="1093" spans="1:21">
      <c r="A1093" s="41">
        <v>1816</v>
      </c>
      <c r="B1093" s="41" t="s">
        <v>4240</v>
      </c>
      <c r="D1093" s="41">
        <v>4675</v>
      </c>
      <c r="E1093" s="41" t="s">
        <v>4042</v>
      </c>
      <c r="F1093" s="41" t="s">
        <v>53</v>
      </c>
      <c r="G1093" s="41" t="s">
        <v>141</v>
      </c>
      <c r="I1093" s="41" t="s">
        <v>338</v>
      </c>
      <c r="J1093" s="41" t="s">
        <v>32</v>
      </c>
      <c r="K1093" s="42"/>
      <c r="L1093" s="41" t="s">
        <v>4125</v>
      </c>
      <c r="M1093" s="41">
        <v>220</v>
      </c>
      <c r="N1093" s="41" t="s">
        <v>1629</v>
      </c>
      <c r="O1093" s="41" t="s">
        <v>345</v>
      </c>
      <c r="P1093" s="41" t="s">
        <v>98</v>
      </c>
      <c r="Q1093" s="41" t="s">
        <v>98</v>
      </c>
      <c r="R1093" s="41" t="s">
        <v>132</v>
      </c>
      <c r="S1093" s="41" t="s">
        <v>4241</v>
      </c>
      <c r="T1093" s="41" t="s">
        <v>266</v>
      </c>
      <c r="U1093" s="41" t="s">
        <v>40</v>
      </c>
    </row>
    <row r="1094" spans="1:21">
      <c r="A1094" s="41">
        <v>1815</v>
      </c>
      <c r="B1094" s="41" t="s">
        <v>4242</v>
      </c>
      <c r="D1094" s="41">
        <v>4674</v>
      </c>
      <c r="E1094" s="41" t="s">
        <v>4243</v>
      </c>
      <c r="F1094" s="41" t="s">
        <v>28</v>
      </c>
      <c r="G1094" s="41" t="s">
        <v>307</v>
      </c>
      <c r="I1094" s="41" t="s">
        <v>4244</v>
      </c>
      <c r="J1094" s="41" t="s">
        <v>32</v>
      </c>
      <c r="K1094" s="42"/>
      <c r="L1094" s="41" t="s">
        <v>4245</v>
      </c>
      <c r="M1094" s="41">
        <v>33</v>
      </c>
      <c r="N1094" s="41" t="s">
        <v>67</v>
      </c>
      <c r="O1094" s="41" t="s">
        <v>3417</v>
      </c>
      <c r="P1094" s="41" t="s">
        <v>546</v>
      </c>
      <c r="Q1094" s="41" t="s">
        <v>2100</v>
      </c>
      <c r="R1094" s="41" t="s">
        <v>39</v>
      </c>
      <c r="S1094" s="41" t="s">
        <v>4246</v>
      </c>
      <c r="T1094" s="41" t="s">
        <v>125</v>
      </c>
      <c r="U1094" s="41" t="s">
        <v>313</v>
      </c>
    </row>
    <row r="1095" spans="1:21">
      <c r="A1095" s="41">
        <v>1814</v>
      </c>
      <c r="B1095" s="41" t="s">
        <v>4247</v>
      </c>
      <c r="D1095" s="41">
        <v>4673</v>
      </c>
      <c r="E1095" s="41" t="s">
        <v>1708</v>
      </c>
      <c r="F1095" s="41" t="s">
        <v>53</v>
      </c>
      <c r="G1095" s="41" t="s">
        <v>141</v>
      </c>
      <c r="I1095" s="41" t="s">
        <v>2649</v>
      </c>
      <c r="J1095" s="41" t="s">
        <v>32</v>
      </c>
      <c r="K1095" s="42"/>
      <c r="L1095" s="41" t="s">
        <v>4248</v>
      </c>
      <c r="M1095" s="41">
        <v>66</v>
      </c>
      <c r="N1095" s="41" t="s">
        <v>67</v>
      </c>
      <c r="O1095" s="41" t="s">
        <v>3556</v>
      </c>
      <c r="P1095" s="41" t="s">
        <v>334</v>
      </c>
      <c r="Q1095" s="41" t="s">
        <v>423</v>
      </c>
      <c r="R1095" s="41" t="s">
        <v>132</v>
      </c>
      <c r="S1095" s="41" t="s">
        <v>4249</v>
      </c>
      <c r="T1095" s="41" t="s">
        <v>2187</v>
      </c>
      <c r="U1095" s="41" t="s">
        <v>40</v>
      </c>
    </row>
    <row r="1096" spans="1:21">
      <c r="A1096" s="41">
        <v>1813</v>
      </c>
      <c r="B1096" s="41" t="s">
        <v>4250</v>
      </c>
      <c r="D1096" s="41">
        <v>4672</v>
      </c>
      <c r="E1096" s="41" t="s">
        <v>987</v>
      </c>
      <c r="F1096" s="41" t="s">
        <v>53</v>
      </c>
      <c r="G1096" s="41" t="s">
        <v>141</v>
      </c>
      <c r="I1096" s="41" t="s">
        <v>411</v>
      </c>
      <c r="J1096" s="41" t="s">
        <v>32</v>
      </c>
      <c r="K1096" s="42"/>
      <c r="L1096" s="41" t="s">
        <v>4251</v>
      </c>
      <c r="M1096" s="41">
        <v>66</v>
      </c>
      <c r="N1096" s="41" t="s">
        <v>67</v>
      </c>
      <c r="O1096" s="41" t="s">
        <v>2721</v>
      </c>
      <c r="P1096" s="41" t="s">
        <v>172</v>
      </c>
      <c r="Q1096" s="41" t="s">
        <v>1440</v>
      </c>
      <c r="R1096" s="41" t="s">
        <v>132</v>
      </c>
      <c r="S1096" s="41" t="s">
        <v>3677</v>
      </c>
      <c r="T1096" s="41" t="s">
        <v>40</v>
      </c>
      <c r="U1096" s="41" t="s">
        <v>40</v>
      </c>
    </row>
    <row r="1097" spans="1:21">
      <c r="A1097" s="41">
        <v>1812</v>
      </c>
      <c r="B1097" s="41" t="s">
        <v>2262</v>
      </c>
      <c r="D1097" s="41">
        <v>4671</v>
      </c>
      <c r="E1097" s="41" t="s">
        <v>2263</v>
      </c>
      <c r="F1097" s="41" t="s">
        <v>42</v>
      </c>
      <c r="G1097" s="41" t="s">
        <v>121</v>
      </c>
      <c r="I1097" s="41" t="s">
        <v>4252</v>
      </c>
      <c r="J1097" s="41" t="s">
        <v>32</v>
      </c>
      <c r="K1097" s="42"/>
      <c r="L1097" s="41" t="s">
        <v>2264</v>
      </c>
      <c r="M1097" s="41">
        <v>23</v>
      </c>
      <c r="N1097" s="41" t="s">
        <v>2265</v>
      </c>
      <c r="O1097" s="41" t="s">
        <v>2266</v>
      </c>
      <c r="P1097" s="41" t="s">
        <v>179</v>
      </c>
      <c r="Q1097" s="41" t="s">
        <v>524</v>
      </c>
      <c r="R1097" s="41" t="s">
        <v>39</v>
      </c>
      <c r="S1097" s="41" t="s">
        <v>40</v>
      </c>
      <c r="T1097" s="41" t="s">
        <v>706</v>
      </c>
      <c r="U1097" s="41" t="s">
        <v>40</v>
      </c>
    </row>
    <row r="1098" spans="1:21">
      <c r="A1098" s="41">
        <v>1811</v>
      </c>
      <c r="B1098" s="41" t="s">
        <v>4072</v>
      </c>
      <c r="D1098" s="41">
        <v>4661</v>
      </c>
      <c r="E1098" s="41" t="s">
        <v>1028</v>
      </c>
      <c r="F1098" s="41" t="s">
        <v>53</v>
      </c>
      <c r="G1098" s="41" t="s">
        <v>64</v>
      </c>
      <c r="I1098" s="41" t="s">
        <v>325</v>
      </c>
      <c r="J1098" s="41" t="s">
        <v>32</v>
      </c>
      <c r="K1098" s="42"/>
      <c r="L1098" s="41" t="s">
        <v>3654</v>
      </c>
      <c r="M1098" s="41">
        <v>110</v>
      </c>
      <c r="N1098" s="41" t="s">
        <v>2671</v>
      </c>
      <c r="O1098" s="41" t="s">
        <v>178</v>
      </c>
      <c r="P1098" s="41" t="s">
        <v>78</v>
      </c>
      <c r="Q1098" s="41" t="s">
        <v>3094</v>
      </c>
      <c r="R1098" s="41" t="s">
        <v>132</v>
      </c>
      <c r="S1098" s="41" t="s">
        <v>40</v>
      </c>
      <c r="T1098" s="41" t="s">
        <v>40</v>
      </c>
      <c r="U1098" s="41" t="s">
        <v>40</v>
      </c>
    </row>
    <row r="1099" spans="1:21">
      <c r="A1099" s="41">
        <v>1810</v>
      </c>
      <c r="B1099" s="41" t="s">
        <v>4253</v>
      </c>
      <c r="D1099" s="41">
        <v>4660</v>
      </c>
      <c r="E1099" s="41" t="s">
        <v>1076</v>
      </c>
      <c r="F1099" s="41" t="s">
        <v>53</v>
      </c>
      <c r="G1099" s="41" t="s">
        <v>54</v>
      </c>
      <c r="I1099" s="41" t="s">
        <v>149</v>
      </c>
      <c r="J1099" s="41" t="s">
        <v>32</v>
      </c>
      <c r="K1099" s="42"/>
      <c r="L1099" s="41" t="s">
        <v>4254</v>
      </c>
      <c r="M1099" s="41">
        <v>66</v>
      </c>
      <c r="N1099" s="41" t="s">
        <v>67</v>
      </c>
      <c r="O1099" s="41" t="s">
        <v>4255</v>
      </c>
      <c r="P1099" s="41" t="s">
        <v>60</v>
      </c>
      <c r="Q1099" s="41" t="s">
        <v>4256</v>
      </c>
      <c r="R1099" s="41" t="s">
        <v>132</v>
      </c>
      <c r="S1099" s="41" t="s">
        <v>40</v>
      </c>
      <c r="T1099" s="41" t="s">
        <v>40</v>
      </c>
      <c r="U1099" s="41" t="s">
        <v>40</v>
      </c>
    </row>
    <row r="1100" spans="1:21">
      <c r="A1100" s="41">
        <v>1809</v>
      </c>
      <c r="B1100" s="41" t="s">
        <v>4257</v>
      </c>
      <c r="D1100" s="41">
        <v>4659</v>
      </c>
      <c r="E1100" s="41" t="s">
        <v>1191</v>
      </c>
      <c r="F1100" s="41" t="s">
        <v>53</v>
      </c>
      <c r="G1100" s="41" t="s">
        <v>141</v>
      </c>
      <c r="I1100" s="41" t="s">
        <v>194</v>
      </c>
      <c r="J1100" s="41" t="s">
        <v>672</v>
      </c>
      <c r="K1100" s="42"/>
      <c r="L1100" s="41" t="s">
        <v>4258</v>
      </c>
      <c r="M1100" s="41">
        <v>13</v>
      </c>
      <c r="N1100" s="41" t="s">
        <v>4259</v>
      </c>
      <c r="O1100" s="41" t="s">
        <v>1083</v>
      </c>
      <c r="P1100" s="41" t="s">
        <v>60</v>
      </c>
      <c r="Q1100" s="41" t="s">
        <v>1348</v>
      </c>
      <c r="R1100" s="41" t="s">
        <v>62</v>
      </c>
      <c r="S1100" s="41" t="s">
        <v>4260</v>
      </c>
      <c r="T1100" s="41" t="s">
        <v>2145</v>
      </c>
      <c r="U1100" s="41" t="s">
        <v>40</v>
      </c>
    </row>
    <row r="1101" spans="1:21">
      <c r="A1101" s="41">
        <v>1808</v>
      </c>
      <c r="B1101" s="41" t="s">
        <v>4261</v>
      </c>
      <c r="D1101" s="41">
        <v>4658</v>
      </c>
      <c r="E1101" s="41" t="s">
        <v>2437</v>
      </c>
      <c r="F1101" s="41" t="s">
        <v>42</v>
      </c>
      <c r="G1101" s="41" t="s">
        <v>43</v>
      </c>
      <c r="I1101" s="41" t="s">
        <v>464</v>
      </c>
      <c r="J1101" s="41" t="s">
        <v>32</v>
      </c>
      <c r="K1101" s="42"/>
      <c r="L1101" s="41" t="s">
        <v>4262</v>
      </c>
      <c r="M1101" s="41">
        <v>220</v>
      </c>
      <c r="N1101" s="41" t="s">
        <v>67</v>
      </c>
      <c r="O1101" s="41" t="s">
        <v>4263</v>
      </c>
      <c r="P1101" s="41" t="s">
        <v>68</v>
      </c>
      <c r="Q1101" s="41" t="s">
        <v>2440</v>
      </c>
      <c r="R1101" s="41" t="s">
        <v>39</v>
      </c>
      <c r="S1101" s="41" t="s">
        <v>40</v>
      </c>
      <c r="T1101" s="41" t="s">
        <v>706</v>
      </c>
      <c r="U1101" s="41" t="s">
        <v>40</v>
      </c>
    </row>
    <row r="1102" spans="1:21">
      <c r="A1102" s="41">
        <v>1807</v>
      </c>
      <c r="B1102" s="41" t="s">
        <v>4264</v>
      </c>
      <c r="D1102" s="41">
        <v>4657</v>
      </c>
      <c r="E1102" s="41" t="s">
        <v>1028</v>
      </c>
      <c r="F1102" s="41" t="s">
        <v>28</v>
      </c>
      <c r="G1102" s="41" t="s">
        <v>64</v>
      </c>
      <c r="I1102" s="41" t="s">
        <v>2653</v>
      </c>
      <c r="J1102" s="41" t="s">
        <v>32</v>
      </c>
      <c r="K1102" s="42"/>
      <c r="L1102" s="41" t="s">
        <v>4265</v>
      </c>
      <c r="M1102" s="41">
        <v>66</v>
      </c>
      <c r="N1102" s="41" t="s">
        <v>4235</v>
      </c>
      <c r="O1102" s="41" t="s">
        <v>4266</v>
      </c>
      <c r="P1102" s="41" t="s">
        <v>68</v>
      </c>
      <c r="Q1102" s="41" t="s">
        <v>4267</v>
      </c>
      <c r="R1102" s="41" t="s">
        <v>39</v>
      </c>
      <c r="S1102" s="41" t="s">
        <v>4268</v>
      </c>
      <c r="T1102" s="41" t="s">
        <v>1773</v>
      </c>
      <c r="U1102" s="41" t="s">
        <v>40</v>
      </c>
    </row>
    <row r="1103" spans="1:21">
      <c r="A1103" s="41">
        <v>1806</v>
      </c>
      <c r="B1103" s="41" t="s">
        <v>4269</v>
      </c>
      <c r="D1103" s="41">
        <v>4656</v>
      </c>
      <c r="E1103" s="41" t="s">
        <v>4042</v>
      </c>
      <c r="F1103" s="41" t="s">
        <v>53</v>
      </c>
      <c r="G1103" s="41" t="s">
        <v>1162</v>
      </c>
      <c r="I1103" s="41" t="s">
        <v>338</v>
      </c>
      <c r="J1103" s="41" t="s">
        <v>32</v>
      </c>
      <c r="K1103" s="42"/>
      <c r="L1103" s="41" t="s">
        <v>4270</v>
      </c>
      <c r="M1103" s="41">
        <v>220</v>
      </c>
      <c r="N1103" s="41" t="s">
        <v>805</v>
      </c>
      <c r="O1103" s="41" t="s">
        <v>791</v>
      </c>
      <c r="P1103" s="41" t="s">
        <v>153</v>
      </c>
      <c r="Q1103" s="41" t="s">
        <v>153</v>
      </c>
      <c r="R1103" s="41" t="s">
        <v>62</v>
      </c>
      <c r="S1103" s="41" t="s">
        <v>40</v>
      </c>
      <c r="T1103" s="41" t="s">
        <v>40</v>
      </c>
      <c r="U1103" s="41" t="s">
        <v>40</v>
      </c>
    </row>
    <row r="1104" spans="1:21">
      <c r="A1104" s="41">
        <v>1805</v>
      </c>
      <c r="B1104" s="41" t="s">
        <v>4271</v>
      </c>
      <c r="D1104" s="41">
        <v>4632</v>
      </c>
      <c r="E1104" s="41" t="s">
        <v>971</v>
      </c>
      <c r="F1104" s="41" t="s">
        <v>53</v>
      </c>
      <c r="G1104" s="41" t="s">
        <v>54</v>
      </c>
      <c r="I1104" s="41" t="s">
        <v>338</v>
      </c>
      <c r="J1104" s="41" t="s">
        <v>32</v>
      </c>
      <c r="K1104" s="42"/>
      <c r="L1104" s="41" t="s">
        <v>4272</v>
      </c>
      <c r="M1104" s="41">
        <v>220</v>
      </c>
      <c r="N1104" s="41" t="s">
        <v>67</v>
      </c>
      <c r="O1104" s="41" t="s">
        <v>4166</v>
      </c>
      <c r="P1104" s="41" t="s">
        <v>179</v>
      </c>
      <c r="Q1104" s="41" t="s">
        <v>284</v>
      </c>
      <c r="R1104" s="41" t="s">
        <v>62</v>
      </c>
      <c r="S1104" s="41" t="s">
        <v>40</v>
      </c>
      <c r="T1104" s="41" t="s">
        <v>40</v>
      </c>
      <c r="U1104" s="41" t="s">
        <v>40</v>
      </c>
    </row>
    <row r="1105" spans="1:21">
      <c r="A1105" s="41">
        <v>1804</v>
      </c>
      <c r="B1105" s="41" t="s">
        <v>2287</v>
      </c>
      <c r="D1105" s="41">
        <v>4655</v>
      </c>
      <c r="E1105" s="41" t="s">
        <v>1028</v>
      </c>
      <c r="F1105" s="41" t="s">
        <v>28</v>
      </c>
      <c r="G1105" s="41" t="s">
        <v>64</v>
      </c>
      <c r="I1105" s="41" t="s">
        <v>149</v>
      </c>
      <c r="J1105" s="41" t="s">
        <v>32</v>
      </c>
      <c r="K1105" s="42"/>
      <c r="L1105" s="41" t="s">
        <v>4074</v>
      </c>
      <c r="M1105" s="41">
        <v>23</v>
      </c>
      <c r="N1105" s="41" t="s">
        <v>340</v>
      </c>
      <c r="O1105" s="41" t="s">
        <v>1860</v>
      </c>
      <c r="P1105" s="41" t="s">
        <v>179</v>
      </c>
      <c r="Q1105" s="41" t="s">
        <v>180</v>
      </c>
      <c r="R1105" s="41" t="s">
        <v>39</v>
      </c>
      <c r="S1105" s="41" t="s">
        <v>40</v>
      </c>
      <c r="T1105" s="41" t="s">
        <v>40</v>
      </c>
      <c r="U1105" s="41" t="s">
        <v>40</v>
      </c>
    </row>
    <row r="1106" spans="1:21">
      <c r="A1106" s="41">
        <v>1803</v>
      </c>
      <c r="B1106" s="41" t="s">
        <v>4273</v>
      </c>
      <c r="D1106" s="41">
        <v>4631</v>
      </c>
      <c r="E1106" s="41" t="s">
        <v>971</v>
      </c>
      <c r="F1106" s="41" t="s">
        <v>53</v>
      </c>
      <c r="G1106" s="41" t="s">
        <v>141</v>
      </c>
      <c r="I1106" s="41" t="s">
        <v>162</v>
      </c>
      <c r="J1106" s="41" t="s">
        <v>32</v>
      </c>
      <c r="K1106" s="42"/>
      <c r="L1106" s="41" t="s">
        <v>4274</v>
      </c>
      <c r="M1106" s="41">
        <v>220</v>
      </c>
      <c r="N1106" s="41" t="s">
        <v>67</v>
      </c>
      <c r="O1106" s="41" t="s">
        <v>620</v>
      </c>
      <c r="P1106" s="41" t="s">
        <v>382</v>
      </c>
      <c r="Q1106" s="41" t="s">
        <v>446</v>
      </c>
      <c r="R1106" s="41" t="s">
        <v>62</v>
      </c>
      <c r="S1106" s="41" t="s">
        <v>4275</v>
      </c>
      <c r="T1106" s="41" t="s">
        <v>1449</v>
      </c>
      <c r="U1106" s="41" t="s">
        <v>40</v>
      </c>
    </row>
    <row r="1107" spans="1:21">
      <c r="A1107" s="41">
        <v>1802</v>
      </c>
      <c r="B1107" s="41" t="s">
        <v>4276</v>
      </c>
      <c r="D1107" s="41">
        <v>4654</v>
      </c>
      <c r="E1107" s="41" t="s">
        <v>1435</v>
      </c>
      <c r="F1107" s="41" t="s">
        <v>53</v>
      </c>
      <c r="G1107" s="41" t="s">
        <v>54</v>
      </c>
      <c r="I1107" s="41" t="s">
        <v>231</v>
      </c>
      <c r="J1107" s="41" t="s">
        <v>32</v>
      </c>
      <c r="K1107" s="42"/>
      <c r="L1107" s="41" t="s">
        <v>4277</v>
      </c>
      <c r="M1107" s="41">
        <v>110</v>
      </c>
      <c r="N1107" s="41" t="s">
        <v>1869</v>
      </c>
      <c r="O1107" s="41" t="s">
        <v>4278</v>
      </c>
      <c r="P1107" s="41" t="s">
        <v>50</v>
      </c>
      <c r="Q1107" s="41" t="s">
        <v>1499</v>
      </c>
      <c r="R1107" s="41" t="s">
        <v>132</v>
      </c>
      <c r="S1107" s="41" t="s">
        <v>40</v>
      </c>
      <c r="T1107" s="41" t="s">
        <v>40</v>
      </c>
      <c r="U1107" s="41" t="s">
        <v>40</v>
      </c>
    </row>
    <row r="1108" spans="1:21">
      <c r="A1108" s="41">
        <v>1801</v>
      </c>
      <c r="B1108" s="41" t="s">
        <v>4279</v>
      </c>
      <c r="D1108" s="41">
        <v>4653</v>
      </c>
      <c r="E1108" s="41" t="s">
        <v>4280</v>
      </c>
      <c r="F1108" s="41" t="s">
        <v>53</v>
      </c>
      <c r="G1108" s="41" t="s">
        <v>141</v>
      </c>
      <c r="I1108" s="41" t="s">
        <v>231</v>
      </c>
      <c r="J1108" s="41" t="s">
        <v>32</v>
      </c>
      <c r="K1108" s="42"/>
      <c r="L1108" s="41" t="s">
        <v>4281</v>
      </c>
      <c r="M1108" s="41">
        <v>23</v>
      </c>
      <c r="N1108" s="41" t="s">
        <v>4282</v>
      </c>
      <c r="O1108" s="41" t="s">
        <v>4283</v>
      </c>
      <c r="P1108" s="41" t="s">
        <v>83</v>
      </c>
      <c r="Q1108" s="41" t="s">
        <v>84</v>
      </c>
      <c r="R1108" s="41" t="s">
        <v>62</v>
      </c>
      <c r="S1108" s="41" t="s">
        <v>4284</v>
      </c>
      <c r="T1108" s="41" t="s">
        <v>1449</v>
      </c>
      <c r="U1108" s="41" t="s">
        <v>40</v>
      </c>
    </row>
    <row r="1109" spans="1:21">
      <c r="A1109" s="41">
        <v>1800</v>
      </c>
      <c r="B1109" s="41" t="s">
        <v>4285</v>
      </c>
      <c r="D1109" s="41">
        <v>4630</v>
      </c>
      <c r="E1109" s="41" t="s">
        <v>971</v>
      </c>
      <c r="F1109" s="41" t="s">
        <v>53</v>
      </c>
      <c r="G1109" s="41" t="s">
        <v>188</v>
      </c>
      <c r="I1109" s="41" t="s">
        <v>338</v>
      </c>
      <c r="J1109" s="41" t="s">
        <v>32</v>
      </c>
      <c r="K1109" s="42"/>
      <c r="L1109" s="41" t="s">
        <v>4286</v>
      </c>
      <c r="M1109" s="41">
        <v>220</v>
      </c>
      <c r="N1109" s="41" t="s">
        <v>67</v>
      </c>
      <c r="O1109" s="41" t="s">
        <v>1525</v>
      </c>
      <c r="P1109" s="41" t="s">
        <v>179</v>
      </c>
      <c r="Q1109" s="41" t="s">
        <v>524</v>
      </c>
      <c r="R1109" s="41" t="s">
        <v>62</v>
      </c>
      <c r="S1109" s="41" t="s">
        <v>40</v>
      </c>
      <c r="T1109" s="41" t="s">
        <v>40</v>
      </c>
      <c r="U1109" s="41" t="s">
        <v>40</v>
      </c>
    </row>
    <row r="1110" spans="1:21">
      <c r="A1110" s="41">
        <v>1799</v>
      </c>
      <c r="B1110" s="41" t="s">
        <v>4287</v>
      </c>
      <c r="D1110" s="41">
        <v>4652</v>
      </c>
      <c r="E1110" s="41" t="s">
        <v>1882</v>
      </c>
      <c r="F1110" s="41" t="s">
        <v>28</v>
      </c>
      <c r="G1110" s="41" t="s">
        <v>64</v>
      </c>
      <c r="I1110" s="41" t="s">
        <v>3208</v>
      </c>
      <c r="J1110" s="41" t="s">
        <v>295</v>
      </c>
      <c r="K1110" s="42"/>
      <c r="L1110" s="41" t="s">
        <v>4288</v>
      </c>
      <c r="M1110" s="41">
        <v>110</v>
      </c>
      <c r="N1110" s="41" t="s">
        <v>4289</v>
      </c>
      <c r="O1110" s="41" t="s">
        <v>4289</v>
      </c>
      <c r="P1110" s="41" t="s">
        <v>98</v>
      </c>
      <c r="Q1110" s="41" t="s">
        <v>569</v>
      </c>
      <c r="R1110" s="41" t="s">
        <v>39</v>
      </c>
      <c r="S1110" s="41" t="s">
        <v>40</v>
      </c>
      <c r="T1110" s="41" t="s">
        <v>40</v>
      </c>
      <c r="U1110" s="41" t="s">
        <v>40</v>
      </c>
    </row>
    <row r="1111" spans="1:21">
      <c r="A1111" s="41">
        <v>1798</v>
      </c>
      <c r="B1111" s="41" t="s">
        <v>4290</v>
      </c>
      <c r="D1111" s="41">
        <v>4629</v>
      </c>
      <c r="E1111" s="41" t="s">
        <v>971</v>
      </c>
      <c r="F1111" s="41" t="s">
        <v>53</v>
      </c>
      <c r="G1111" s="41" t="s">
        <v>141</v>
      </c>
      <c r="I1111" s="41" t="s">
        <v>162</v>
      </c>
      <c r="J1111" s="41" t="s">
        <v>32</v>
      </c>
      <c r="K1111" s="42"/>
      <c r="L1111" s="41" t="s">
        <v>4270</v>
      </c>
      <c r="M1111" s="41">
        <v>220</v>
      </c>
      <c r="N1111" s="41" t="s">
        <v>67</v>
      </c>
      <c r="O1111" s="41" t="s">
        <v>791</v>
      </c>
      <c r="P1111" s="41" t="s">
        <v>153</v>
      </c>
      <c r="Q1111" s="41" t="s">
        <v>153</v>
      </c>
      <c r="R1111" s="41" t="s">
        <v>62</v>
      </c>
      <c r="S1111" s="41" t="s">
        <v>4291</v>
      </c>
      <c r="T1111" s="41" t="s">
        <v>2169</v>
      </c>
      <c r="U1111" s="41" t="s">
        <v>40</v>
      </c>
    </row>
    <row r="1112" spans="1:21">
      <c r="A1112" s="41">
        <v>1797</v>
      </c>
      <c r="B1112" s="41" t="s">
        <v>4292</v>
      </c>
      <c r="D1112" s="41">
        <v>4651</v>
      </c>
      <c r="E1112" s="41" t="s">
        <v>1091</v>
      </c>
      <c r="F1112" s="41" t="s">
        <v>53</v>
      </c>
      <c r="G1112" s="41" t="s">
        <v>307</v>
      </c>
      <c r="I1112" s="41" t="s">
        <v>1092</v>
      </c>
      <c r="J1112" s="41" t="s">
        <v>672</v>
      </c>
      <c r="K1112" s="42"/>
      <c r="L1112" s="41" t="s">
        <v>3267</v>
      </c>
      <c r="M1112" s="41">
        <v>12</v>
      </c>
      <c r="N1112" s="41" t="s">
        <v>1253</v>
      </c>
      <c r="O1112" s="41" t="s">
        <v>1361</v>
      </c>
      <c r="P1112" s="41" t="s">
        <v>68</v>
      </c>
      <c r="Q1112" s="41" t="s">
        <v>3269</v>
      </c>
      <c r="R1112" s="41" t="s">
        <v>132</v>
      </c>
      <c r="S1112" s="41" t="s">
        <v>4293</v>
      </c>
      <c r="T1112" s="41" t="s">
        <v>3491</v>
      </c>
      <c r="U1112" s="41" t="s">
        <v>40</v>
      </c>
    </row>
    <row r="1113" spans="1:21">
      <c r="A1113" s="41">
        <v>1796</v>
      </c>
      <c r="B1113" s="41" t="s">
        <v>4294</v>
      </c>
      <c r="D1113" s="41">
        <v>4649</v>
      </c>
      <c r="E1113" s="41" t="s">
        <v>1091</v>
      </c>
      <c r="F1113" s="41" t="s">
        <v>53</v>
      </c>
      <c r="G1113" s="41" t="s">
        <v>307</v>
      </c>
      <c r="I1113" s="41" t="s">
        <v>1092</v>
      </c>
      <c r="J1113" s="41" t="s">
        <v>672</v>
      </c>
      <c r="K1113" s="42"/>
      <c r="L1113" s="41" t="s">
        <v>4295</v>
      </c>
      <c r="M1113" s="41">
        <v>12</v>
      </c>
      <c r="N1113" s="41" t="s">
        <v>4296</v>
      </c>
      <c r="O1113" s="41" t="s">
        <v>1392</v>
      </c>
      <c r="P1113" s="41" t="s">
        <v>68</v>
      </c>
      <c r="Q1113" s="41" t="s">
        <v>4297</v>
      </c>
      <c r="R1113" s="41" t="s">
        <v>132</v>
      </c>
      <c r="S1113" s="41" t="s">
        <v>4298</v>
      </c>
      <c r="T1113" s="41" t="s">
        <v>3646</v>
      </c>
      <c r="U1113" s="41" t="s">
        <v>40</v>
      </c>
    </row>
    <row r="1114" spans="1:21">
      <c r="A1114" s="41">
        <v>1795</v>
      </c>
      <c r="B1114" s="41" t="s">
        <v>4299</v>
      </c>
      <c r="D1114" s="41">
        <v>4650</v>
      </c>
      <c r="E1114" s="41" t="s">
        <v>1091</v>
      </c>
      <c r="F1114" s="41" t="s">
        <v>53</v>
      </c>
      <c r="G1114" s="41" t="s">
        <v>307</v>
      </c>
      <c r="I1114" s="41" t="s">
        <v>1092</v>
      </c>
      <c r="J1114" s="41" t="s">
        <v>672</v>
      </c>
      <c r="K1114" s="42"/>
      <c r="L1114" s="41" t="s">
        <v>1359</v>
      </c>
      <c r="M1114" s="41">
        <v>12</v>
      </c>
      <c r="N1114" s="41" t="s">
        <v>1253</v>
      </c>
      <c r="O1114" s="41" t="s">
        <v>1667</v>
      </c>
      <c r="P1114" s="41" t="s">
        <v>68</v>
      </c>
      <c r="Q1114" s="41" t="s">
        <v>1254</v>
      </c>
      <c r="R1114" s="41" t="s">
        <v>132</v>
      </c>
      <c r="S1114" s="41" t="s">
        <v>4300</v>
      </c>
      <c r="T1114" s="41" t="s">
        <v>604</v>
      </c>
      <c r="U1114" s="41" t="s">
        <v>40</v>
      </c>
    </row>
    <row r="1115" spans="1:21">
      <c r="A1115" s="41">
        <v>1794</v>
      </c>
      <c r="B1115" s="41" t="s">
        <v>4301</v>
      </c>
      <c r="D1115" s="41">
        <v>4648</v>
      </c>
      <c r="E1115" s="41" t="s">
        <v>1091</v>
      </c>
      <c r="F1115" s="41" t="s">
        <v>53</v>
      </c>
      <c r="G1115" s="41" t="s">
        <v>307</v>
      </c>
      <c r="I1115" s="41" t="s">
        <v>1092</v>
      </c>
      <c r="J1115" s="41" t="s">
        <v>672</v>
      </c>
      <c r="K1115" s="42"/>
      <c r="L1115" s="41" t="s">
        <v>2157</v>
      </c>
      <c r="M1115" s="41">
        <v>12</v>
      </c>
      <c r="N1115" s="41" t="s">
        <v>3747</v>
      </c>
      <c r="O1115" s="41" t="s">
        <v>4302</v>
      </c>
      <c r="P1115" s="41" t="s">
        <v>68</v>
      </c>
      <c r="Q1115" s="41" t="s">
        <v>1268</v>
      </c>
      <c r="R1115" s="41" t="s">
        <v>132</v>
      </c>
      <c r="S1115" s="41" t="s">
        <v>4303</v>
      </c>
      <c r="T1115" s="41" t="s">
        <v>3646</v>
      </c>
      <c r="U1115" s="41" t="s">
        <v>40</v>
      </c>
    </row>
    <row r="1116" spans="1:21">
      <c r="A1116" s="41">
        <v>1793</v>
      </c>
      <c r="B1116" s="41" t="s">
        <v>4304</v>
      </c>
      <c r="D1116" s="41">
        <v>4646</v>
      </c>
      <c r="E1116" s="41" t="s">
        <v>4042</v>
      </c>
      <c r="F1116" s="41" t="s">
        <v>53</v>
      </c>
      <c r="G1116" s="41" t="s">
        <v>141</v>
      </c>
      <c r="I1116" s="41" t="s">
        <v>338</v>
      </c>
      <c r="J1116" s="41" t="s">
        <v>32</v>
      </c>
      <c r="K1116" s="42"/>
      <c r="L1116" s="41" t="s">
        <v>4043</v>
      </c>
      <c r="M1116" s="41">
        <v>220</v>
      </c>
      <c r="N1116" s="41" t="s">
        <v>340</v>
      </c>
      <c r="O1116" s="41" t="s">
        <v>271</v>
      </c>
      <c r="P1116" s="41" t="s">
        <v>153</v>
      </c>
      <c r="Q1116" s="41" t="s">
        <v>154</v>
      </c>
      <c r="R1116" s="41" t="s">
        <v>62</v>
      </c>
      <c r="S1116" s="41" t="s">
        <v>4305</v>
      </c>
      <c r="T1116" s="41" t="s">
        <v>1796</v>
      </c>
      <c r="U1116" s="41" t="s">
        <v>40</v>
      </c>
    </row>
    <row r="1117" spans="1:21">
      <c r="A1117" s="41">
        <v>1792</v>
      </c>
      <c r="B1117" s="41" t="s">
        <v>192</v>
      </c>
      <c r="D1117" s="41">
        <v>4647</v>
      </c>
      <c r="E1117" s="41" t="s">
        <v>27</v>
      </c>
      <c r="F1117" s="41" t="s">
        <v>42</v>
      </c>
      <c r="G1117" s="41" t="s">
        <v>141</v>
      </c>
      <c r="I1117" s="41" t="s">
        <v>194</v>
      </c>
      <c r="J1117" s="41" t="s">
        <v>32</v>
      </c>
      <c r="K1117" s="42"/>
      <c r="L1117" s="41" t="s">
        <v>196</v>
      </c>
      <c r="M1117" s="41">
        <v>13</v>
      </c>
      <c r="N1117" s="41" t="s">
        <v>67</v>
      </c>
      <c r="O1117" s="41" t="s">
        <v>77</v>
      </c>
      <c r="P1117" s="41" t="s">
        <v>172</v>
      </c>
      <c r="Q1117" s="41" t="s">
        <v>197</v>
      </c>
      <c r="R1117" s="41" t="s">
        <v>39</v>
      </c>
      <c r="S1117" s="41" t="s">
        <v>40</v>
      </c>
      <c r="T1117" s="41" t="s">
        <v>198</v>
      </c>
      <c r="U1117" s="41" t="s">
        <v>40</v>
      </c>
    </row>
    <row r="1118" spans="1:21">
      <c r="A1118" s="41">
        <v>1791</v>
      </c>
      <c r="B1118" s="41" t="s">
        <v>4306</v>
      </c>
      <c r="D1118" s="41">
        <v>4637</v>
      </c>
      <c r="E1118" s="41" t="s">
        <v>2196</v>
      </c>
      <c r="F1118" s="41" t="s">
        <v>42</v>
      </c>
      <c r="G1118" s="41" t="s">
        <v>121</v>
      </c>
      <c r="I1118" s="41" t="s">
        <v>3645</v>
      </c>
      <c r="J1118" s="41" t="s">
        <v>32</v>
      </c>
      <c r="K1118" s="42"/>
      <c r="L1118" s="41" t="s">
        <v>4307</v>
      </c>
      <c r="M1118" s="41">
        <v>220</v>
      </c>
      <c r="N1118" s="41" t="s">
        <v>1020</v>
      </c>
      <c r="O1118" s="41" t="s">
        <v>36</v>
      </c>
      <c r="P1118" s="41" t="s">
        <v>98</v>
      </c>
      <c r="Q1118" s="41" t="s">
        <v>116</v>
      </c>
      <c r="R1118" s="41" t="s">
        <v>39</v>
      </c>
      <c r="S1118" s="41" t="s">
        <v>40</v>
      </c>
      <c r="T1118" s="41" t="s">
        <v>3646</v>
      </c>
      <c r="U1118" s="41" t="s">
        <v>40</v>
      </c>
    </row>
    <row r="1119" spans="1:21">
      <c r="A1119" s="41">
        <v>1790</v>
      </c>
      <c r="B1119" s="41" t="s">
        <v>199</v>
      </c>
      <c r="D1119" s="41">
        <v>4636</v>
      </c>
      <c r="E1119" s="41" t="s">
        <v>27</v>
      </c>
      <c r="F1119" s="41" t="s">
        <v>42</v>
      </c>
      <c r="G1119" s="41" t="s">
        <v>121</v>
      </c>
      <c r="I1119" s="41" t="s">
        <v>201</v>
      </c>
      <c r="J1119" s="41" t="s">
        <v>32</v>
      </c>
      <c r="K1119" s="42"/>
      <c r="L1119" s="41" t="s">
        <v>203</v>
      </c>
      <c r="M1119" s="41">
        <v>33</v>
      </c>
      <c r="N1119" s="41" t="s">
        <v>67</v>
      </c>
      <c r="O1119" s="41" t="s">
        <v>77</v>
      </c>
      <c r="P1119" s="41" t="s">
        <v>98</v>
      </c>
      <c r="Q1119" s="41" t="s">
        <v>204</v>
      </c>
      <c r="R1119" s="41" t="s">
        <v>39</v>
      </c>
      <c r="S1119" s="41" t="s">
        <v>40</v>
      </c>
      <c r="T1119" s="41" t="s">
        <v>205</v>
      </c>
      <c r="U1119" s="41" t="s">
        <v>40</v>
      </c>
    </row>
    <row r="1120" spans="1:21">
      <c r="A1120" s="41">
        <v>1789</v>
      </c>
      <c r="B1120" s="41" t="s">
        <v>206</v>
      </c>
      <c r="D1120" s="41">
        <v>4635</v>
      </c>
      <c r="E1120" s="41" t="s">
        <v>27</v>
      </c>
      <c r="F1120" s="41" t="s">
        <v>42</v>
      </c>
      <c r="G1120" s="41" t="s">
        <v>121</v>
      </c>
      <c r="I1120" s="41" t="s">
        <v>45</v>
      </c>
      <c r="J1120" s="41" t="s">
        <v>32</v>
      </c>
      <c r="K1120" s="42"/>
      <c r="L1120" s="41" t="s">
        <v>209</v>
      </c>
      <c r="M1120" s="41">
        <v>33</v>
      </c>
      <c r="N1120" s="41" t="s">
        <v>67</v>
      </c>
      <c r="O1120" s="41" t="s">
        <v>36</v>
      </c>
      <c r="P1120" s="41" t="s">
        <v>50</v>
      </c>
      <c r="Q1120" s="41" t="s">
        <v>51</v>
      </c>
      <c r="R1120" s="41" t="s">
        <v>39</v>
      </c>
      <c r="S1120" s="41" t="s">
        <v>40</v>
      </c>
      <c r="T1120" s="41" t="s">
        <v>210</v>
      </c>
      <c r="U1120" s="41" t="s">
        <v>40</v>
      </c>
    </row>
    <row r="1121" spans="1:21">
      <c r="A1121" s="41">
        <v>1788</v>
      </c>
      <c r="B1121" s="41" t="s">
        <v>4308</v>
      </c>
      <c r="D1121" s="41">
        <v>4634</v>
      </c>
      <c r="E1121" s="41" t="s">
        <v>1028</v>
      </c>
      <c r="F1121" s="41" t="s">
        <v>53</v>
      </c>
      <c r="G1121" s="41" t="s">
        <v>141</v>
      </c>
      <c r="I1121" s="41" t="s">
        <v>162</v>
      </c>
      <c r="J1121" s="41" t="s">
        <v>32</v>
      </c>
      <c r="K1121" s="42"/>
      <c r="L1121" s="41" t="s">
        <v>1383</v>
      </c>
      <c r="M1121" s="41">
        <v>110</v>
      </c>
      <c r="N1121" s="41" t="s">
        <v>340</v>
      </c>
      <c r="O1121" s="41" t="s">
        <v>3708</v>
      </c>
      <c r="P1121" s="41" t="s">
        <v>78</v>
      </c>
      <c r="Q1121" s="41" t="s">
        <v>131</v>
      </c>
      <c r="R1121" s="41" t="s">
        <v>132</v>
      </c>
      <c r="S1121" s="41" t="s">
        <v>4309</v>
      </c>
      <c r="T1121" s="41" t="s">
        <v>1500</v>
      </c>
      <c r="U1121" s="41" t="s">
        <v>40</v>
      </c>
    </row>
    <row r="1122" spans="1:21">
      <c r="A1122" s="41">
        <v>1787</v>
      </c>
      <c r="B1122" s="41" t="s">
        <v>4310</v>
      </c>
      <c r="D1122" s="41">
        <v>4633</v>
      </c>
      <c r="E1122" s="41" t="s">
        <v>1617</v>
      </c>
      <c r="F1122" s="41" t="s">
        <v>28</v>
      </c>
      <c r="G1122" s="41" t="s">
        <v>286</v>
      </c>
      <c r="I1122" s="41" t="s">
        <v>1355</v>
      </c>
      <c r="J1122" s="41" t="s">
        <v>672</v>
      </c>
      <c r="K1122" s="42"/>
      <c r="L1122" s="41" t="s">
        <v>4311</v>
      </c>
      <c r="M1122" s="41">
        <v>110</v>
      </c>
      <c r="N1122" s="41" t="s">
        <v>1020</v>
      </c>
      <c r="O1122" s="41" t="s">
        <v>2215</v>
      </c>
      <c r="P1122" s="41" t="s">
        <v>68</v>
      </c>
      <c r="Q1122" s="41" t="s">
        <v>69</v>
      </c>
      <c r="R1122" s="41" t="s">
        <v>39</v>
      </c>
      <c r="S1122" s="41" t="s">
        <v>40</v>
      </c>
      <c r="T1122" s="41" t="s">
        <v>40</v>
      </c>
      <c r="U1122" s="41" t="s">
        <v>40</v>
      </c>
    </row>
    <row r="1123" spans="1:21">
      <c r="A1123" s="41">
        <v>1786</v>
      </c>
      <c r="B1123" s="41" t="s">
        <v>4312</v>
      </c>
      <c r="D1123" s="41">
        <v>4627</v>
      </c>
      <c r="E1123" s="41" t="s">
        <v>2437</v>
      </c>
      <c r="F1123" s="41" t="s">
        <v>42</v>
      </c>
      <c r="G1123" s="41" t="s">
        <v>141</v>
      </c>
      <c r="I1123" s="41" t="s">
        <v>4313</v>
      </c>
      <c r="J1123" s="41" t="s">
        <v>32</v>
      </c>
      <c r="K1123" s="42"/>
      <c r="L1123" s="41" t="s">
        <v>4314</v>
      </c>
      <c r="M1123" s="41">
        <v>220</v>
      </c>
      <c r="N1123" s="41" t="s">
        <v>4315</v>
      </c>
      <c r="O1123" s="41" t="s">
        <v>4316</v>
      </c>
      <c r="P1123" s="41" t="s">
        <v>98</v>
      </c>
      <c r="Q1123" s="41" t="s">
        <v>370</v>
      </c>
      <c r="R1123" s="41" t="s">
        <v>39</v>
      </c>
      <c r="S1123" s="41" t="s">
        <v>40</v>
      </c>
      <c r="T1123" s="41" t="s">
        <v>313</v>
      </c>
      <c r="U1123" s="41" t="s">
        <v>40</v>
      </c>
    </row>
    <row r="1124" spans="1:21">
      <c r="A1124" s="41">
        <v>1785</v>
      </c>
      <c r="B1124" s="41" t="s">
        <v>4317</v>
      </c>
      <c r="D1124" s="41">
        <v>4628</v>
      </c>
      <c r="E1124" s="41" t="s">
        <v>2405</v>
      </c>
      <c r="F1124" s="41" t="s">
        <v>28</v>
      </c>
      <c r="G1124" s="41" t="s">
        <v>301</v>
      </c>
      <c r="I1124" s="41" t="s">
        <v>464</v>
      </c>
      <c r="J1124" s="41" t="s">
        <v>32</v>
      </c>
      <c r="K1124" s="42"/>
      <c r="L1124" s="41" t="s">
        <v>4318</v>
      </c>
      <c r="M1124" s="41">
        <v>154</v>
      </c>
      <c r="N1124" s="41" t="s">
        <v>1052</v>
      </c>
      <c r="O1124" s="41" t="s">
        <v>77</v>
      </c>
      <c r="P1124" s="41" t="s">
        <v>60</v>
      </c>
      <c r="Q1124" s="41" t="s">
        <v>608</v>
      </c>
      <c r="R1124" s="41" t="s">
        <v>39</v>
      </c>
      <c r="S1124" s="41" t="s">
        <v>4319</v>
      </c>
      <c r="T1124" s="41" t="s">
        <v>2690</v>
      </c>
      <c r="U1124" s="41" t="s">
        <v>40</v>
      </c>
    </row>
    <row r="1125" spans="1:21">
      <c r="A1125" s="41">
        <v>1784</v>
      </c>
      <c r="B1125" s="41" t="s">
        <v>4320</v>
      </c>
      <c r="D1125" s="41">
        <v>4626</v>
      </c>
      <c r="E1125" s="41" t="s">
        <v>1191</v>
      </c>
      <c r="F1125" s="41" t="s">
        <v>53</v>
      </c>
      <c r="G1125" s="41" t="s">
        <v>64</v>
      </c>
      <c r="I1125" s="41" t="s">
        <v>2905</v>
      </c>
      <c r="J1125" s="41" t="s">
        <v>380</v>
      </c>
      <c r="K1125" s="42"/>
      <c r="L1125" s="41" t="s">
        <v>4321</v>
      </c>
      <c r="M1125" s="41">
        <v>220</v>
      </c>
      <c r="N1125" s="41" t="s">
        <v>4322</v>
      </c>
      <c r="O1125" s="41" t="s">
        <v>2566</v>
      </c>
      <c r="P1125" s="41" t="s">
        <v>37</v>
      </c>
      <c r="Q1125" s="41" t="s">
        <v>1661</v>
      </c>
      <c r="R1125" s="41" t="s">
        <v>62</v>
      </c>
      <c r="S1125" s="41" t="s">
        <v>40</v>
      </c>
      <c r="T1125" s="41" t="s">
        <v>40</v>
      </c>
      <c r="U1125" s="41" t="s">
        <v>40</v>
      </c>
    </row>
    <row r="1126" spans="1:21">
      <c r="A1126" s="41">
        <v>1783</v>
      </c>
      <c r="B1126" s="41" t="s">
        <v>4323</v>
      </c>
      <c r="D1126" s="41">
        <v>4625</v>
      </c>
      <c r="E1126" s="41" t="s">
        <v>4324</v>
      </c>
      <c r="F1126" s="41" t="s">
        <v>28</v>
      </c>
      <c r="G1126" s="41" t="s">
        <v>301</v>
      </c>
      <c r="I1126" s="41" t="s">
        <v>4325</v>
      </c>
      <c r="J1126" s="41" t="s">
        <v>32</v>
      </c>
      <c r="K1126" s="42"/>
      <c r="L1126" s="41" t="s">
        <v>4326</v>
      </c>
      <c r="M1126" s="41">
        <v>220</v>
      </c>
      <c r="N1126" s="41" t="s">
        <v>4266</v>
      </c>
      <c r="O1126" s="41" t="s">
        <v>1578</v>
      </c>
      <c r="P1126" s="41" t="s">
        <v>98</v>
      </c>
      <c r="Q1126" s="41" t="s">
        <v>491</v>
      </c>
      <c r="R1126" s="41" t="s">
        <v>39</v>
      </c>
      <c r="S1126" s="41" t="s">
        <v>4327</v>
      </c>
      <c r="T1126" s="41" t="s">
        <v>186</v>
      </c>
      <c r="U1126" s="41" t="s">
        <v>40</v>
      </c>
    </row>
    <row r="1127" spans="1:21">
      <c r="A1127" s="41">
        <v>1782</v>
      </c>
      <c r="B1127" s="41" t="s">
        <v>4328</v>
      </c>
      <c r="D1127" s="41">
        <v>4622</v>
      </c>
      <c r="E1127" s="41" t="s">
        <v>2063</v>
      </c>
      <c r="F1127" s="41" t="s">
        <v>28</v>
      </c>
      <c r="G1127" s="41" t="s">
        <v>301</v>
      </c>
      <c r="I1127" s="41" t="s">
        <v>56</v>
      </c>
      <c r="J1127" s="41" t="s">
        <v>672</v>
      </c>
      <c r="K1127" s="42"/>
      <c r="L1127" s="41" t="s">
        <v>4079</v>
      </c>
      <c r="M1127" s="41">
        <v>220</v>
      </c>
      <c r="N1127" s="41" t="s">
        <v>1026</v>
      </c>
      <c r="O1127" s="41" t="s">
        <v>4329</v>
      </c>
      <c r="P1127" s="41" t="s">
        <v>98</v>
      </c>
      <c r="Q1127" s="41" t="s">
        <v>491</v>
      </c>
      <c r="R1127" s="41" t="s">
        <v>39</v>
      </c>
      <c r="S1127" s="41" t="s">
        <v>40</v>
      </c>
      <c r="T1127" s="41" t="s">
        <v>3450</v>
      </c>
      <c r="U1127" s="41" t="s">
        <v>40</v>
      </c>
    </row>
    <row r="1128" spans="1:21">
      <c r="A1128" s="41">
        <v>1781</v>
      </c>
      <c r="B1128" s="41" t="s">
        <v>4330</v>
      </c>
      <c r="D1128" s="41">
        <v>4620</v>
      </c>
      <c r="E1128" s="41" t="s">
        <v>4331</v>
      </c>
      <c r="F1128" s="41" t="s">
        <v>53</v>
      </c>
      <c r="G1128" s="41" t="s">
        <v>54</v>
      </c>
      <c r="I1128" s="41" t="s">
        <v>325</v>
      </c>
      <c r="J1128" s="41" t="s">
        <v>295</v>
      </c>
      <c r="K1128" s="42"/>
      <c r="L1128" s="41" t="s">
        <v>4332</v>
      </c>
      <c r="M1128" s="41">
        <v>154</v>
      </c>
      <c r="N1128" s="41" t="s">
        <v>67</v>
      </c>
      <c r="O1128" s="41" t="s">
        <v>2576</v>
      </c>
      <c r="P1128" s="41" t="s">
        <v>172</v>
      </c>
      <c r="Q1128" s="41" t="s">
        <v>2270</v>
      </c>
      <c r="R1128" s="41" t="s">
        <v>132</v>
      </c>
      <c r="S1128" s="41" t="s">
        <v>40</v>
      </c>
      <c r="T1128" s="41" t="s">
        <v>40</v>
      </c>
      <c r="U1128" s="41" t="s">
        <v>40</v>
      </c>
    </row>
    <row r="1129" spans="1:21">
      <c r="A1129" s="41">
        <v>1780</v>
      </c>
      <c r="B1129" s="41" t="s">
        <v>4333</v>
      </c>
      <c r="D1129" s="41">
        <v>4621</v>
      </c>
      <c r="E1129" s="41" t="s">
        <v>1182</v>
      </c>
      <c r="F1129" s="41" t="s">
        <v>28</v>
      </c>
      <c r="G1129" s="41" t="s">
        <v>301</v>
      </c>
      <c r="I1129" s="41" t="s">
        <v>4334</v>
      </c>
      <c r="J1129" s="41" t="s">
        <v>295</v>
      </c>
      <c r="K1129" s="42"/>
      <c r="L1129" s="41" t="s">
        <v>4335</v>
      </c>
      <c r="M1129" s="41">
        <v>220</v>
      </c>
      <c r="N1129" s="41" t="s">
        <v>4336</v>
      </c>
      <c r="O1129" s="41" t="s">
        <v>4337</v>
      </c>
      <c r="P1129" s="41" t="s">
        <v>98</v>
      </c>
      <c r="Q1129" s="41" t="s">
        <v>370</v>
      </c>
      <c r="R1129" s="41" t="s">
        <v>39</v>
      </c>
      <c r="S1129" s="41" t="s">
        <v>4338</v>
      </c>
      <c r="T1129" s="41" t="s">
        <v>3157</v>
      </c>
      <c r="U1129" s="41" t="s">
        <v>40</v>
      </c>
    </row>
    <row r="1130" spans="1:21">
      <c r="A1130" s="41">
        <v>1779</v>
      </c>
      <c r="B1130" s="41" t="s">
        <v>4339</v>
      </c>
      <c r="D1130" s="41">
        <v>4619</v>
      </c>
      <c r="E1130" s="41" t="s">
        <v>4340</v>
      </c>
      <c r="F1130" s="41" t="s">
        <v>28</v>
      </c>
      <c r="G1130" s="41" t="s">
        <v>301</v>
      </c>
      <c r="I1130" s="41" t="s">
        <v>3117</v>
      </c>
      <c r="J1130" s="41" t="s">
        <v>380</v>
      </c>
      <c r="K1130" s="42"/>
      <c r="L1130" s="41" t="s">
        <v>4341</v>
      </c>
      <c r="M1130" s="41">
        <v>33</v>
      </c>
      <c r="N1130" s="41" t="s">
        <v>4342</v>
      </c>
      <c r="O1130" s="41" t="s">
        <v>4343</v>
      </c>
      <c r="P1130" s="41" t="s">
        <v>37</v>
      </c>
      <c r="Q1130" s="41" t="s">
        <v>969</v>
      </c>
      <c r="R1130" s="41" t="s">
        <v>39</v>
      </c>
      <c r="S1130" s="41" t="s">
        <v>4344</v>
      </c>
      <c r="T1130" s="41" t="s">
        <v>266</v>
      </c>
      <c r="U1130" s="41" t="s">
        <v>40</v>
      </c>
    </row>
    <row r="1131" spans="1:21">
      <c r="A1131" s="41">
        <v>1778</v>
      </c>
      <c r="B1131" s="41" t="s">
        <v>4345</v>
      </c>
      <c r="D1131" s="41">
        <v>4618</v>
      </c>
      <c r="E1131" s="41" t="s">
        <v>4346</v>
      </c>
      <c r="F1131" s="41" t="s">
        <v>28</v>
      </c>
      <c r="G1131" s="41" t="s">
        <v>301</v>
      </c>
      <c r="I1131" s="41" t="s">
        <v>231</v>
      </c>
      <c r="J1131" s="41" t="s">
        <v>32</v>
      </c>
      <c r="K1131" s="42"/>
      <c r="L1131" s="41" t="s">
        <v>4347</v>
      </c>
      <c r="M1131" s="41">
        <v>220</v>
      </c>
      <c r="N1131" s="41" t="s">
        <v>59</v>
      </c>
      <c r="O1131" s="41" t="s">
        <v>1525</v>
      </c>
      <c r="P1131" s="41" t="s">
        <v>98</v>
      </c>
      <c r="Q1131" s="41" t="s">
        <v>204</v>
      </c>
      <c r="R1131" s="41" t="s">
        <v>39</v>
      </c>
      <c r="S1131" s="41" t="s">
        <v>4348</v>
      </c>
      <c r="T1131" s="41" t="s">
        <v>1894</v>
      </c>
      <c r="U1131" s="41" t="s">
        <v>40</v>
      </c>
    </row>
    <row r="1132" spans="1:21">
      <c r="A1132" s="41">
        <v>1777</v>
      </c>
      <c r="B1132" s="41" t="s">
        <v>4242</v>
      </c>
      <c r="D1132" s="41">
        <v>4617</v>
      </c>
      <c r="E1132" s="41" t="s">
        <v>4243</v>
      </c>
      <c r="F1132" s="41" t="s">
        <v>42</v>
      </c>
      <c r="G1132" s="41" t="s">
        <v>1175</v>
      </c>
      <c r="I1132" s="41" t="s">
        <v>4244</v>
      </c>
      <c r="J1132" s="41" t="s">
        <v>32</v>
      </c>
      <c r="K1132" s="42"/>
      <c r="L1132" s="41" t="s">
        <v>4245</v>
      </c>
      <c r="M1132" s="41">
        <v>33</v>
      </c>
      <c r="N1132" s="41" t="s">
        <v>67</v>
      </c>
      <c r="O1132" s="41" t="s">
        <v>3417</v>
      </c>
      <c r="P1132" s="41" t="s">
        <v>546</v>
      </c>
      <c r="Q1132" s="41" t="s">
        <v>2100</v>
      </c>
      <c r="R1132" s="41" t="s">
        <v>39</v>
      </c>
      <c r="S1132" s="41" t="s">
        <v>40</v>
      </c>
      <c r="T1132" s="41" t="s">
        <v>40</v>
      </c>
      <c r="U1132" s="41" t="s">
        <v>40</v>
      </c>
    </row>
    <row r="1133" spans="1:21">
      <c r="A1133" s="41">
        <v>1776</v>
      </c>
      <c r="B1133" s="41" t="s">
        <v>4349</v>
      </c>
      <c r="D1133" s="41">
        <v>4616</v>
      </c>
      <c r="E1133" s="41" t="s">
        <v>1091</v>
      </c>
      <c r="F1133" s="41" t="s">
        <v>53</v>
      </c>
      <c r="G1133" s="41" t="s">
        <v>307</v>
      </c>
      <c r="I1133" s="41" t="s">
        <v>3871</v>
      </c>
      <c r="J1133" s="41" t="s">
        <v>672</v>
      </c>
      <c r="K1133" s="42"/>
      <c r="L1133" s="41" t="s">
        <v>1265</v>
      </c>
      <c r="M1133" s="41">
        <v>23</v>
      </c>
      <c r="N1133" s="41" t="s">
        <v>4350</v>
      </c>
      <c r="O1133" s="41" t="s">
        <v>4351</v>
      </c>
      <c r="P1133" s="41" t="s">
        <v>68</v>
      </c>
      <c r="Q1133" s="41" t="s">
        <v>1268</v>
      </c>
      <c r="R1133" s="41" t="s">
        <v>132</v>
      </c>
      <c r="S1133" s="41" t="s">
        <v>4352</v>
      </c>
      <c r="T1133" s="41" t="s">
        <v>305</v>
      </c>
      <c r="U1133" s="41" t="s">
        <v>40</v>
      </c>
    </row>
    <row r="1134" spans="1:21">
      <c r="A1134" s="41">
        <v>1775</v>
      </c>
      <c r="B1134" s="41" t="s">
        <v>4353</v>
      </c>
      <c r="D1134" s="41">
        <v>4615</v>
      </c>
      <c r="E1134" s="41" t="s">
        <v>1091</v>
      </c>
      <c r="F1134" s="41" t="s">
        <v>53</v>
      </c>
      <c r="G1134" s="41" t="s">
        <v>307</v>
      </c>
      <c r="I1134" s="41" t="s">
        <v>1092</v>
      </c>
      <c r="J1134" s="41" t="s">
        <v>672</v>
      </c>
      <c r="K1134" s="42"/>
      <c r="L1134" s="41" t="s">
        <v>1260</v>
      </c>
      <c r="M1134" s="41">
        <v>12</v>
      </c>
      <c r="N1134" s="41" t="s">
        <v>1263</v>
      </c>
      <c r="O1134" s="41" t="s">
        <v>362</v>
      </c>
      <c r="P1134" s="41" t="s">
        <v>68</v>
      </c>
      <c r="Q1134" s="41" t="s">
        <v>1096</v>
      </c>
      <c r="R1134" s="41" t="s">
        <v>132</v>
      </c>
      <c r="S1134" s="41" t="s">
        <v>4354</v>
      </c>
      <c r="T1134" s="41" t="s">
        <v>604</v>
      </c>
      <c r="U1134" s="41" t="s">
        <v>40</v>
      </c>
    </row>
    <row r="1135" spans="1:21">
      <c r="A1135" s="41">
        <v>1774</v>
      </c>
      <c r="B1135" s="41" t="s">
        <v>4355</v>
      </c>
      <c r="D1135" s="41">
        <v>4612</v>
      </c>
      <c r="E1135" s="41" t="s">
        <v>3915</v>
      </c>
      <c r="F1135" s="41" t="s">
        <v>53</v>
      </c>
      <c r="G1135" s="41" t="s">
        <v>64</v>
      </c>
      <c r="I1135" s="41" t="s">
        <v>231</v>
      </c>
      <c r="J1135" s="41" t="s">
        <v>32</v>
      </c>
      <c r="K1135" s="42"/>
      <c r="L1135" s="41" t="s">
        <v>4356</v>
      </c>
      <c r="M1135" s="41">
        <v>66</v>
      </c>
      <c r="N1135" s="41" t="s">
        <v>59</v>
      </c>
      <c r="O1135" s="41" t="s">
        <v>482</v>
      </c>
      <c r="P1135" s="41" t="s">
        <v>172</v>
      </c>
      <c r="Q1135" s="41" t="s">
        <v>2270</v>
      </c>
      <c r="R1135" s="41" t="s">
        <v>132</v>
      </c>
      <c r="S1135" s="41" t="s">
        <v>40</v>
      </c>
      <c r="T1135" s="41" t="s">
        <v>40</v>
      </c>
      <c r="U1135" s="41" t="s">
        <v>40</v>
      </c>
    </row>
    <row r="1136" spans="1:21">
      <c r="A1136" s="41">
        <v>1773</v>
      </c>
      <c r="B1136" s="41" t="s">
        <v>4357</v>
      </c>
      <c r="D1136" s="41">
        <v>4614</v>
      </c>
      <c r="E1136" s="41" t="s">
        <v>1076</v>
      </c>
      <c r="F1136" s="41" t="s">
        <v>53</v>
      </c>
      <c r="G1136" s="41" t="s">
        <v>43</v>
      </c>
      <c r="I1136" s="41" t="s">
        <v>149</v>
      </c>
      <c r="J1136" s="41" t="s">
        <v>32</v>
      </c>
      <c r="K1136" s="42"/>
      <c r="L1136" s="41" t="s">
        <v>4358</v>
      </c>
      <c r="M1136" s="41">
        <v>66</v>
      </c>
      <c r="N1136" s="41" t="s">
        <v>4359</v>
      </c>
      <c r="O1136" s="41" t="s">
        <v>4255</v>
      </c>
      <c r="P1136" s="41" t="s">
        <v>60</v>
      </c>
      <c r="Q1136" s="41" t="s">
        <v>2759</v>
      </c>
      <c r="R1136" s="41" t="s">
        <v>62</v>
      </c>
      <c r="S1136" s="41" t="s">
        <v>40</v>
      </c>
      <c r="T1136" s="41" t="s">
        <v>40</v>
      </c>
      <c r="U1136" s="41" t="s">
        <v>40</v>
      </c>
    </row>
    <row r="1137" spans="1:21">
      <c r="A1137" s="41">
        <v>1772</v>
      </c>
      <c r="B1137" s="41" t="s">
        <v>4360</v>
      </c>
      <c r="D1137" s="41">
        <v>4613</v>
      </c>
      <c r="E1137" s="41" t="s">
        <v>4361</v>
      </c>
      <c r="F1137" s="41" t="s">
        <v>53</v>
      </c>
      <c r="G1137" s="41" t="s">
        <v>141</v>
      </c>
      <c r="I1137" s="41" t="s">
        <v>4362</v>
      </c>
      <c r="J1137" s="41" t="s">
        <v>380</v>
      </c>
      <c r="K1137" s="42"/>
      <c r="L1137" s="41" t="s">
        <v>1660</v>
      </c>
      <c r="M1137" s="41">
        <v>220</v>
      </c>
      <c r="N1137" s="41" t="s">
        <v>4363</v>
      </c>
      <c r="O1137" s="41" t="s">
        <v>452</v>
      </c>
      <c r="P1137" s="41" t="s">
        <v>37</v>
      </c>
      <c r="Q1137" s="41" t="s">
        <v>969</v>
      </c>
      <c r="R1137" s="41" t="s">
        <v>62</v>
      </c>
      <c r="S1137" s="41" t="s">
        <v>4364</v>
      </c>
      <c r="T1137" s="41" t="s">
        <v>2169</v>
      </c>
      <c r="U1137" s="41" t="s">
        <v>40</v>
      </c>
    </row>
    <row r="1138" spans="1:21">
      <c r="A1138" s="41">
        <v>1771</v>
      </c>
      <c r="B1138" s="41" t="s">
        <v>4365</v>
      </c>
      <c r="D1138" s="41">
        <v>4610</v>
      </c>
      <c r="E1138" s="41" t="s">
        <v>1191</v>
      </c>
      <c r="F1138" s="41" t="s">
        <v>53</v>
      </c>
      <c r="G1138" s="41" t="s">
        <v>188</v>
      </c>
      <c r="I1138" s="41" t="s">
        <v>45</v>
      </c>
      <c r="J1138" s="41" t="s">
        <v>32</v>
      </c>
      <c r="K1138" s="42"/>
      <c r="L1138" s="41" t="s">
        <v>4366</v>
      </c>
      <c r="M1138" s="41">
        <v>220</v>
      </c>
      <c r="N1138" s="41" t="s">
        <v>151</v>
      </c>
      <c r="O1138" s="41" t="s">
        <v>396</v>
      </c>
      <c r="P1138" s="41" t="s">
        <v>50</v>
      </c>
      <c r="Q1138" s="41" t="s">
        <v>51</v>
      </c>
      <c r="R1138" s="41" t="s">
        <v>62</v>
      </c>
      <c r="S1138" s="41" t="s">
        <v>40</v>
      </c>
      <c r="T1138" s="41" t="s">
        <v>40</v>
      </c>
      <c r="U1138" s="41" t="s">
        <v>40</v>
      </c>
    </row>
    <row r="1139" spans="1:21">
      <c r="A1139" s="41">
        <v>1770</v>
      </c>
      <c r="B1139" s="41" t="s">
        <v>3983</v>
      </c>
      <c r="D1139" s="41">
        <v>4611</v>
      </c>
      <c r="E1139" s="41" t="s">
        <v>1028</v>
      </c>
      <c r="F1139" s="41" t="s">
        <v>28</v>
      </c>
      <c r="G1139" s="41" t="s">
        <v>301</v>
      </c>
      <c r="I1139" s="41" t="s">
        <v>162</v>
      </c>
      <c r="J1139" s="41" t="s">
        <v>32</v>
      </c>
      <c r="K1139" s="42"/>
      <c r="L1139" s="41" t="s">
        <v>4367</v>
      </c>
      <c r="M1139" s="41">
        <v>220</v>
      </c>
      <c r="N1139" s="41" t="s">
        <v>1619</v>
      </c>
      <c r="O1139" s="41" t="s">
        <v>1619</v>
      </c>
      <c r="P1139" s="41" t="s">
        <v>179</v>
      </c>
      <c r="Q1139" s="41" t="s">
        <v>524</v>
      </c>
      <c r="R1139" s="41" t="s">
        <v>39</v>
      </c>
      <c r="S1139" s="41" t="s">
        <v>4368</v>
      </c>
      <c r="T1139" s="41" t="s">
        <v>3157</v>
      </c>
      <c r="U1139" s="41" t="s">
        <v>40</v>
      </c>
    </row>
    <row r="1140" spans="1:21">
      <c r="A1140" s="41">
        <v>1769</v>
      </c>
      <c r="B1140" s="41" t="s">
        <v>4369</v>
      </c>
      <c r="D1140" s="41">
        <v>4609</v>
      </c>
      <c r="E1140" s="41" t="s">
        <v>1465</v>
      </c>
      <c r="F1140" s="41" t="s">
        <v>53</v>
      </c>
      <c r="G1140" s="41" t="s">
        <v>54</v>
      </c>
      <c r="I1140" s="41" t="s">
        <v>56</v>
      </c>
      <c r="J1140" s="41" t="s">
        <v>32</v>
      </c>
      <c r="K1140" s="42"/>
      <c r="L1140" s="41" t="s">
        <v>4370</v>
      </c>
      <c r="M1140" s="41">
        <v>66</v>
      </c>
      <c r="N1140" s="41" t="s">
        <v>4371</v>
      </c>
      <c r="O1140" s="41" t="s">
        <v>4372</v>
      </c>
      <c r="P1140" s="41" t="s">
        <v>334</v>
      </c>
      <c r="Q1140" s="41" t="s">
        <v>389</v>
      </c>
      <c r="R1140" s="41" t="s">
        <v>132</v>
      </c>
      <c r="S1140" s="41" t="s">
        <v>40</v>
      </c>
      <c r="T1140" s="41" t="s">
        <v>40</v>
      </c>
      <c r="U1140" s="41" t="s">
        <v>40</v>
      </c>
    </row>
    <row r="1141" spans="1:21">
      <c r="A1141" s="41">
        <v>1768</v>
      </c>
      <c r="B1141" s="41" t="s">
        <v>4373</v>
      </c>
      <c r="D1141" s="41">
        <v>4608</v>
      </c>
      <c r="E1141" s="41" t="s">
        <v>1028</v>
      </c>
      <c r="F1141" s="41" t="s">
        <v>28</v>
      </c>
      <c r="G1141" s="41" t="s">
        <v>64</v>
      </c>
      <c r="I1141" s="41" t="s">
        <v>2572</v>
      </c>
      <c r="J1141" s="41" t="s">
        <v>32</v>
      </c>
      <c r="K1141" s="42"/>
      <c r="L1141" s="41" t="s">
        <v>4374</v>
      </c>
      <c r="M1141" s="41">
        <v>220</v>
      </c>
      <c r="N1141" s="41" t="s">
        <v>4375</v>
      </c>
      <c r="O1141" s="41" t="s">
        <v>4376</v>
      </c>
      <c r="P1141" s="41" t="s">
        <v>50</v>
      </c>
      <c r="Q1141" s="41" t="s">
        <v>51</v>
      </c>
      <c r="R1141" s="41" t="s">
        <v>39</v>
      </c>
      <c r="S1141" s="41" t="s">
        <v>40</v>
      </c>
      <c r="T1141" s="41" t="s">
        <v>40</v>
      </c>
      <c r="U1141" s="41" t="s">
        <v>40</v>
      </c>
    </row>
    <row r="1142" spans="1:21">
      <c r="A1142" s="41">
        <v>1767</v>
      </c>
      <c r="B1142" s="41" t="s">
        <v>4377</v>
      </c>
      <c r="D1142" s="41">
        <v>4607</v>
      </c>
      <c r="E1142" s="41" t="s">
        <v>4378</v>
      </c>
      <c r="F1142" s="41" t="s">
        <v>53</v>
      </c>
      <c r="G1142" s="41" t="s">
        <v>141</v>
      </c>
      <c r="I1142" s="41" t="s">
        <v>399</v>
      </c>
      <c r="J1142" s="41" t="s">
        <v>32</v>
      </c>
      <c r="K1142" s="42"/>
      <c r="L1142" s="41" t="s">
        <v>4379</v>
      </c>
      <c r="M1142" s="41">
        <v>66</v>
      </c>
      <c r="N1142" s="41" t="s">
        <v>59</v>
      </c>
      <c r="O1142" s="41" t="s">
        <v>388</v>
      </c>
      <c r="P1142" s="41" t="s">
        <v>172</v>
      </c>
      <c r="Q1142" s="41" t="s">
        <v>4377</v>
      </c>
      <c r="R1142" s="41" t="s">
        <v>132</v>
      </c>
      <c r="S1142" s="41" t="s">
        <v>4380</v>
      </c>
      <c r="T1142" s="41" t="s">
        <v>1449</v>
      </c>
      <c r="U1142" s="41" t="s">
        <v>40</v>
      </c>
    </row>
    <row r="1143" spans="1:21">
      <c r="A1143" s="41">
        <v>1766</v>
      </c>
      <c r="B1143" s="41" t="s">
        <v>4381</v>
      </c>
      <c r="D1143" s="41">
        <v>4606</v>
      </c>
      <c r="E1143" s="41" t="s">
        <v>2611</v>
      </c>
      <c r="F1143" s="41" t="s">
        <v>53</v>
      </c>
      <c r="G1143" s="41" t="s">
        <v>141</v>
      </c>
      <c r="I1143" s="41" t="s">
        <v>45</v>
      </c>
      <c r="J1143" s="41" t="s">
        <v>32</v>
      </c>
      <c r="K1143" s="42"/>
      <c r="L1143" s="41" t="s">
        <v>3623</v>
      </c>
      <c r="M1143" s="41">
        <v>220</v>
      </c>
      <c r="N1143" s="41" t="s">
        <v>805</v>
      </c>
      <c r="O1143" s="41" t="s">
        <v>345</v>
      </c>
      <c r="P1143" s="41" t="s">
        <v>179</v>
      </c>
      <c r="Q1143" s="41" t="s">
        <v>284</v>
      </c>
      <c r="R1143" s="41" t="s">
        <v>62</v>
      </c>
      <c r="S1143" s="41" t="s">
        <v>4382</v>
      </c>
      <c r="T1143" s="41" t="s">
        <v>1449</v>
      </c>
      <c r="U1143" s="41" t="s">
        <v>40</v>
      </c>
    </row>
    <row r="1144" spans="1:21">
      <c r="A1144" s="41">
        <v>1852</v>
      </c>
      <c r="B1144" s="41" t="s">
        <v>4112</v>
      </c>
      <c r="D1144" s="41">
        <v>4605</v>
      </c>
      <c r="E1144" s="41" t="s">
        <v>4113</v>
      </c>
      <c r="F1144" s="41" t="s">
        <v>53</v>
      </c>
      <c r="G1144" s="41" t="s">
        <v>64</v>
      </c>
      <c r="I1144" s="41" t="s">
        <v>4114</v>
      </c>
      <c r="J1144" s="41" t="s">
        <v>380</v>
      </c>
      <c r="K1144" s="42"/>
      <c r="L1144" s="41" t="s">
        <v>4115</v>
      </c>
      <c r="M1144" s="41">
        <v>220</v>
      </c>
      <c r="N1144" s="41" t="s">
        <v>2895</v>
      </c>
      <c r="O1144" s="41" t="s">
        <v>1525</v>
      </c>
      <c r="P1144" s="41" t="s">
        <v>37</v>
      </c>
      <c r="Q1144" s="41" t="s">
        <v>969</v>
      </c>
      <c r="R1144" s="41" t="s">
        <v>62</v>
      </c>
      <c r="S1144" s="41" t="s">
        <v>40</v>
      </c>
      <c r="T1144" s="41" t="s">
        <v>40</v>
      </c>
      <c r="U1144" s="41" t="s">
        <v>40</v>
      </c>
    </row>
    <row r="1145" spans="1:21">
      <c r="A1145" s="41">
        <v>1764</v>
      </c>
      <c r="B1145" s="41" t="s">
        <v>4383</v>
      </c>
      <c r="D1145" s="41">
        <v>4604</v>
      </c>
      <c r="E1145" s="41" t="s">
        <v>3948</v>
      </c>
      <c r="F1145" s="41" t="s">
        <v>53</v>
      </c>
      <c r="G1145" s="41" t="s">
        <v>307</v>
      </c>
      <c r="I1145" s="41" t="s">
        <v>1068</v>
      </c>
      <c r="J1145" s="41" t="s">
        <v>672</v>
      </c>
      <c r="K1145" s="42"/>
      <c r="L1145" s="41" t="s">
        <v>4384</v>
      </c>
      <c r="M1145" s="41">
        <v>23</v>
      </c>
      <c r="N1145" s="41" t="s">
        <v>67</v>
      </c>
      <c r="O1145" s="41" t="s">
        <v>553</v>
      </c>
      <c r="P1145" s="41" t="s">
        <v>83</v>
      </c>
      <c r="Q1145" s="41" t="s">
        <v>4385</v>
      </c>
      <c r="R1145" s="41" t="s">
        <v>132</v>
      </c>
      <c r="S1145" s="41" t="s">
        <v>4386</v>
      </c>
      <c r="T1145" s="41" t="s">
        <v>125</v>
      </c>
      <c r="U1145" s="41" t="s">
        <v>40</v>
      </c>
    </row>
    <row r="1146" spans="1:21">
      <c r="A1146" s="41">
        <v>1763</v>
      </c>
      <c r="B1146" s="41" t="s">
        <v>211</v>
      </c>
      <c r="D1146" s="41">
        <v>4595</v>
      </c>
      <c r="E1146" s="41" t="s">
        <v>27</v>
      </c>
      <c r="F1146" s="41" t="s">
        <v>28</v>
      </c>
      <c r="G1146" s="41" t="s">
        <v>64</v>
      </c>
      <c r="I1146" s="41" t="s">
        <v>135</v>
      </c>
      <c r="J1146" s="41" t="s">
        <v>32</v>
      </c>
      <c r="K1146" s="42"/>
      <c r="L1146" s="41" t="s">
        <v>213</v>
      </c>
      <c r="M1146" s="41">
        <v>220</v>
      </c>
      <c r="N1146" s="41" t="s">
        <v>67</v>
      </c>
      <c r="O1146" s="41" t="s">
        <v>36</v>
      </c>
      <c r="P1146" s="41" t="s">
        <v>78</v>
      </c>
      <c r="Q1146" s="41" t="s">
        <v>139</v>
      </c>
      <c r="R1146" s="41" t="s">
        <v>39</v>
      </c>
      <c r="S1146" s="41" t="s">
        <v>214</v>
      </c>
      <c r="T1146" s="41" t="s">
        <v>215</v>
      </c>
      <c r="U1146" s="41" t="s">
        <v>40</v>
      </c>
    </row>
    <row r="1147" spans="1:21">
      <c r="A1147" s="41">
        <v>1762</v>
      </c>
      <c r="B1147" s="41" t="s">
        <v>4387</v>
      </c>
      <c r="D1147" s="41">
        <v>4593</v>
      </c>
      <c r="E1147" s="41" t="s">
        <v>1713</v>
      </c>
      <c r="F1147" s="41" t="s">
        <v>53</v>
      </c>
      <c r="G1147" s="41" t="s">
        <v>64</v>
      </c>
      <c r="I1147" s="41" t="s">
        <v>399</v>
      </c>
      <c r="J1147" s="41" t="s">
        <v>672</v>
      </c>
      <c r="K1147" s="42"/>
      <c r="L1147" s="41" t="s">
        <v>4388</v>
      </c>
      <c r="M1147" s="41">
        <v>110</v>
      </c>
      <c r="N1147" s="41" t="s">
        <v>4389</v>
      </c>
      <c r="O1147" s="41" t="s">
        <v>4390</v>
      </c>
      <c r="P1147" s="41" t="s">
        <v>68</v>
      </c>
      <c r="Q1147" s="41" t="s">
        <v>191</v>
      </c>
      <c r="R1147" s="41" t="s">
        <v>132</v>
      </c>
      <c r="S1147" s="41" t="s">
        <v>40</v>
      </c>
      <c r="T1147" s="41" t="s">
        <v>40</v>
      </c>
      <c r="U1147" s="41" t="s">
        <v>40</v>
      </c>
    </row>
    <row r="1148" spans="1:21">
      <c r="A1148" s="41">
        <v>1761</v>
      </c>
      <c r="B1148" s="41" t="s">
        <v>4387</v>
      </c>
      <c r="E1148" s="41" t="s">
        <v>4192</v>
      </c>
      <c r="F1148" s="41" t="s">
        <v>53</v>
      </c>
      <c r="G1148" s="41" t="s">
        <v>43</v>
      </c>
      <c r="I1148" s="41" t="s">
        <v>399</v>
      </c>
      <c r="J1148" s="41" t="s">
        <v>672</v>
      </c>
      <c r="K1148" s="42"/>
      <c r="L1148" s="41" t="s">
        <v>1321</v>
      </c>
      <c r="M1148" s="41">
        <v>110</v>
      </c>
      <c r="N1148" s="41" t="s">
        <v>4389</v>
      </c>
      <c r="O1148" s="41" t="s">
        <v>4390</v>
      </c>
      <c r="P1148" s="41" t="s">
        <v>68</v>
      </c>
      <c r="Q1148" s="41" t="s">
        <v>191</v>
      </c>
      <c r="R1148" s="41" t="s">
        <v>132</v>
      </c>
      <c r="S1148" s="41" t="s">
        <v>40</v>
      </c>
      <c r="T1148" s="41" t="s">
        <v>40</v>
      </c>
      <c r="U1148" s="41" t="s">
        <v>40</v>
      </c>
    </row>
    <row r="1149" spans="1:21">
      <c r="A1149" s="41">
        <v>1760</v>
      </c>
      <c r="B1149" s="41" t="s">
        <v>4391</v>
      </c>
      <c r="D1149" s="41">
        <v>4592</v>
      </c>
      <c r="E1149" s="41" t="s">
        <v>4392</v>
      </c>
      <c r="F1149" s="41" t="s">
        <v>53</v>
      </c>
      <c r="G1149" s="41" t="s">
        <v>43</v>
      </c>
      <c r="I1149" s="41" t="s">
        <v>135</v>
      </c>
      <c r="J1149" s="41" t="s">
        <v>32</v>
      </c>
      <c r="K1149" s="42"/>
      <c r="L1149" s="41" t="s">
        <v>4393</v>
      </c>
      <c r="M1149" s="41">
        <v>220</v>
      </c>
      <c r="N1149" s="41" t="s">
        <v>36</v>
      </c>
      <c r="O1149" s="41" t="s">
        <v>36</v>
      </c>
      <c r="P1149" s="41" t="s">
        <v>68</v>
      </c>
      <c r="Q1149" s="41" t="s">
        <v>244</v>
      </c>
      <c r="R1149" s="41" t="s">
        <v>62</v>
      </c>
      <c r="S1149" s="41" t="s">
        <v>40</v>
      </c>
      <c r="T1149" s="41" t="s">
        <v>40</v>
      </c>
      <c r="U1149" s="41" t="s">
        <v>40</v>
      </c>
    </row>
    <row r="1150" spans="1:21">
      <c r="A1150" s="41">
        <v>1759</v>
      </c>
      <c r="B1150" s="41" t="s">
        <v>4391</v>
      </c>
      <c r="E1150" s="41" t="s">
        <v>4392</v>
      </c>
      <c r="F1150" s="41" t="s">
        <v>53</v>
      </c>
      <c r="G1150" s="41" t="s">
        <v>43</v>
      </c>
      <c r="I1150" s="41" t="s">
        <v>135</v>
      </c>
      <c r="J1150" s="41" t="s">
        <v>32</v>
      </c>
      <c r="K1150" s="42"/>
      <c r="L1150" s="41" t="s">
        <v>4394</v>
      </c>
      <c r="M1150" s="41">
        <v>220</v>
      </c>
      <c r="N1150" s="41" t="s">
        <v>36</v>
      </c>
      <c r="O1150" s="41" t="s">
        <v>36</v>
      </c>
      <c r="P1150" s="41" t="s">
        <v>68</v>
      </c>
      <c r="Q1150" s="41" t="s">
        <v>244</v>
      </c>
      <c r="R1150" s="41" t="s">
        <v>132</v>
      </c>
      <c r="S1150" s="41" t="s">
        <v>40</v>
      </c>
      <c r="T1150" s="41" t="s">
        <v>40</v>
      </c>
      <c r="U1150" s="41" t="s">
        <v>40</v>
      </c>
    </row>
    <row r="1151" spans="1:21">
      <c r="A1151" s="41">
        <v>1758</v>
      </c>
      <c r="B1151" s="41" t="s">
        <v>4395</v>
      </c>
      <c r="D1151" s="41">
        <v>4589</v>
      </c>
      <c r="E1151" s="41" t="s">
        <v>4396</v>
      </c>
      <c r="F1151" s="41" t="s">
        <v>53</v>
      </c>
      <c r="G1151" s="41" t="s">
        <v>141</v>
      </c>
      <c r="I1151" s="41" t="s">
        <v>231</v>
      </c>
      <c r="J1151" s="41" t="s">
        <v>32</v>
      </c>
      <c r="K1151" s="42"/>
      <c r="L1151" s="41" t="s">
        <v>4248</v>
      </c>
      <c r="M1151" s="41">
        <v>66</v>
      </c>
      <c r="N1151" s="41" t="s">
        <v>59</v>
      </c>
      <c r="O1151" s="41" t="s">
        <v>466</v>
      </c>
      <c r="P1151" s="41" t="s">
        <v>334</v>
      </c>
      <c r="Q1151" s="41" t="s">
        <v>423</v>
      </c>
      <c r="R1151" s="41" t="s">
        <v>132</v>
      </c>
      <c r="S1151" s="41" t="s">
        <v>4397</v>
      </c>
      <c r="T1151" s="41" t="s">
        <v>1796</v>
      </c>
      <c r="U1151" s="41" t="s">
        <v>40</v>
      </c>
    </row>
    <row r="1152" spans="1:21">
      <c r="A1152" s="41">
        <v>1757</v>
      </c>
      <c r="B1152" s="41" t="s">
        <v>4398</v>
      </c>
      <c r="D1152" s="41">
        <v>4591</v>
      </c>
      <c r="E1152" s="41" t="s">
        <v>965</v>
      </c>
      <c r="F1152" s="41" t="s">
        <v>53</v>
      </c>
      <c r="G1152" s="41" t="s">
        <v>54</v>
      </c>
      <c r="I1152" s="41" t="s">
        <v>149</v>
      </c>
      <c r="J1152" s="41" t="s">
        <v>32</v>
      </c>
      <c r="K1152" s="42"/>
      <c r="L1152" s="41" t="s">
        <v>4399</v>
      </c>
      <c r="M1152" s="41">
        <v>66</v>
      </c>
      <c r="N1152" s="41" t="s">
        <v>151</v>
      </c>
      <c r="O1152" s="41" t="s">
        <v>2721</v>
      </c>
      <c r="P1152" s="41" t="s">
        <v>60</v>
      </c>
      <c r="Q1152" s="41" t="s">
        <v>61</v>
      </c>
      <c r="R1152" s="41" t="s">
        <v>132</v>
      </c>
      <c r="S1152" s="41" t="s">
        <v>40</v>
      </c>
      <c r="T1152" s="41" t="s">
        <v>40</v>
      </c>
      <c r="U1152" s="41" t="s">
        <v>40</v>
      </c>
    </row>
    <row r="1153" spans="1:21">
      <c r="A1153" s="41">
        <v>1756</v>
      </c>
      <c r="B1153" s="41" t="s">
        <v>4400</v>
      </c>
      <c r="D1153" s="41">
        <v>4586</v>
      </c>
      <c r="E1153" s="41" t="s">
        <v>4401</v>
      </c>
      <c r="F1153" s="41" t="s">
        <v>53</v>
      </c>
      <c r="G1153" s="41" t="s">
        <v>141</v>
      </c>
      <c r="I1153" s="41" t="s">
        <v>231</v>
      </c>
      <c r="J1153" s="41" t="s">
        <v>32</v>
      </c>
      <c r="K1153" s="42"/>
      <c r="L1153" s="41" t="s">
        <v>4402</v>
      </c>
      <c r="M1153" s="41">
        <v>66</v>
      </c>
      <c r="N1153" s="41" t="s">
        <v>1052</v>
      </c>
      <c r="O1153" s="41" t="s">
        <v>1151</v>
      </c>
      <c r="P1153" s="41" t="s">
        <v>60</v>
      </c>
      <c r="Q1153" s="41" t="s">
        <v>1344</v>
      </c>
      <c r="R1153" s="41" t="s">
        <v>132</v>
      </c>
      <c r="S1153" s="41" t="s">
        <v>4403</v>
      </c>
      <c r="T1153" s="41" t="s">
        <v>186</v>
      </c>
      <c r="U1153" s="41" t="s">
        <v>40</v>
      </c>
    </row>
    <row r="1154" spans="1:21">
      <c r="A1154" s="41">
        <v>1755</v>
      </c>
      <c r="B1154" s="41" t="s">
        <v>4404</v>
      </c>
      <c r="D1154" s="41">
        <v>4587</v>
      </c>
      <c r="E1154" s="41" t="s">
        <v>3915</v>
      </c>
      <c r="F1154" s="41" t="s">
        <v>53</v>
      </c>
      <c r="G1154" s="41" t="s">
        <v>64</v>
      </c>
      <c r="I1154" s="41" t="s">
        <v>231</v>
      </c>
      <c r="J1154" s="41" t="s">
        <v>32</v>
      </c>
      <c r="K1154" s="42"/>
      <c r="L1154" s="41" t="s">
        <v>3916</v>
      </c>
      <c r="M1154" s="41">
        <v>66</v>
      </c>
      <c r="N1154" s="41" t="s">
        <v>59</v>
      </c>
      <c r="O1154" s="41" t="s">
        <v>482</v>
      </c>
      <c r="P1154" s="41" t="s">
        <v>172</v>
      </c>
      <c r="Q1154" s="41" t="s">
        <v>3917</v>
      </c>
      <c r="R1154" s="41" t="s">
        <v>132</v>
      </c>
      <c r="S1154" s="41" t="s">
        <v>40</v>
      </c>
      <c r="T1154" s="41" t="s">
        <v>40</v>
      </c>
      <c r="U1154" s="41" t="s">
        <v>40</v>
      </c>
    </row>
    <row r="1155" spans="1:21">
      <c r="A1155" s="41">
        <v>1754</v>
      </c>
      <c r="B1155" s="41" t="s">
        <v>4405</v>
      </c>
      <c r="D1155" s="41">
        <v>4588</v>
      </c>
      <c r="E1155" s="41" t="s">
        <v>4406</v>
      </c>
      <c r="F1155" s="41" t="s">
        <v>53</v>
      </c>
      <c r="G1155" s="41" t="s">
        <v>54</v>
      </c>
      <c r="I1155" s="41" t="s">
        <v>231</v>
      </c>
      <c r="J1155" s="41" t="s">
        <v>32</v>
      </c>
      <c r="K1155" s="42"/>
      <c r="L1155" s="41" t="s">
        <v>4407</v>
      </c>
      <c r="M1155" s="41">
        <v>15</v>
      </c>
      <c r="N1155" s="41" t="s">
        <v>1020</v>
      </c>
      <c r="O1155" s="41" t="s">
        <v>4408</v>
      </c>
      <c r="P1155" s="41" t="s">
        <v>60</v>
      </c>
      <c r="Q1155" s="41" t="s">
        <v>2759</v>
      </c>
      <c r="R1155" s="41" t="s">
        <v>132</v>
      </c>
      <c r="S1155" s="41" t="s">
        <v>40</v>
      </c>
      <c r="T1155" s="41" t="s">
        <v>40</v>
      </c>
      <c r="U1155" s="41" t="s">
        <v>40</v>
      </c>
    </row>
    <row r="1156" spans="1:21">
      <c r="A1156" s="41">
        <v>1753</v>
      </c>
      <c r="B1156" s="41" t="s">
        <v>4409</v>
      </c>
      <c r="D1156" s="41">
        <v>4590</v>
      </c>
      <c r="E1156" s="41" t="s">
        <v>4410</v>
      </c>
      <c r="F1156" s="41" t="s">
        <v>53</v>
      </c>
      <c r="G1156" s="41" t="s">
        <v>141</v>
      </c>
      <c r="I1156" s="41" t="s">
        <v>194</v>
      </c>
      <c r="J1156" s="41" t="s">
        <v>32</v>
      </c>
      <c r="K1156" s="42"/>
      <c r="L1156" s="41" t="s">
        <v>4411</v>
      </c>
      <c r="M1156" s="41">
        <v>12</v>
      </c>
      <c r="N1156" s="41" t="s">
        <v>4412</v>
      </c>
      <c r="O1156" s="41" t="s">
        <v>2085</v>
      </c>
      <c r="P1156" s="41" t="s">
        <v>78</v>
      </c>
      <c r="Q1156" s="41" t="s">
        <v>2407</v>
      </c>
      <c r="R1156" s="41" t="s">
        <v>132</v>
      </c>
      <c r="S1156" s="41" t="s">
        <v>4413</v>
      </c>
      <c r="T1156" s="41" t="s">
        <v>1796</v>
      </c>
      <c r="U1156" s="41" t="s">
        <v>40</v>
      </c>
    </row>
    <row r="1157" spans="1:21">
      <c r="A1157" s="41">
        <v>1752</v>
      </c>
      <c r="B1157" s="41" t="s">
        <v>4414</v>
      </c>
      <c r="D1157" s="41">
        <v>4584</v>
      </c>
      <c r="E1157" s="41" t="s">
        <v>2611</v>
      </c>
      <c r="F1157" s="41" t="s">
        <v>53</v>
      </c>
      <c r="G1157" s="41" t="s">
        <v>43</v>
      </c>
      <c r="I1157" s="41" t="s">
        <v>162</v>
      </c>
      <c r="J1157" s="41" t="s">
        <v>32</v>
      </c>
      <c r="K1157" s="42"/>
      <c r="L1157" s="41" t="s">
        <v>1304</v>
      </c>
      <c r="M1157" s="41">
        <v>220</v>
      </c>
      <c r="N1157" s="41" t="s">
        <v>805</v>
      </c>
      <c r="O1157" s="41" t="s">
        <v>271</v>
      </c>
      <c r="P1157" s="41" t="s">
        <v>98</v>
      </c>
      <c r="Q1157" s="41" t="s">
        <v>116</v>
      </c>
      <c r="R1157" s="41" t="s">
        <v>62</v>
      </c>
      <c r="S1157" s="41" t="s">
        <v>4415</v>
      </c>
      <c r="T1157" s="41" t="s">
        <v>779</v>
      </c>
      <c r="U1157" s="41" t="s">
        <v>40</v>
      </c>
    </row>
    <row r="1158" spans="1:21">
      <c r="A1158" s="41">
        <v>1751</v>
      </c>
      <c r="B1158" s="41" t="s">
        <v>4416</v>
      </c>
      <c r="D1158" s="41">
        <v>4583</v>
      </c>
      <c r="E1158" s="41" t="s">
        <v>2611</v>
      </c>
      <c r="F1158" s="41" t="s">
        <v>53</v>
      </c>
      <c r="G1158" s="41" t="s">
        <v>43</v>
      </c>
      <c r="I1158" s="41" t="s">
        <v>162</v>
      </c>
      <c r="J1158" s="41" t="s">
        <v>32</v>
      </c>
      <c r="K1158" s="42"/>
      <c r="L1158" s="41" t="s">
        <v>4417</v>
      </c>
      <c r="M1158" s="41">
        <v>220</v>
      </c>
      <c r="N1158" s="41" t="s">
        <v>805</v>
      </c>
      <c r="O1158" s="41" t="s">
        <v>2854</v>
      </c>
      <c r="P1158" s="41" t="s">
        <v>179</v>
      </c>
      <c r="Q1158" s="41" t="s">
        <v>524</v>
      </c>
      <c r="R1158" s="41" t="s">
        <v>62</v>
      </c>
      <c r="S1158" s="41" t="s">
        <v>4418</v>
      </c>
      <c r="T1158" s="41" t="s">
        <v>266</v>
      </c>
      <c r="U1158" s="41" t="s">
        <v>40</v>
      </c>
    </row>
    <row r="1159" spans="1:21">
      <c r="A1159" s="41">
        <v>1750</v>
      </c>
      <c r="B1159" s="41" t="s">
        <v>4419</v>
      </c>
      <c r="D1159" s="41">
        <v>4585</v>
      </c>
      <c r="E1159" s="41" t="s">
        <v>4420</v>
      </c>
      <c r="F1159" s="41" t="s">
        <v>53</v>
      </c>
      <c r="G1159" s="41" t="s">
        <v>141</v>
      </c>
      <c r="I1159" s="41" t="s">
        <v>45</v>
      </c>
      <c r="J1159" s="41" t="s">
        <v>295</v>
      </c>
      <c r="K1159" s="42"/>
      <c r="L1159" s="41" t="s">
        <v>4421</v>
      </c>
      <c r="M1159" s="41">
        <v>220</v>
      </c>
      <c r="N1159" s="41" t="s">
        <v>1335</v>
      </c>
      <c r="O1159" s="41" t="s">
        <v>396</v>
      </c>
      <c r="P1159" s="41" t="s">
        <v>153</v>
      </c>
      <c r="Q1159" s="41" t="s">
        <v>154</v>
      </c>
      <c r="R1159" s="41" t="s">
        <v>62</v>
      </c>
      <c r="S1159" s="41" t="s">
        <v>4422</v>
      </c>
      <c r="T1159" s="41" t="s">
        <v>1796</v>
      </c>
      <c r="U1159" s="41" t="s">
        <v>40</v>
      </c>
    </row>
    <row r="1160" spans="1:21">
      <c r="A1160" s="41">
        <v>1749</v>
      </c>
      <c r="B1160" s="41" t="s">
        <v>4423</v>
      </c>
      <c r="D1160" s="41">
        <v>4582</v>
      </c>
      <c r="E1160" s="41" t="s">
        <v>4424</v>
      </c>
      <c r="F1160" s="41" t="s">
        <v>53</v>
      </c>
      <c r="G1160" s="41" t="s">
        <v>43</v>
      </c>
      <c r="I1160" s="41" t="s">
        <v>162</v>
      </c>
      <c r="J1160" s="41" t="s">
        <v>32</v>
      </c>
      <c r="K1160" s="42"/>
      <c r="L1160" s="41" t="s">
        <v>1013</v>
      </c>
      <c r="M1160" s="41">
        <v>220</v>
      </c>
      <c r="N1160" s="41" t="s">
        <v>805</v>
      </c>
      <c r="O1160" s="41" t="s">
        <v>2566</v>
      </c>
      <c r="P1160" s="41" t="s">
        <v>98</v>
      </c>
      <c r="Q1160" s="41" t="s">
        <v>116</v>
      </c>
      <c r="R1160" s="41" t="s">
        <v>62</v>
      </c>
      <c r="S1160" s="41" t="s">
        <v>4425</v>
      </c>
      <c r="T1160" s="41" t="s">
        <v>1289</v>
      </c>
      <c r="U1160" s="41" t="s">
        <v>40</v>
      </c>
    </row>
    <row r="1161" spans="1:21">
      <c r="A1161" s="41">
        <v>1748</v>
      </c>
      <c r="B1161" s="41" t="s">
        <v>4426</v>
      </c>
      <c r="D1161" s="41">
        <v>4581</v>
      </c>
      <c r="E1161" s="41" t="s">
        <v>4424</v>
      </c>
      <c r="F1161" s="41" t="s">
        <v>53</v>
      </c>
      <c r="G1161" s="41" t="s">
        <v>188</v>
      </c>
      <c r="I1161" s="41" t="s">
        <v>338</v>
      </c>
      <c r="J1161" s="41" t="s">
        <v>32</v>
      </c>
      <c r="K1161" s="42"/>
      <c r="L1161" s="41" t="s">
        <v>4427</v>
      </c>
      <c r="M1161" s="41">
        <v>220</v>
      </c>
      <c r="N1161" s="41" t="s">
        <v>805</v>
      </c>
      <c r="O1161" s="41" t="s">
        <v>271</v>
      </c>
      <c r="P1161" s="41" t="s">
        <v>179</v>
      </c>
      <c r="Q1161" s="41" t="s">
        <v>524</v>
      </c>
      <c r="R1161" s="41" t="s">
        <v>62</v>
      </c>
      <c r="S1161" s="41" t="s">
        <v>40</v>
      </c>
      <c r="T1161" s="41" t="s">
        <v>40</v>
      </c>
      <c r="U1161" s="41" t="s">
        <v>40</v>
      </c>
    </row>
    <row r="1162" spans="1:21">
      <c r="A1162" s="41">
        <v>1747</v>
      </c>
      <c r="B1162" s="41" t="s">
        <v>4428</v>
      </c>
      <c r="D1162" s="41">
        <v>4580</v>
      </c>
      <c r="E1162" s="41" t="s">
        <v>4424</v>
      </c>
      <c r="F1162" s="41" t="s">
        <v>53</v>
      </c>
      <c r="G1162" s="41" t="s">
        <v>54</v>
      </c>
      <c r="I1162" s="41" t="s">
        <v>45</v>
      </c>
      <c r="J1162" s="41" t="s">
        <v>32</v>
      </c>
      <c r="K1162" s="42"/>
      <c r="L1162" s="41" t="s">
        <v>281</v>
      </c>
      <c r="M1162" s="41">
        <v>220</v>
      </c>
      <c r="N1162" s="41" t="s">
        <v>805</v>
      </c>
      <c r="O1162" s="41" t="s">
        <v>2843</v>
      </c>
      <c r="P1162" s="41" t="s">
        <v>179</v>
      </c>
      <c r="Q1162" s="41" t="s">
        <v>284</v>
      </c>
      <c r="R1162" s="41" t="s">
        <v>62</v>
      </c>
      <c r="S1162" s="41" t="s">
        <v>40</v>
      </c>
      <c r="T1162" s="41" t="s">
        <v>40</v>
      </c>
      <c r="U1162" s="41" t="s">
        <v>40</v>
      </c>
    </row>
    <row r="1163" spans="1:21">
      <c r="A1163" s="41">
        <v>1746</v>
      </c>
      <c r="B1163" s="41" t="s">
        <v>4429</v>
      </c>
      <c r="D1163" s="41">
        <v>4594</v>
      </c>
      <c r="E1163" s="41" t="s">
        <v>4430</v>
      </c>
      <c r="F1163" s="41" t="s">
        <v>53</v>
      </c>
      <c r="G1163" s="41" t="s">
        <v>141</v>
      </c>
      <c r="I1163" s="41" t="s">
        <v>2649</v>
      </c>
      <c r="J1163" s="41" t="s">
        <v>32</v>
      </c>
      <c r="K1163" s="42"/>
      <c r="L1163" s="41" t="s">
        <v>4431</v>
      </c>
      <c r="M1163" s="41">
        <v>220</v>
      </c>
      <c r="N1163" s="41" t="s">
        <v>4432</v>
      </c>
      <c r="O1163" s="41" t="s">
        <v>791</v>
      </c>
      <c r="P1163" s="41" t="s">
        <v>153</v>
      </c>
      <c r="Q1163" s="41" t="s">
        <v>153</v>
      </c>
      <c r="R1163" s="41" t="s">
        <v>62</v>
      </c>
      <c r="S1163" s="41" t="s">
        <v>4433</v>
      </c>
      <c r="T1163" s="41" t="s">
        <v>1890</v>
      </c>
      <c r="U1163" s="41" t="s">
        <v>40</v>
      </c>
    </row>
    <row r="1164" spans="1:21">
      <c r="A1164" s="41">
        <v>1744</v>
      </c>
      <c r="B1164" s="41" t="s">
        <v>4434</v>
      </c>
      <c r="D1164" s="41">
        <v>4571</v>
      </c>
      <c r="E1164" s="41" t="s">
        <v>1028</v>
      </c>
      <c r="F1164" s="41" t="s">
        <v>28</v>
      </c>
      <c r="G1164" s="41" t="s">
        <v>301</v>
      </c>
      <c r="I1164" s="41" t="s">
        <v>1570</v>
      </c>
      <c r="J1164" s="41" t="s">
        <v>32</v>
      </c>
      <c r="K1164" s="42"/>
      <c r="L1164" s="41" t="s">
        <v>4435</v>
      </c>
      <c r="M1164" s="41">
        <v>220</v>
      </c>
      <c r="N1164" s="41" t="s">
        <v>4436</v>
      </c>
      <c r="O1164" s="41" t="s">
        <v>4376</v>
      </c>
      <c r="P1164" s="41" t="s">
        <v>98</v>
      </c>
      <c r="Q1164" s="41" t="s">
        <v>491</v>
      </c>
      <c r="R1164" s="41" t="s">
        <v>39</v>
      </c>
      <c r="S1164" s="41" t="s">
        <v>4437</v>
      </c>
      <c r="T1164" s="41" t="s">
        <v>1500</v>
      </c>
      <c r="U1164" s="41" t="s">
        <v>40</v>
      </c>
    </row>
    <row r="1165" spans="1:21">
      <c r="A1165" s="41">
        <v>1743</v>
      </c>
      <c r="B1165" s="41" t="s">
        <v>4438</v>
      </c>
      <c r="D1165" s="41">
        <v>4570</v>
      </c>
      <c r="E1165" s="41" t="s">
        <v>1191</v>
      </c>
      <c r="F1165" s="41" t="s">
        <v>53</v>
      </c>
      <c r="G1165" s="41" t="s">
        <v>54</v>
      </c>
      <c r="I1165" s="41" t="s">
        <v>45</v>
      </c>
      <c r="J1165" s="41" t="s">
        <v>32</v>
      </c>
      <c r="K1165" s="42"/>
      <c r="L1165" s="41" t="s">
        <v>4439</v>
      </c>
      <c r="M1165" s="41">
        <v>220</v>
      </c>
      <c r="N1165" s="41" t="s">
        <v>4440</v>
      </c>
      <c r="O1165" s="41" t="s">
        <v>1919</v>
      </c>
      <c r="P1165" s="41" t="s">
        <v>98</v>
      </c>
      <c r="Q1165" s="41" t="s">
        <v>569</v>
      </c>
      <c r="R1165" s="41" t="s">
        <v>62</v>
      </c>
      <c r="S1165" s="41" t="s">
        <v>40</v>
      </c>
      <c r="T1165" s="41" t="s">
        <v>40</v>
      </c>
      <c r="U1165" s="41" t="s">
        <v>40</v>
      </c>
    </row>
    <row r="1166" spans="1:21">
      <c r="A1166" s="41">
        <v>1742</v>
      </c>
      <c r="B1166" s="41" t="s">
        <v>4441</v>
      </c>
      <c r="D1166" s="41">
        <v>4565</v>
      </c>
      <c r="E1166" s="41" t="s">
        <v>1435</v>
      </c>
      <c r="F1166" s="41" t="s">
        <v>53</v>
      </c>
      <c r="G1166" s="41" t="s">
        <v>64</v>
      </c>
      <c r="I1166" s="41" t="s">
        <v>464</v>
      </c>
      <c r="J1166" s="41" t="s">
        <v>32</v>
      </c>
      <c r="K1166" s="42"/>
      <c r="L1166" s="41" t="s">
        <v>4442</v>
      </c>
      <c r="M1166" s="41">
        <v>220</v>
      </c>
      <c r="N1166" s="41" t="s">
        <v>579</v>
      </c>
      <c r="O1166" s="41" t="s">
        <v>3800</v>
      </c>
      <c r="P1166" s="41" t="s">
        <v>50</v>
      </c>
      <c r="Q1166" s="41" t="s">
        <v>3801</v>
      </c>
      <c r="R1166" s="41" t="s">
        <v>62</v>
      </c>
      <c r="S1166" s="41" t="s">
        <v>40</v>
      </c>
      <c r="T1166" s="41" t="s">
        <v>40</v>
      </c>
      <c r="U1166" s="41" t="s">
        <v>40</v>
      </c>
    </row>
    <row r="1167" spans="1:21">
      <c r="A1167" s="41">
        <v>1741</v>
      </c>
      <c r="B1167" s="41" t="s">
        <v>4443</v>
      </c>
      <c r="D1167" s="41">
        <v>4563</v>
      </c>
      <c r="E1167" s="41" t="s">
        <v>2043</v>
      </c>
      <c r="F1167" s="41" t="s">
        <v>28</v>
      </c>
      <c r="G1167" s="41" t="s">
        <v>301</v>
      </c>
      <c r="I1167" s="41" t="s">
        <v>325</v>
      </c>
      <c r="J1167" s="41" t="s">
        <v>32</v>
      </c>
      <c r="K1167" s="42"/>
      <c r="L1167" s="41" t="s">
        <v>4444</v>
      </c>
      <c r="M1167" s="41">
        <v>220</v>
      </c>
      <c r="N1167" s="41" t="s">
        <v>67</v>
      </c>
      <c r="O1167" s="41" t="s">
        <v>4445</v>
      </c>
      <c r="P1167" s="41" t="s">
        <v>50</v>
      </c>
      <c r="Q1167" s="41" t="s">
        <v>1428</v>
      </c>
      <c r="R1167" s="41" t="s">
        <v>39</v>
      </c>
      <c r="S1167" s="41" t="s">
        <v>4446</v>
      </c>
      <c r="T1167" s="41" t="s">
        <v>2246</v>
      </c>
      <c r="U1167" s="41" t="s">
        <v>40</v>
      </c>
    </row>
    <row r="1168" spans="1:21">
      <c r="A1168" s="41">
        <v>1740</v>
      </c>
      <c r="B1168" s="41" t="s">
        <v>4447</v>
      </c>
      <c r="D1168" s="41">
        <v>4568</v>
      </c>
      <c r="E1168" s="41" t="s">
        <v>1882</v>
      </c>
      <c r="F1168" s="41" t="s">
        <v>53</v>
      </c>
      <c r="G1168" s="41" t="s">
        <v>64</v>
      </c>
      <c r="I1168" s="41" t="s">
        <v>119</v>
      </c>
      <c r="J1168" s="41" t="s">
        <v>672</v>
      </c>
      <c r="K1168" s="42"/>
      <c r="L1168" s="41" t="s">
        <v>4448</v>
      </c>
      <c r="M1168" s="41">
        <v>500</v>
      </c>
      <c r="N1168" s="41" t="s">
        <v>1629</v>
      </c>
      <c r="O1168" s="41" t="s">
        <v>4449</v>
      </c>
      <c r="P1168" s="41" t="s">
        <v>98</v>
      </c>
      <c r="Q1168" s="41" t="s">
        <v>99</v>
      </c>
      <c r="R1168" s="41" t="s">
        <v>62</v>
      </c>
      <c r="S1168" s="41" t="s">
        <v>40</v>
      </c>
      <c r="T1168" s="41" t="s">
        <v>40</v>
      </c>
      <c r="U1168" s="41" t="s">
        <v>40</v>
      </c>
    </row>
    <row r="1169" spans="1:21">
      <c r="A1169" s="41">
        <v>1739</v>
      </c>
      <c r="B1169" s="41" t="s">
        <v>4450</v>
      </c>
      <c r="D1169" s="41">
        <v>4559</v>
      </c>
      <c r="E1169" s="41" t="s">
        <v>1286</v>
      </c>
      <c r="F1169" s="41" t="s">
        <v>53</v>
      </c>
      <c r="G1169" s="41" t="s">
        <v>64</v>
      </c>
      <c r="I1169" s="41" t="s">
        <v>45</v>
      </c>
      <c r="J1169" s="41" t="s">
        <v>672</v>
      </c>
      <c r="K1169" s="42"/>
      <c r="L1169" s="41" t="s">
        <v>4451</v>
      </c>
      <c r="M1169" s="41">
        <v>220</v>
      </c>
      <c r="N1169" s="41" t="s">
        <v>67</v>
      </c>
      <c r="O1169" s="41" t="s">
        <v>452</v>
      </c>
      <c r="P1169" s="41" t="s">
        <v>50</v>
      </c>
      <c r="Q1169" s="41" t="s">
        <v>3801</v>
      </c>
      <c r="R1169" s="41" t="s">
        <v>62</v>
      </c>
      <c r="S1169" s="41" t="s">
        <v>40</v>
      </c>
      <c r="T1169" s="41" t="s">
        <v>40</v>
      </c>
      <c r="U1169" s="41" t="s">
        <v>40</v>
      </c>
    </row>
    <row r="1170" spans="1:21">
      <c r="A1170" s="41">
        <v>1738</v>
      </c>
      <c r="B1170" s="41" t="s">
        <v>4452</v>
      </c>
      <c r="D1170" s="41">
        <v>4558</v>
      </c>
      <c r="E1170" s="41" t="s">
        <v>1286</v>
      </c>
      <c r="F1170" s="41" t="s">
        <v>53</v>
      </c>
      <c r="G1170" s="41" t="s">
        <v>54</v>
      </c>
      <c r="I1170" s="41" t="s">
        <v>960</v>
      </c>
      <c r="J1170" s="41" t="s">
        <v>32</v>
      </c>
      <c r="K1170" s="42"/>
      <c r="L1170" s="41" t="s">
        <v>4453</v>
      </c>
      <c r="M1170" s="41">
        <v>110</v>
      </c>
      <c r="N1170" s="41" t="s">
        <v>4454</v>
      </c>
      <c r="O1170" s="41" t="s">
        <v>178</v>
      </c>
      <c r="P1170" s="41" t="s">
        <v>98</v>
      </c>
      <c r="Q1170" s="41" t="s">
        <v>569</v>
      </c>
      <c r="R1170" s="41" t="s">
        <v>132</v>
      </c>
      <c r="S1170" s="41" t="s">
        <v>40</v>
      </c>
      <c r="T1170" s="41" t="s">
        <v>40</v>
      </c>
      <c r="U1170" s="41" t="s">
        <v>40</v>
      </c>
    </row>
    <row r="1171" spans="1:21">
      <c r="A1171" s="41">
        <v>1737</v>
      </c>
      <c r="B1171" s="41" t="s">
        <v>4455</v>
      </c>
      <c r="D1171" s="41">
        <v>4557</v>
      </c>
      <c r="E1171" s="41" t="s">
        <v>1286</v>
      </c>
      <c r="F1171" s="41" t="s">
        <v>53</v>
      </c>
      <c r="G1171" s="41" t="s">
        <v>64</v>
      </c>
      <c r="I1171" s="41" t="s">
        <v>45</v>
      </c>
      <c r="J1171" s="41" t="s">
        <v>32</v>
      </c>
      <c r="K1171" s="42"/>
      <c r="L1171" s="41" t="s">
        <v>4456</v>
      </c>
      <c r="M1171" s="41">
        <v>220</v>
      </c>
      <c r="N1171" s="41" t="s">
        <v>4457</v>
      </c>
      <c r="O1171" s="41" t="s">
        <v>4458</v>
      </c>
      <c r="P1171" s="41" t="s">
        <v>50</v>
      </c>
      <c r="Q1171" s="41" t="s">
        <v>51</v>
      </c>
      <c r="R1171" s="41" t="s">
        <v>62</v>
      </c>
      <c r="S1171" s="41" t="s">
        <v>40</v>
      </c>
      <c r="T1171" s="41" t="s">
        <v>40</v>
      </c>
      <c r="U1171" s="41" t="s">
        <v>40</v>
      </c>
    </row>
    <row r="1172" spans="1:21">
      <c r="A1172" s="41">
        <v>1736</v>
      </c>
      <c r="B1172" s="41" t="s">
        <v>4459</v>
      </c>
      <c r="D1172" s="41">
        <v>4556</v>
      </c>
      <c r="E1172" s="41" t="s">
        <v>1076</v>
      </c>
      <c r="F1172" s="41" t="s">
        <v>53</v>
      </c>
      <c r="G1172" s="41" t="s">
        <v>141</v>
      </c>
      <c r="I1172" s="41" t="s">
        <v>149</v>
      </c>
      <c r="J1172" s="41" t="s">
        <v>32</v>
      </c>
      <c r="K1172" s="42"/>
      <c r="L1172" s="41" t="s">
        <v>4460</v>
      </c>
      <c r="M1172" s="41">
        <v>66</v>
      </c>
      <c r="N1172" s="41" t="s">
        <v>3751</v>
      </c>
      <c r="O1172" s="41" t="s">
        <v>2721</v>
      </c>
      <c r="P1172" s="41" t="s">
        <v>37</v>
      </c>
      <c r="Q1172" s="41" t="s">
        <v>969</v>
      </c>
      <c r="R1172" s="41" t="s">
        <v>62</v>
      </c>
      <c r="S1172" s="41" t="s">
        <v>4461</v>
      </c>
      <c r="T1172" s="41" t="s">
        <v>186</v>
      </c>
      <c r="U1172" s="41" t="s">
        <v>40</v>
      </c>
    </row>
    <row r="1173" spans="1:21">
      <c r="A1173" s="41">
        <v>1735</v>
      </c>
      <c r="B1173" s="41" t="s">
        <v>216</v>
      </c>
      <c r="D1173" s="41">
        <v>4566</v>
      </c>
      <c r="E1173" s="41" t="s">
        <v>27</v>
      </c>
      <c r="F1173" s="41" t="s">
        <v>53</v>
      </c>
      <c r="G1173" s="41" t="s">
        <v>54</v>
      </c>
      <c r="I1173" s="41" t="s">
        <v>45</v>
      </c>
      <c r="J1173" s="41" t="s">
        <v>32</v>
      </c>
      <c r="K1173" s="42"/>
      <c r="L1173" s="41" t="s">
        <v>219</v>
      </c>
      <c r="M1173" s="41">
        <v>220</v>
      </c>
      <c r="N1173" s="41" t="s">
        <v>220</v>
      </c>
      <c r="O1173" s="41" t="s">
        <v>36</v>
      </c>
      <c r="P1173" s="41" t="s">
        <v>172</v>
      </c>
      <c r="Q1173" s="41" t="s">
        <v>221</v>
      </c>
      <c r="R1173" s="41" t="s">
        <v>62</v>
      </c>
      <c r="S1173" s="41" t="s">
        <v>40</v>
      </c>
      <c r="T1173" s="41" t="s">
        <v>40</v>
      </c>
      <c r="U1173" s="41" t="s">
        <v>40</v>
      </c>
    </row>
    <row r="1174" spans="1:21">
      <c r="A1174" s="41">
        <v>1734</v>
      </c>
      <c r="B1174" s="41" t="s">
        <v>222</v>
      </c>
      <c r="D1174" s="41">
        <v>4567</v>
      </c>
      <c r="E1174" s="41" t="s">
        <v>27</v>
      </c>
      <c r="F1174" s="41" t="s">
        <v>53</v>
      </c>
      <c r="G1174" s="41" t="s">
        <v>54</v>
      </c>
      <c r="I1174" s="41" t="s">
        <v>56</v>
      </c>
      <c r="J1174" s="41" t="s">
        <v>32</v>
      </c>
      <c r="K1174" s="42"/>
      <c r="L1174" s="41" t="s">
        <v>224</v>
      </c>
      <c r="M1174" s="41">
        <v>110</v>
      </c>
      <c r="N1174" s="41" t="s">
        <v>67</v>
      </c>
      <c r="O1174" s="41" t="s">
        <v>36</v>
      </c>
      <c r="P1174" s="41" t="s">
        <v>68</v>
      </c>
      <c r="Q1174" s="41" t="s">
        <v>159</v>
      </c>
      <c r="R1174" s="41" t="s">
        <v>132</v>
      </c>
      <c r="S1174" s="41" t="s">
        <v>40</v>
      </c>
      <c r="T1174" s="41" t="s">
        <v>40</v>
      </c>
      <c r="U1174" s="41" t="s">
        <v>40</v>
      </c>
    </row>
    <row r="1175" spans="1:21">
      <c r="A1175" s="41">
        <v>1733</v>
      </c>
      <c r="B1175" s="41" t="s">
        <v>4462</v>
      </c>
      <c r="D1175" s="41">
        <v>4546</v>
      </c>
      <c r="E1175" s="41" t="s">
        <v>1191</v>
      </c>
      <c r="F1175" s="41" t="s">
        <v>53</v>
      </c>
      <c r="G1175" s="41" t="s">
        <v>64</v>
      </c>
      <c r="I1175" s="41" t="s">
        <v>119</v>
      </c>
      <c r="J1175" s="41" t="s">
        <v>32</v>
      </c>
      <c r="K1175" s="42"/>
      <c r="L1175" s="41" t="s">
        <v>103</v>
      </c>
      <c r="M1175" s="41">
        <v>220</v>
      </c>
      <c r="N1175" s="41" t="s">
        <v>1741</v>
      </c>
      <c r="O1175" s="41" t="s">
        <v>2911</v>
      </c>
      <c r="P1175" s="41" t="s">
        <v>98</v>
      </c>
      <c r="Q1175" s="41" t="s">
        <v>99</v>
      </c>
      <c r="R1175" s="41" t="s">
        <v>62</v>
      </c>
      <c r="S1175" s="41" t="s">
        <v>40</v>
      </c>
      <c r="T1175" s="41" t="s">
        <v>40</v>
      </c>
      <c r="U1175" s="41" t="s">
        <v>40</v>
      </c>
    </row>
    <row r="1176" spans="1:21">
      <c r="A1176" s="41">
        <v>1732</v>
      </c>
      <c r="B1176" s="41" t="s">
        <v>225</v>
      </c>
      <c r="E1176" s="41" t="s">
        <v>27</v>
      </c>
      <c r="F1176" s="41" t="s">
        <v>53</v>
      </c>
      <c r="G1176" s="41" t="s">
        <v>43</v>
      </c>
      <c r="I1176" s="41" t="s">
        <v>45</v>
      </c>
      <c r="J1176" s="41" t="s">
        <v>32</v>
      </c>
      <c r="K1176" s="42"/>
      <c r="L1176" s="41" t="s">
        <v>227</v>
      </c>
      <c r="M1176" s="41">
        <v>220</v>
      </c>
      <c r="N1176" s="41" t="s">
        <v>228</v>
      </c>
      <c r="O1176" s="41" t="s">
        <v>36</v>
      </c>
      <c r="P1176" s="41" t="s">
        <v>172</v>
      </c>
      <c r="Q1176" s="41" t="s">
        <v>221</v>
      </c>
      <c r="R1176" s="41" t="s">
        <v>62</v>
      </c>
      <c r="S1176" s="41" t="s">
        <v>40</v>
      </c>
      <c r="T1176" s="41" t="s">
        <v>40</v>
      </c>
      <c r="U1176" s="41" t="s">
        <v>40</v>
      </c>
    </row>
    <row r="1177" spans="1:21">
      <c r="A1177" s="41">
        <v>1731</v>
      </c>
      <c r="B1177" s="41" t="s">
        <v>4463</v>
      </c>
      <c r="D1177" s="41">
        <v>4548</v>
      </c>
      <c r="E1177" s="41" t="s">
        <v>1191</v>
      </c>
      <c r="F1177" s="41" t="s">
        <v>53</v>
      </c>
      <c r="G1177" s="41" t="s">
        <v>54</v>
      </c>
      <c r="I1177" s="41" t="s">
        <v>338</v>
      </c>
      <c r="J1177" s="41" t="s">
        <v>32</v>
      </c>
      <c r="K1177" s="42"/>
      <c r="L1177" s="41" t="s">
        <v>4448</v>
      </c>
      <c r="M1177" s="41">
        <v>500</v>
      </c>
      <c r="N1177" s="41" t="s">
        <v>151</v>
      </c>
      <c r="O1177" s="41" t="s">
        <v>4464</v>
      </c>
      <c r="P1177" s="41" t="s">
        <v>98</v>
      </c>
      <c r="Q1177" s="41" t="s">
        <v>99</v>
      </c>
      <c r="R1177" s="41" t="s">
        <v>62</v>
      </c>
      <c r="S1177" s="41" t="s">
        <v>40</v>
      </c>
      <c r="T1177" s="41" t="s">
        <v>40</v>
      </c>
      <c r="U1177" s="41" t="s">
        <v>40</v>
      </c>
    </row>
    <row r="1178" spans="1:21">
      <c r="A1178" s="41">
        <v>1730</v>
      </c>
      <c r="B1178" s="41" t="s">
        <v>229</v>
      </c>
      <c r="D1178" s="41">
        <v>4554</v>
      </c>
      <c r="E1178" s="41" t="s">
        <v>27</v>
      </c>
      <c r="F1178" s="41" t="s">
        <v>53</v>
      </c>
      <c r="G1178" s="41" t="s">
        <v>54</v>
      </c>
      <c r="I1178" s="41" t="s">
        <v>231</v>
      </c>
      <c r="J1178" s="41" t="s">
        <v>32</v>
      </c>
      <c r="K1178" s="42"/>
      <c r="L1178" s="41" t="s">
        <v>232</v>
      </c>
      <c r="M1178" s="41">
        <v>66</v>
      </c>
      <c r="N1178" s="41" t="s">
        <v>59</v>
      </c>
      <c r="O1178" s="41" t="s">
        <v>36</v>
      </c>
      <c r="P1178" s="41" t="s">
        <v>172</v>
      </c>
      <c r="Q1178" s="41" t="s">
        <v>233</v>
      </c>
      <c r="R1178" s="41" t="s">
        <v>132</v>
      </c>
      <c r="S1178" s="41" t="s">
        <v>40</v>
      </c>
      <c r="T1178" s="41" t="s">
        <v>40</v>
      </c>
      <c r="U1178" s="41" t="s">
        <v>40</v>
      </c>
    </row>
    <row r="1179" spans="1:21">
      <c r="A1179" s="41">
        <v>1729</v>
      </c>
      <c r="B1179" s="41" t="s">
        <v>234</v>
      </c>
      <c r="D1179" s="41">
        <v>4545</v>
      </c>
      <c r="E1179" s="41" t="s">
        <v>27</v>
      </c>
      <c r="F1179" s="41" t="s">
        <v>53</v>
      </c>
      <c r="G1179" s="41" t="s">
        <v>54</v>
      </c>
      <c r="I1179" s="41" t="s">
        <v>56</v>
      </c>
      <c r="J1179" s="41" t="s">
        <v>32</v>
      </c>
      <c r="K1179" s="42"/>
      <c r="L1179" s="41" t="s">
        <v>236</v>
      </c>
      <c r="M1179" s="41">
        <v>110</v>
      </c>
      <c r="N1179" s="41" t="s">
        <v>67</v>
      </c>
      <c r="O1179" s="41" t="s">
        <v>237</v>
      </c>
      <c r="P1179" s="41" t="s">
        <v>78</v>
      </c>
      <c r="Q1179" s="41" t="s">
        <v>238</v>
      </c>
      <c r="R1179" s="41" t="s">
        <v>62</v>
      </c>
      <c r="S1179" s="41" t="s">
        <v>40</v>
      </c>
      <c r="T1179" s="41" t="s">
        <v>40</v>
      </c>
      <c r="U1179" s="41" t="s">
        <v>40</v>
      </c>
    </row>
    <row r="1180" spans="1:21">
      <c r="A1180" s="41">
        <v>1728</v>
      </c>
      <c r="B1180" s="41" t="s">
        <v>4465</v>
      </c>
      <c r="D1180" s="41">
        <v>4560</v>
      </c>
      <c r="E1180" s="41" t="s">
        <v>1191</v>
      </c>
      <c r="F1180" s="41" t="s">
        <v>53</v>
      </c>
      <c r="G1180" s="41" t="s">
        <v>64</v>
      </c>
      <c r="I1180" s="41" t="s">
        <v>601</v>
      </c>
      <c r="J1180" s="41" t="s">
        <v>380</v>
      </c>
      <c r="K1180" s="42"/>
      <c r="L1180" s="41" t="s">
        <v>4448</v>
      </c>
      <c r="M1180" s="41">
        <v>500</v>
      </c>
      <c r="N1180" s="41" t="s">
        <v>151</v>
      </c>
      <c r="O1180" s="41" t="s">
        <v>4466</v>
      </c>
      <c r="P1180" s="41" t="s">
        <v>98</v>
      </c>
      <c r="Q1180" s="41" t="s">
        <v>99</v>
      </c>
      <c r="R1180" s="41" t="s">
        <v>62</v>
      </c>
      <c r="S1180" s="41" t="s">
        <v>40</v>
      </c>
      <c r="T1180" s="41" t="s">
        <v>40</v>
      </c>
      <c r="U1180" s="41" t="s">
        <v>40</v>
      </c>
    </row>
    <row r="1181" spans="1:21">
      <c r="A1181" s="41">
        <v>1727</v>
      </c>
      <c r="B1181" s="41" t="s">
        <v>45</v>
      </c>
      <c r="E1181" s="41" t="s">
        <v>27</v>
      </c>
      <c r="F1181" s="41" t="s">
        <v>53</v>
      </c>
      <c r="G1181" s="41" t="s">
        <v>43</v>
      </c>
      <c r="I1181" s="41" t="s">
        <v>45</v>
      </c>
      <c r="J1181" s="41" t="s">
        <v>32</v>
      </c>
      <c r="K1181" s="42"/>
      <c r="L1181" s="41" t="s">
        <v>227</v>
      </c>
      <c r="M1181" s="41">
        <v>220</v>
      </c>
      <c r="N1181" s="41" t="s">
        <v>240</v>
      </c>
      <c r="O1181" s="41" t="s">
        <v>36</v>
      </c>
      <c r="P1181" s="41" t="s">
        <v>172</v>
      </c>
      <c r="Q1181" s="41" t="s">
        <v>221</v>
      </c>
      <c r="R1181" s="41" t="s">
        <v>62</v>
      </c>
      <c r="S1181" s="41" t="s">
        <v>40</v>
      </c>
      <c r="T1181" s="41" t="s">
        <v>40</v>
      </c>
      <c r="U1181" s="41" t="s">
        <v>40</v>
      </c>
    </row>
    <row r="1182" spans="1:21">
      <c r="A1182" s="41">
        <v>1726</v>
      </c>
      <c r="B1182" s="41" t="s">
        <v>241</v>
      </c>
      <c r="D1182" s="41">
        <v>4529</v>
      </c>
      <c r="E1182" s="41" t="s">
        <v>27</v>
      </c>
      <c r="F1182" s="41" t="s">
        <v>53</v>
      </c>
      <c r="G1182" s="41" t="s">
        <v>54</v>
      </c>
      <c r="I1182" s="41" t="s">
        <v>56</v>
      </c>
      <c r="J1182" s="41" t="s">
        <v>32</v>
      </c>
      <c r="K1182" s="42"/>
      <c r="L1182" s="41" t="s">
        <v>243</v>
      </c>
      <c r="M1182" s="41">
        <v>110</v>
      </c>
      <c r="N1182" s="41" t="s">
        <v>67</v>
      </c>
      <c r="O1182" s="41" t="s">
        <v>237</v>
      </c>
      <c r="P1182" s="41" t="s">
        <v>68</v>
      </c>
      <c r="Q1182" s="41" t="s">
        <v>244</v>
      </c>
      <c r="R1182" s="41" t="s">
        <v>62</v>
      </c>
      <c r="S1182" s="41" t="s">
        <v>40</v>
      </c>
      <c r="T1182" s="41" t="s">
        <v>40</v>
      </c>
      <c r="U1182" s="41" t="s">
        <v>40</v>
      </c>
    </row>
    <row r="1183" spans="1:21">
      <c r="A1183" s="41">
        <v>1725</v>
      </c>
      <c r="B1183" s="41" t="s">
        <v>4467</v>
      </c>
      <c r="D1183" s="41">
        <v>4543</v>
      </c>
      <c r="E1183" s="41" t="s">
        <v>1191</v>
      </c>
      <c r="F1183" s="41" t="s">
        <v>53</v>
      </c>
      <c r="G1183" s="41" t="s">
        <v>54</v>
      </c>
      <c r="I1183" s="41" t="s">
        <v>119</v>
      </c>
      <c r="J1183" s="41" t="s">
        <v>32</v>
      </c>
      <c r="K1183" s="42"/>
      <c r="L1183" s="41" t="s">
        <v>4448</v>
      </c>
      <c r="M1183" s="41">
        <v>500</v>
      </c>
      <c r="N1183" s="41" t="s">
        <v>1333</v>
      </c>
      <c r="O1183" s="41" t="s">
        <v>4468</v>
      </c>
      <c r="P1183" s="41" t="s">
        <v>98</v>
      </c>
      <c r="Q1183" s="41" t="s">
        <v>99</v>
      </c>
      <c r="R1183" s="41" t="s">
        <v>62</v>
      </c>
      <c r="S1183" s="41" t="s">
        <v>40</v>
      </c>
      <c r="T1183" s="41" t="s">
        <v>40</v>
      </c>
      <c r="U1183" s="41" t="s">
        <v>40</v>
      </c>
    </row>
    <row r="1184" spans="1:21">
      <c r="A1184" s="41">
        <v>1724</v>
      </c>
      <c r="B1184" s="41" t="s">
        <v>4469</v>
      </c>
      <c r="D1184" s="41">
        <v>4539</v>
      </c>
      <c r="E1184" s="41" t="s">
        <v>1191</v>
      </c>
      <c r="F1184" s="41" t="s">
        <v>53</v>
      </c>
      <c r="G1184" s="41" t="s">
        <v>64</v>
      </c>
      <c r="I1184" s="41" t="s">
        <v>973</v>
      </c>
      <c r="J1184" s="41" t="s">
        <v>380</v>
      </c>
      <c r="K1184" s="42"/>
      <c r="L1184" s="41" t="s">
        <v>4470</v>
      </c>
      <c r="M1184" s="41">
        <v>220</v>
      </c>
      <c r="N1184" s="41" t="s">
        <v>1741</v>
      </c>
      <c r="O1184" s="41" t="s">
        <v>1834</v>
      </c>
      <c r="P1184" s="41" t="s">
        <v>334</v>
      </c>
      <c r="Q1184" s="41" t="s">
        <v>4471</v>
      </c>
      <c r="R1184" s="41" t="s">
        <v>132</v>
      </c>
      <c r="S1184" s="41" t="s">
        <v>40</v>
      </c>
      <c r="T1184" s="41" t="s">
        <v>40</v>
      </c>
      <c r="U1184" s="41" t="s">
        <v>40</v>
      </c>
    </row>
    <row r="1185" spans="1:21">
      <c r="A1185" s="41">
        <v>1723</v>
      </c>
      <c r="B1185" s="41" t="s">
        <v>245</v>
      </c>
      <c r="D1185" s="41">
        <v>4562</v>
      </c>
      <c r="E1185" s="41" t="s">
        <v>27</v>
      </c>
      <c r="F1185" s="41" t="s">
        <v>53</v>
      </c>
      <c r="G1185" s="41" t="s">
        <v>54</v>
      </c>
      <c r="I1185" s="41" t="s">
        <v>162</v>
      </c>
      <c r="J1185" s="41" t="s">
        <v>32</v>
      </c>
      <c r="K1185" s="42"/>
      <c r="L1185" s="41" t="s">
        <v>247</v>
      </c>
      <c r="M1185" s="41">
        <v>154</v>
      </c>
      <c r="N1185" s="41" t="s">
        <v>248</v>
      </c>
      <c r="O1185" s="41" t="s">
        <v>36</v>
      </c>
      <c r="P1185" s="41" t="s">
        <v>68</v>
      </c>
      <c r="Q1185" s="41" t="s">
        <v>159</v>
      </c>
      <c r="R1185" s="41" t="s">
        <v>132</v>
      </c>
      <c r="S1185" s="41" t="s">
        <v>40</v>
      </c>
      <c r="T1185" s="41" t="s">
        <v>40</v>
      </c>
      <c r="U1185" s="41" t="s">
        <v>40</v>
      </c>
    </row>
    <row r="1186" spans="1:21">
      <c r="A1186" s="41">
        <v>1722</v>
      </c>
      <c r="B1186" s="41" t="s">
        <v>4472</v>
      </c>
      <c r="D1186" s="41">
        <v>4537</v>
      </c>
      <c r="E1186" s="41" t="s">
        <v>1286</v>
      </c>
      <c r="F1186" s="41" t="s">
        <v>53</v>
      </c>
      <c r="G1186" s="41" t="s">
        <v>64</v>
      </c>
      <c r="I1186" s="41" t="s">
        <v>162</v>
      </c>
      <c r="J1186" s="41" t="s">
        <v>380</v>
      </c>
      <c r="K1186" s="42"/>
      <c r="L1186" s="41" t="s">
        <v>4470</v>
      </c>
      <c r="M1186" s="41">
        <v>220</v>
      </c>
      <c r="N1186" s="41" t="s">
        <v>805</v>
      </c>
      <c r="O1186" s="41" t="s">
        <v>396</v>
      </c>
      <c r="P1186" s="41" t="s">
        <v>334</v>
      </c>
      <c r="Q1186" s="41" t="s">
        <v>389</v>
      </c>
      <c r="R1186" s="41" t="s">
        <v>132</v>
      </c>
      <c r="S1186" s="41" t="s">
        <v>40</v>
      </c>
      <c r="T1186" s="41" t="s">
        <v>40</v>
      </c>
      <c r="U1186" s="41" t="s">
        <v>40</v>
      </c>
    </row>
    <row r="1187" spans="1:21">
      <c r="A1187" s="41">
        <v>1721</v>
      </c>
      <c r="B1187" s="41" t="s">
        <v>249</v>
      </c>
      <c r="D1187" s="41">
        <v>4540</v>
      </c>
      <c r="E1187" s="41" t="s">
        <v>27</v>
      </c>
      <c r="F1187" s="41" t="s">
        <v>53</v>
      </c>
      <c r="G1187" s="41" t="s">
        <v>64</v>
      </c>
      <c r="I1187" s="41" t="s">
        <v>56</v>
      </c>
      <c r="J1187" s="41" t="s">
        <v>32</v>
      </c>
      <c r="K1187" s="42"/>
      <c r="L1187" s="41" t="s">
        <v>251</v>
      </c>
      <c r="M1187" s="41">
        <v>110</v>
      </c>
      <c r="N1187" s="41" t="s">
        <v>252</v>
      </c>
      <c r="O1187" s="41" t="s">
        <v>36</v>
      </c>
      <c r="P1187" s="41" t="s">
        <v>172</v>
      </c>
      <c r="Q1187" s="41" t="s">
        <v>253</v>
      </c>
      <c r="R1187" s="41" t="s">
        <v>132</v>
      </c>
      <c r="S1187" s="41" t="s">
        <v>40</v>
      </c>
      <c r="T1187" s="41" t="s">
        <v>40</v>
      </c>
      <c r="U1187" s="41" t="s">
        <v>40</v>
      </c>
    </row>
    <row r="1188" spans="1:21">
      <c r="A1188" s="41">
        <v>1720</v>
      </c>
      <c r="B1188" s="41" t="s">
        <v>4473</v>
      </c>
      <c r="D1188" s="41">
        <v>4542</v>
      </c>
      <c r="E1188" s="41" t="s">
        <v>3236</v>
      </c>
      <c r="F1188" s="41" t="s">
        <v>53</v>
      </c>
      <c r="G1188" s="41" t="s">
        <v>54</v>
      </c>
      <c r="I1188" s="41" t="s">
        <v>45</v>
      </c>
      <c r="J1188" s="41" t="s">
        <v>295</v>
      </c>
      <c r="K1188" s="42"/>
      <c r="L1188" s="41" t="s">
        <v>219</v>
      </c>
      <c r="M1188" s="41">
        <v>220</v>
      </c>
      <c r="N1188" s="41" t="s">
        <v>67</v>
      </c>
      <c r="O1188" s="41" t="s">
        <v>36</v>
      </c>
      <c r="P1188" s="41" t="s">
        <v>172</v>
      </c>
      <c r="Q1188" s="41" t="s">
        <v>221</v>
      </c>
      <c r="R1188" s="41" t="s">
        <v>62</v>
      </c>
      <c r="S1188" s="41" t="s">
        <v>40</v>
      </c>
      <c r="T1188" s="41" t="s">
        <v>40</v>
      </c>
      <c r="U1188" s="41" t="s">
        <v>40</v>
      </c>
    </row>
    <row r="1189" spans="1:21">
      <c r="A1189" s="41">
        <v>1719</v>
      </c>
      <c r="B1189" s="41" t="s">
        <v>4474</v>
      </c>
      <c r="D1189" s="41">
        <v>4526</v>
      </c>
      <c r="E1189" s="41" t="s">
        <v>1286</v>
      </c>
      <c r="F1189" s="41" t="s">
        <v>53</v>
      </c>
      <c r="G1189" s="41" t="s">
        <v>54</v>
      </c>
      <c r="I1189" s="41" t="s">
        <v>601</v>
      </c>
      <c r="J1189" s="41" t="s">
        <v>32</v>
      </c>
      <c r="K1189" s="42"/>
      <c r="L1189" s="41" t="s">
        <v>4448</v>
      </c>
      <c r="M1189" s="41">
        <v>500</v>
      </c>
      <c r="N1189" s="41" t="s">
        <v>1629</v>
      </c>
      <c r="O1189" s="41" t="s">
        <v>4475</v>
      </c>
      <c r="P1189" s="41" t="s">
        <v>98</v>
      </c>
      <c r="Q1189" s="41" t="s">
        <v>99</v>
      </c>
      <c r="R1189" s="41" t="s">
        <v>62</v>
      </c>
      <c r="S1189" s="41" t="s">
        <v>40</v>
      </c>
      <c r="T1189" s="41" t="s">
        <v>40</v>
      </c>
      <c r="U1189" s="41" t="s">
        <v>40</v>
      </c>
    </row>
    <row r="1190" spans="1:21">
      <c r="A1190" s="41">
        <v>1718</v>
      </c>
      <c r="B1190" s="41" t="s">
        <v>4476</v>
      </c>
      <c r="D1190" s="41">
        <v>4532</v>
      </c>
      <c r="E1190" s="41" t="s">
        <v>1708</v>
      </c>
      <c r="F1190" s="41" t="s">
        <v>53</v>
      </c>
      <c r="G1190" s="41" t="s">
        <v>54</v>
      </c>
      <c r="I1190" s="41" t="s">
        <v>45</v>
      </c>
      <c r="J1190" s="41" t="s">
        <v>32</v>
      </c>
      <c r="K1190" s="42"/>
      <c r="L1190" s="41" t="s">
        <v>256</v>
      </c>
      <c r="M1190" s="41">
        <v>220</v>
      </c>
      <c r="N1190" s="41" t="s">
        <v>4477</v>
      </c>
      <c r="O1190" s="41" t="s">
        <v>1615</v>
      </c>
      <c r="P1190" s="41" t="s">
        <v>68</v>
      </c>
      <c r="Q1190" s="41" t="s">
        <v>91</v>
      </c>
      <c r="R1190" s="41" t="s">
        <v>62</v>
      </c>
      <c r="S1190" s="41" t="s">
        <v>40</v>
      </c>
      <c r="T1190" s="41" t="s">
        <v>40</v>
      </c>
      <c r="U1190" s="41" t="s">
        <v>40</v>
      </c>
    </row>
    <row r="1191" spans="1:21">
      <c r="A1191" s="41">
        <v>1717</v>
      </c>
      <c r="B1191" s="41" t="s">
        <v>4478</v>
      </c>
      <c r="D1191" s="41">
        <v>4531</v>
      </c>
      <c r="E1191" s="41" t="s">
        <v>3236</v>
      </c>
      <c r="F1191" s="41" t="s">
        <v>53</v>
      </c>
      <c r="G1191" s="41" t="s">
        <v>64</v>
      </c>
      <c r="I1191" s="41" t="s">
        <v>56</v>
      </c>
      <c r="J1191" s="41" t="s">
        <v>380</v>
      </c>
      <c r="K1191" s="42"/>
      <c r="L1191" s="41" t="s">
        <v>251</v>
      </c>
      <c r="M1191" s="41">
        <v>110</v>
      </c>
      <c r="N1191" s="41" t="s">
        <v>395</v>
      </c>
      <c r="O1191" s="41" t="s">
        <v>36</v>
      </c>
      <c r="P1191" s="41" t="s">
        <v>172</v>
      </c>
      <c r="Q1191" s="41" t="s">
        <v>253</v>
      </c>
      <c r="R1191" s="41" t="s">
        <v>132</v>
      </c>
      <c r="S1191" s="41" t="s">
        <v>40</v>
      </c>
      <c r="T1191" s="41" t="s">
        <v>40</v>
      </c>
      <c r="U1191" s="41" t="s">
        <v>40</v>
      </c>
    </row>
    <row r="1192" spans="1:21">
      <c r="A1192" s="41">
        <v>1716</v>
      </c>
      <c r="B1192" s="41" t="s">
        <v>4479</v>
      </c>
      <c r="D1192" s="41">
        <v>4524</v>
      </c>
      <c r="E1192" s="41" t="s">
        <v>1385</v>
      </c>
      <c r="F1192" s="41" t="s">
        <v>53</v>
      </c>
      <c r="G1192" s="41" t="s">
        <v>54</v>
      </c>
      <c r="I1192" s="41" t="s">
        <v>1018</v>
      </c>
      <c r="J1192" s="41" t="s">
        <v>380</v>
      </c>
      <c r="K1192" s="42"/>
      <c r="L1192" s="41" t="s">
        <v>4470</v>
      </c>
      <c r="M1192" s="41">
        <v>220</v>
      </c>
      <c r="N1192" s="41" t="s">
        <v>719</v>
      </c>
      <c r="O1192" s="41" t="s">
        <v>36</v>
      </c>
      <c r="P1192" s="41" t="s">
        <v>334</v>
      </c>
      <c r="Q1192" s="41" t="s">
        <v>4471</v>
      </c>
      <c r="R1192" s="41" t="s">
        <v>132</v>
      </c>
      <c r="S1192" s="41" t="s">
        <v>40</v>
      </c>
      <c r="T1192" s="41" t="s">
        <v>40</v>
      </c>
      <c r="U1192" s="41" t="s">
        <v>40</v>
      </c>
    </row>
    <row r="1193" spans="1:21">
      <c r="A1193" s="41">
        <v>1715</v>
      </c>
      <c r="B1193" s="41" t="s">
        <v>4480</v>
      </c>
      <c r="D1193" s="41">
        <v>4525</v>
      </c>
      <c r="E1193" s="41" t="s">
        <v>1385</v>
      </c>
      <c r="F1193" s="41" t="s">
        <v>53</v>
      </c>
      <c r="G1193" s="41" t="s">
        <v>54</v>
      </c>
      <c r="I1193" s="41" t="s">
        <v>338</v>
      </c>
      <c r="J1193" s="41" t="s">
        <v>380</v>
      </c>
      <c r="K1193" s="42"/>
      <c r="L1193" s="41" t="s">
        <v>4470</v>
      </c>
      <c r="M1193" s="41">
        <v>220</v>
      </c>
      <c r="N1193" s="41" t="s">
        <v>719</v>
      </c>
      <c r="O1193" s="41" t="s">
        <v>77</v>
      </c>
      <c r="P1193" s="41" t="s">
        <v>334</v>
      </c>
      <c r="Q1193" s="41" t="s">
        <v>4481</v>
      </c>
      <c r="R1193" s="41" t="s">
        <v>132</v>
      </c>
      <c r="S1193" s="41" t="s">
        <v>40</v>
      </c>
      <c r="T1193" s="41" t="s">
        <v>40</v>
      </c>
      <c r="U1193" s="41" t="s">
        <v>40</v>
      </c>
    </row>
    <row r="1194" spans="1:21">
      <c r="A1194" s="41">
        <v>1714</v>
      </c>
      <c r="B1194" s="41" t="s">
        <v>4482</v>
      </c>
      <c r="D1194" s="41">
        <v>4536</v>
      </c>
      <c r="E1194" s="41" t="s">
        <v>1465</v>
      </c>
      <c r="F1194" s="41" t="s">
        <v>53</v>
      </c>
      <c r="G1194" s="41" t="s">
        <v>64</v>
      </c>
      <c r="I1194" s="41" t="s">
        <v>56</v>
      </c>
      <c r="J1194" s="41" t="s">
        <v>32</v>
      </c>
      <c r="K1194" s="42"/>
      <c r="L1194" s="41" t="s">
        <v>4470</v>
      </c>
      <c r="M1194" s="41">
        <v>220</v>
      </c>
      <c r="N1194" s="41" t="s">
        <v>805</v>
      </c>
      <c r="O1194" s="41" t="s">
        <v>4483</v>
      </c>
      <c r="P1194" s="41" t="s">
        <v>334</v>
      </c>
      <c r="Q1194" s="41" t="s">
        <v>389</v>
      </c>
      <c r="R1194" s="41" t="s">
        <v>132</v>
      </c>
      <c r="S1194" s="41" t="s">
        <v>40</v>
      </c>
      <c r="T1194" s="41" t="s">
        <v>40</v>
      </c>
      <c r="U1194" s="41" t="s">
        <v>40</v>
      </c>
    </row>
    <row r="1195" spans="1:21">
      <c r="A1195" s="41">
        <v>1713</v>
      </c>
      <c r="B1195" s="41" t="s">
        <v>4484</v>
      </c>
      <c r="D1195" s="41">
        <v>4530</v>
      </c>
      <c r="E1195" s="41" t="s">
        <v>3236</v>
      </c>
      <c r="F1195" s="41" t="s">
        <v>53</v>
      </c>
      <c r="G1195" s="41" t="s">
        <v>54</v>
      </c>
      <c r="I1195" s="41" t="s">
        <v>56</v>
      </c>
      <c r="J1195" s="41" t="s">
        <v>380</v>
      </c>
      <c r="K1195" s="42"/>
      <c r="L1195" s="41" t="s">
        <v>4485</v>
      </c>
      <c r="M1195" s="41">
        <v>66</v>
      </c>
      <c r="N1195" s="41" t="s">
        <v>395</v>
      </c>
      <c r="O1195" s="41" t="s">
        <v>36</v>
      </c>
      <c r="P1195" s="41" t="s">
        <v>334</v>
      </c>
      <c r="Q1195" s="41" t="s">
        <v>389</v>
      </c>
      <c r="R1195" s="41" t="s">
        <v>132</v>
      </c>
      <c r="S1195" s="41" t="s">
        <v>40</v>
      </c>
      <c r="T1195" s="41" t="s">
        <v>40</v>
      </c>
      <c r="U1195" s="41" t="s">
        <v>40</v>
      </c>
    </row>
    <row r="1196" spans="1:21">
      <c r="A1196" s="41">
        <v>1712</v>
      </c>
      <c r="B1196" s="41" t="s">
        <v>4486</v>
      </c>
      <c r="D1196" s="41">
        <v>4527</v>
      </c>
      <c r="E1196" s="41" t="s">
        <v>3236</v>
      </c>
      <c r="F1196" s="41" t="s">
        <v>53</v>
      </c>
      <c r="G1196" s="41" t="s">
        <v>64</v>
      </c>
      <c r="I1196" s="41" t="s">
        <v>45</v>
      </c>
      <c r="J1196" s="41" t="s">
        <v>295</v>
      </c>
      <c r="K1196" s="42"/>
      <c r="L1196" s="41" t="s">
        <v>4470</v>
      </c>
      <c r="M1196" s="41">
        <v>220</v>
      </c>
      <c r="N1196" s="41" t="s">
        <v>395</v>
      </c>
      <c r="O1196" s="41" t="s">
        <v>36</v>
      </c>
      <c r="P1196" s="41" t="s">
        <v>334</v>
      </c>
      <c r="Q1196" s="41" t="s">
        <v>389</v>
      </c>
      <c r="R1196" s="41" t="s">
        <v>62</v>
      </c>
      <c r="S1196" s="41" t="s">
        <v>40</v>
      </c>
      <c r="T1196" s="41" t="s">
        <v>40</v>
      </c>
      <c r="U1196" s="41" t="s">
        <v>40</v>
      </c>
    </row>
    <row r="1197" spans="1:21">
      <c r="A1197" s="41">
        <v>1711</v>
      </c>
      <c r="B1197" s="41" t="s">
        <v>4487</v>
      </c>
      <c r="D1197" s="41">
        <v>4534</v>
      </c>
      <c r="E1197" s="41" t="s">
        <v>3714</v>
      </c>
      <c r="F1197" s="41" t="s">
        <v>53</v>
      </c>
      <c r="G1197" s="41" t="s">
        <v>64</v>
      </c>
      <c r="I1197" s="41" t="s">
        <v>4488</v>
      </c>
      <c r="J1197" s="41" t="s">
        <v>380</v>
      </c>
      <c r="K1197" s="42"/>
      <c r="L1197" s="41" t="s">
        <v>4470</v>
      </c>
      <c r="M1197" s="41">
        <v>220</v>
      </c>
      <c r="N1197" s="41" t="s">
        <v>1629</v>
      </c>
      <c r="O1197" s="41" t="s">
        <v>396</v>
      </c>
      <c r="P1197" s="41" t="s">
        <v>334</v>
      </c>
      <c r="Q1197" s="41" t="s">
        <v>4471</v>
      </c>
      <c r="R1197" s="41" t="s">
        <v>62</v>
      </c>
      <c r="S1197" s="41" t="s">
        <v>40</v>
      </c>
      <c r="T1197" s="41" t="s">
        <v>40</v>
      </c>
      <c r="U1197" s="41" t="s">
        <v>40</v>
      </c>
    </row>
    <row r="1198" spans="1:21">
      <c r="A1198" s="41">
        <v>1710</v>
      </c>
      <c r="B1198" s="41" t="s">
        <v>4482</v>
      </c>
      <c r="E1198" s="41" t="s">
        <v>1465</v>
      </c>
      <c r="F1198" s="41" t="s">
        <v>53</v>
      </c>
      <c r="G1198" s="41" t="s">
        <v>43</v>
      </c>
      <c r="I1198" s="41" t="s">
        <v>56</v>
      </c>
      <c r="J1198" s="41" t="s">
        <v>32</v>
      </c>
      <c r="K1198" s="42"/>
      <c r="L1198" s="41" t="s">
        <v>4470</v>
      </c>
      <c r="M1198" s="41">
        <v>220</v>
      </c>
      <c r="N1198" s="41" t="s">
        <v>805</v>
      </c>
      <c r="O1198" s="41" t="s">
        <v>4483</v>
      </c>
      <c r="P1198" s="41" t="s">
        <v>334</v>
      </c>
      <c r="Q1198" s="41" t="s">
        <v>389</v>
      </c>
      <c r="R1198" s="41" t="s">
        <v>132</v>
      </c>
      <c r="S1198" s="41" t="s">
        <v>40</v>
      </c>
      <c r="T1198" s="41" t="s">
        <v>40</v>
      </c>
      <c r="U1198" s="41" t="s">
        <v>40</v>
      </c>
    </row>
    <row r="1199" spans="1:21">
      <c r="A1199" s="41">
        <v>1709</v>
      </c>
      <c r="B1199" s="41" t="s">
        <v>4489</v>
      </c>
      <c r="D1199" s="41">
        <v>4528</v>
      </c>
      <c r="E1199" s="41" t="s">
        <v>4042</v>
      </c>
      <c r="F1199" s="41" t="s">
        <v>53</v>
      </c>
      <c r="G1199" s="41" t="s">
        <v>54</v>
      </c>
      <c r="I1199" s="41" t="s">
        <v>338</v>
      </c>
      <c r="J1199" s="41" t="s">
        <v>32</v>
      </c>
      <c r="K1199" s="42"/>
      <c r="L1199" s="41" t="s">
        <v>256</v>
      </c>
      <c r="M1199" s="41">
        <v>220</v>
      </c>
      <c r="N1199" s="41" t="s">
        <v>690</v>
      </c>
      <c r="O1199" s="41" t="s">
        <v>452</v>
      </c>
      <c r="P1199" s="41" t="s">
        <v>68</v>
      </c>
      <c r="Q1199" s="41" t="s">
        <v>4490</v>
      </c>
      <c r="R1199" s="41" t="s">
        <v>132</v>
      </c>
      <c r="S1199" s="41" t="s">
        <v>40</v>
      </c>
      <c r="T1199" s="41" t="s">
        <v>40</v>
      </c>
      <c r="U1199" s="41" t="s">
        <v>40</v>
      </c>
    </row>
    <row r="1200" spans="1:21">
      <c r="A1200" s="41">
        <v>1708</v>
      </c>
      <c r="B1200" s="41" t="s">
        <v>4491</v>
      </c>
      <c r="D1200" s="41">
        <v>4518</v>
      </c>
      <c r="E1200" s="41" t="s">
        <v>1136</v>
      </c>
      <c r="F1200" s="41" t="s">
        <v>53</v>
      </c>
      <c r="G1200" s="41" t="s">
        <v>54</v>
      </c>
      <c r="I1200" s="41" t="s">
        <v>1168</v>
      </c>
      <c r="J1200" s="41" t="s">
        <v>380</v>
      </c>
      <c r="K1200" s="42"/>
      <c r="L1200" s="41" t="s">
        <v>4492</v>
      </c>
      <c r="M1200" s="41">
        <v>110</v>
      </c>
      <c r="N1200" s="41" t="s">
        <v>4493</v>
      </c>
      <c r="O1200" s="41" t="s">
        <v>4494</v>
      </c>
      <c r="P1200" s="41" t="s">
        <v>172</v>
      </c>
      <c r="Q1200" s="41" t="s">
        <v>3329</v>
      </c>
      <c r="R1200" s="41" t="s">
        <v>132</v>
      </c>
      <c r="S1200" s="41" t="s">
        <v>40</v>
      </c>
      <c r="T1200" s="41" t="s">
        <v>40</v>
      </c>
      <c r="U1200" s="41" t="s">
        <v>40</v>
      </c>
    </row>
    <row r="1201" spans="1:21">
      <c r="A1201" s="41">
        <v>1707</v>
      </c>
      <c r="B1201" s="41" t="s">
        <v>4495</v>
      </c>
      <c r="D1201" s="41">
        <v>4564</v>
      </c>
      <c r="E1201" s="41" t="s">
        <v>4496</v>
      </c>
      <c r="F1201" s="41" t="s">
        <v>53</v>
      </c>
      <c r="G1201" s="41" t="s">
        <v>64</v>
      </c>
      <c r="I1201" s="41" t="s">
        <v>45</v>
      </c>
      <c r="J1201" s="41" t="s">
        <v>32</v>
      </c>
      <c r="K1201" s="42"/>
      <c r="L1201" s="41" t="s">
        <v>4470</v>
      </c>
      <c r="M1201" s="41">
        <v>220</v>
      </c>
      <c r="N1201" s="41" t="s">
        <v>805</v>
      </c>
      <c r="O1201" s="41" t="s">
        <v>4497</v>
      </c>
      <c r="P1201" s="41" t="s">
        <v>60</v>
      </c>
      <c r="Q1201" s="41" t="s">
        <v>419</v>
      </c>
      <c r="R1201" s="41" t="s">
        <v>132</v>
      </c>
      <c r="S1201" s="41" t="s">
        <v>40</v>
      </c>
      <c r="T1201" s="41" t="s">
        <v>40</v>
      </c>
      <c r="U1201" s="41" t="s">
        <v>40</v>
      </c>
    </row>
    <row r="1202" spans="1:21">
      <c r="A1202" s="41">
        <v>1706</v>
      </c>
      <c r="B1202" s="41" t="s">
        <v>4498</v>
      </c>
      <c r="D1202" s="41">
        <v>4533</v>
      </c>
      <c r="E1202" s="41" t="s">
        <v>1465</v>
      </c>
      <c r="F1202" s="41" t="s">
        <v>53</v>
      </c>
      <c r="G1202" s="41" t="s">
        <v>54</v>
      </c>
      <c r="I1202" s="41" t="s">
        <v>56</v>
      </c>
      <c r="J1202" s="41" t="s">
        <v>32</v>
      </c>
      <c r="K1202" s="42"/>
      <c r="L1202" s="41" t="s">
        <v>232</v>
      </c>
      <c r="M1202" s="41">
        <v>66</v>
      </c>
      <c r="N1202" s="41" t="s">
        <v>4499</v>
      </c>
      <c r="O1202" s="41" t="s">
        <v>1489</v>
      </c>
      <c r="P1202" s="41" t="s">
        <v>172</v>
      </c>
      <c r="Q1202" s="41" t="s">
        <v>233</v>
      </c>
      <c r="R1202" s="41" t="s">
        <v>132</v>
      </c>
      <c r="S1202" s="41" t="s">
        <v>40</v>
      </c>
      <c r="T1202" s="41" t="s">
        <v>40</v>
      </c>
      <c r="U1202" s="41" t="s">
        <v>40</v>
      </c>
    </row>
    <row r="1203" spans="1:21">
      <c r="A1203" s="41">
        <v>1705</v>
      </c>
      <c r="B1203" s="41" t="s">
        <v>4500</v>
      </c>
      <c r="D1203" s="41">
        <v>4551</v>
      </c>
      <c r="E1203" s="41" t="s">
        <v>2487</v>
      </c>
      <c r="F1203" s="41" t="s">
        <v>53</v>
      </c>
      <c r="G1203" s="41" t="s">
        <v>54</v>
      </c>
      <c r="I1203" s="41" t="s">
        <v>56</v>
      </c>
      <c r="J1203" s="41" t="s">
        <v>32</v>
      </c>
      <c r="K1203" s="42"/>
      <c r="L1203" s="41" t="s">
        <v>256</v>
      </c>
      <c r="M1203" s="41">
        <v>220</v>
      </c>
      <c r="N1203" s="41" t="s">
        <v>805</v>
      </c>
      <c r="O1203" s="41" t="s">
        <v>4501</v>
      </c>
      <c r="P1203" s="41" t="s">
        <v>68</v>
      </c>
      <c r="Q1203" s="41" t="s">
        <v>244</v>
      </c>
      <c r="R1203" s="41" t="s">
        <v>62</v>
      </c>
      <c r="S1203" s="41" t="s">
        <v>40</v>
      </c>
      <c r="T1203" s="41" t="s">
        <v>40</v>
      </c>
      <c r="U1203" s="41" t="s">
        <v>40</v>
      </c>
    </row>
    <row r="1204" spans="1:21">
      <c r="A1204" s="41">
        <v>1704</v>
      </c>
      <c r="B1204" s="41" t="s">
        <v>4502</v>
      </c>
      <c r="D1204" s="41">
        <v>4522</v>
      </c>
      <c r="E1204" s="41" t="s">
        <v>1465</v>
      </c>
      <c r="F1204" s="41" t="s">
        <v>53</v>
      </c>
      <c r="G1204" s="41" t="s">
        <v>64</v>
      </c>
      <c r="I1204" s="41" t="s">
        <v>56</v>
      </c>
      <c r="J1204" s="41" t="s">
        <v>32</v>
      </c>
      <c r="K1204" s="42"/>
      <c r="L1204" s="41" t="s">
        <v>4492</v>
      </c>
      <c r="M1204" s="41">
        <v>110</v>
      </c>
      <c r="N1204" s="41" t="s">
        <v>4499</v>
      </c>
      <c r="O1204" s="41" t="s">
        <v>4503</v>
      </c>
      <c r="P1204" s="41" t="s">
        <v>172</v>
      </c>
      <c r="Q1204" s="41" t="s">
        <v>253</v>
      </c>
      <c r="R1204" s="41" t="s">
        <v>132</v>
      </c>
      <c r="S1204" s="41" t="s">
        <v>40</v>
      </c>
      <c r="T1204" s="41" t="s">
        <v>40</v>
      </c>
      <c r="U1204" s="41" t="s">
        <v>40</v>
      </c>
    </row>
    <row r="1205" spans="1:21">
      <c r="A1205" s="41">
        <v>1703</v>
      </c>
      <c r="B1205" s="41" t="s">
        <v>4504</v>
      </c>
      <c r="D1205" s="41">
        <v>4547</v>
      </c>
      <c r="E1205" s="41" t="s">
        <v>1465</v>
      </c>
      <c r="F1205" s="41" t="s">
        <v>53</v>
      </c>
      <c r="G1205" s="41" t="s">
        <v>54</v>
      </c>
      <c r="I1205" s="41" t="s">
        <v>56</v>
      </c>
      <c r="J1205" s="41" t="s">
        <v>32</v>
      </c>
      <c r="K1205" s="42"/>
      <c r="L1205" s="41" t="s">
        <v>4505</v>
      </c>
      <c r="M1205" s="41">
        <v>110</v>
      </c>
      <c r="N1205" s="41" t="s">
        <v>4506</v>
      </c>
      <c r="O1205" s="41" t="s">
        <v>1956</v>
      </c>
      <c r="P1205" s="41" t="s">
        <v>172</v>
      </c>
      <c r="Q1205" s="41" t="s">
        <v>1803</v>
      </c>
      <c r="R1205" s="41" t="s">
        <v>132</v>
      </c>
      <c r="S1205" s="41" t="s">
        <v>40</v>
      </c>
      <c r="T1205" s="41" t="s">
        <v>40</v>
      </c>
      <c r="U1205" s="41" t="s">
        <v>40</v>
      </c>
    </row>
    <row r="1206" spans="1:21">
      <c r="A1206" s="41">
        <v>1702</v>
      </c>
      <c r="B1206" s="41" t="s">
        <v>4507</v>
      </c>
      <c r="D1206" s="41">
        <v>4549</v>
      </c>
      <c r="E1206" s="41" t="s">
        <v>1465</v>
      </c>
      <c r="F1206" s="41" t="s">
        <v>53</v>
      </c>
      <c r="G1206" s="41" t="s">
        <v>54</v>
      </c>
      <c r="I1206" s="41" t="s">
        <v>56</v>
      </c>
      <c r="J1206" s="41" t="s">
        <v>32</v>
      </c>
      <c r="K1206" s="42"/>
      <c r="L1206" s="41" t="s">
        <v>4508</v>
      </c>
      <c r="M1206" s="41">
        <v>66</v>
      </c>
      <c r="N1206" s="41" t="s">
        <v>4499</v>
      </c>
      <c r="O1206" s="41" t="s">
        <v>1489</v>
      </c>
      <c r="P1206" s="41" t="s">
        <v>334</v>
      </c>
      <c r="Q1206" s="41" t="s">
        <v>389</v>
      </c>
      <c r="R1206" s="41" t="s">
        <v>132</v>
      </c>
      <c r="S1206" s="41" t="s">
        <v>40</v>
      </c>
      <c r="T1206" s="41" t="s">
        <v>40</v>
      </c>
      <c r="U1206" s="41" t="s">
        <v>40</v>
      </c>
    </row>
    <row r="1207" spans="1:21">
      <c r="A1207" s="41">
        <v>1701</v>
      </c>
      <c r="B1207" s="41" t="s">
        <v>4509</v>
      </c>
      <c r="D1207" s="41">
        <v>4544</v>
      </c>
      <c r="E1207" s="41" t="s">
        <v>2571</v>
      </c>
      <c r="F1207" s="41" t="s">
        <v>53</v>
      </c>
      <c r="G1207" s="41" t="s">
        <v>54</v>
      </c>
      <c r="I1207" s="41" t="s">
        <v>56</v>
      </c>
      <c r="J1207" s="41" t="s">
        <v>32</v>
      </c>
      <c r="K1207" s="42"/>
      <c r="L1207" s="41" t="s">
        <v>4510</v>
      </c>
      <c r="M1207" s="41">
        <v>110</v>
      </c>
      <c r="N1207" s="41" t="s">
        <v>445</v>
      </c>
      <c r="O1207" s="41" t="s">
        <v>237</v>
      </c>
      <c r="P1207" s="41" t="s">
        <v>68</v>
      </c>
      <c r="Q1207" s="41" t="s">
        <v>244</v>
      </c>
      <c r="R1207" s="41" t="s">
        <v>132</v>
      </c>
      <c r="S1207" s="41" t="s">
        <v>40</v>
      </c>
      <c r="T1207" s="41" t="s">
        <v>40</v>
      </c>
      <c r="U1207" s="41" t="s">
        <v>40</v>
      </c>
    </row>
    <row r="1208" spans="1:21">
      <c r="A1208" s="41">
        <v>1700</v>
      </c>
      <c r="B1208" s="41" t="s">
        <v>254</v>
      </c>
      <c r="D1208" s="41">
        <v>4550</v>
      </c>
      <c r="E1208" s="41" t="s">
        <v>27</v>
      </c>
      <c r="F1208" s="41" t="s">
        <v>53</v>
      </c>
      <c r="G1208" s="41" t="s">
        <v>54</v>
      </c>
      <c r="I1208" s="41" t="s">
        <v>45</v>
      </c>
      <c r="J1208" s="41" t="s">
        <v>32</v>
      </c>
      <c r="K1208" s="42"/>
      <c r="L1208" s="41" t="s">
        <v>256</v>
      </c>
      <c r="M1208" s="41">
        <v>220</v>
      </c>
      <c r="N1208" s="41" t="s">
        <v>257</v>
      </c>
      <c r="O1208" s="41" t="s">
        <v>36</v>
      </c>
      <c r="P1208" s="41" t="s">
        <v>68</v>
      </c>
      <c r="Q1208" s="41" t="s">
        <v>244</v>
      </c>
      <c r="R1208" s="41" t="s">
        <v>62</v>
      </c>
      <c r="S1208" s="41" t="s">
        <v>40</v>
      </c>
      <c r="T1208" s="41" t="s">
        <v>40</v>
      </c>
      <c r="U1208" s="41" t="s">
        <v>40</v>
      </c>
    </row>
    <row r="1209" spans="1:21">
      <c r="A1209" s="41">
        <v>1699</v>
      </c>
      <c r="B1209" s="41" t="s">
        <v>4511</v>
      </c>
      <c r="D1209" s="41">
        <v>4555</v>
      </c>
      <c r="E1209" s="41" t="s">
        <v>1465</v>
      </c>
      <c r="F1209" s="41" t="s">
        <v>53</v>
      </c>
      <c r="G1209" s="41" t="s">
        <v>54</v>
      </c>
      <c r="I1209" s="41" t="s">
        <v>56</v>
      </c>
      <c r="J1209" s="41" t="s">
        <v>32</v>
      </c>
      <c r="K1209" s="42"/>
      <c r="L1209" s="41" t="s">
        <v>4512</v>
      </c>
      <c r="M1209" s="41">
        <v>66</v>
      </c>
      <c r="N1209" s="41" t="s">
        <v>4499</v>
      </c>
      <c r="O1209" s="41" t="s">
        <v>1489</v>
      </c>
      <c r="P1209" s="41" t="s">
        <v>334</v>
      </c>
      <c r="Q1209" s="41" t="s">
        <v>389</v>
      </c>
      <c r="R1209" s="41" t="s">
        <v>132</v>
      </c>
      <c r="S1209" s="41" t="s">
        <v>40</v>
      </c>
      <c r="T1209" s="41" t="s">
        <v>40</v>
      </c>
      <c r="U1209" s="41" t="s">
        <v>40</v>
      </c>
    </row>
    <row r="1210" spans="1:21">
      <c r="A1210" s="41">
        <v>1698</v>
      </c>
      <c r="B1210" s="41" t="s">
        <v>4513</v>
      </c>
      <c r="D1210" s="41">
        <v>4553</v>
      </c>
      <c r="E1210" s="41" t="s">
        <v>4514</v>
      </c>
      <c r="F1210" s="41" t="s">
        <v>53</v>
      </c>
      <c r="G1210" s="41" t="s">
        <v>64</v>
      </c>
      <c r="I1210" s="41" t="s">
        <v>45</v>
      </c>
      <c r="J1210" s="41" t="s">
        <v>32</v>
      </c>
      <c r="K1210" s="42"/>
      <c r="L1210" s="41" t="s">
        <v>4470</v>
      </c>
      <c r="M1210" s="41">
        <v>220</v>
      </c>
      <c r="N1210" s="41" t="s">
        <v>4515</v>
      </c>
      <c r="O1210" s="41" t="s">
        <v>2919</v>
      </c>
      <c r="P1210" s="41" t="s">
        <v>334</v>
      </c>
      <c r="Q1210" s="41" t="s">
        <v>4481</v>
      </c>
      <c r="R1210" s="41" t="s">
        <v>132</v>
      </c>
      <c r="S1210" s="41" t="s">
        <v>40</v>
      </c>
      <c r="T1210" s="41" t="s">
        <v>40</v>
      </c>
      <c r="U1210" s="41" t="s">
        <v>40</v>
      </c>
    </row>
    <row r="1211" spans="1:21">
      <c r="A1211" s="41">
        <v>1697</v>
      </c>
      <c r="B1211" s="41" t="s">
        <v>4516</v>
      </c>
      <c r="D1211" s="41">
        <v>4541</v>
      </c>
      <c r="E1211" s="41" t="s">
        <v>2324</v>
      </c>
      <c r="F1211" s="41" t="s">
        <v>53</v>
      </c>
      <c r="G1211" s="41" t="s">
        <v>54</v>
      </c>
      <c r="I1211" s="41" t="s">
        <v>119</v>
      </c>
      <c r="J1211" s="41" t="s">
        <v>32</v>
      </c>
      <c r="K1211" s="42"/>
      <c r="L1211" s="41" t="s">
        <v>4448</v>
      </c>
      <c r="M1211" s="41">
        <v>500</v>
      </c>
      <c r="N1211" s="41" t="s">
        <v>77</v>
      </c>
      <c r="O1211" s="41" t="s">
        <v>77</v>
      </c>
      <c r="P1211" s="41" t="s">
        <v>98</v>
      </c>
      <c r="Q1211" s="41" t="s">
        <v>99</v>
      </c>
      <c r="R1211" s="41" t="s">
        <v>62</v>
      </c>
      <c r="S1211" s="41" t="s">
        <v>40</v>
      </c>
      <c r="T1211" s="41" t="s">
        <v>40</v>
      </c>
      <c r="U1211" s="41" t="s">
        <v>40</v>
      </c>
    </row>
    <row r="1212" spans="1:21">
      <c r="A1212" s="41">
        <v>1696</v>
      </c>
      <c r="B1212" s="41" t="s">
        <v>4517</v>
      </c>
      <c r="D1212" s="41">
        <v>4538</v>
      </c>
      <c r="E1212" s="41" t="s">
        <v>4424</v>
      </c>
      <c r="F1212" s="41" t="s">
        <v>53</v>
      </c>
      <c r="G1212" s="41" t="s">
        <v>64</v>
      </c>
      <c r="I1212" s="41" t="s">
        <v>45</v>
      </c>
      <c r="J1212" s="41" t="s">
        <v>380</v>
      </c>
      <c r="K1212" s="42"/>
      <c r="L1212" s="41" t="s">
        <v>4470</v>
      </c>
      <c r="M1212" s="41">
        <v>220</v>
      </c>
      <c r="N1212" s="41" t="s">
        <v>1629</v>
      </c>
      <c r="O1212" s="41" t="s">
        <v>1379</v>
      </c>
      <c r="P1212" s="41" t="s">
        <v>334</v>
      </c>
      <c r="Q1212" s="41" t="s">
        <v>389</v>
      </c>
      <c r="R1212" s="41" t="s">
        <v>132</v>
      </c>
      <c r="S1212" s="41" t="s">
        <v>40</v>
      </c>
      <c r="T1212" s="41" t="s">
        <v>40</v>
      </c>
      <c r="U1212" s="41" t="s">
        <v>40</v>
      </c>
    </row>
    <row r="1213" spans="1:21">
      <c r="A1213" s="41">
        <v>1695</v>
      </c>
      <c r="B1213" s="41" t="s">
        <v>4518</v>
      </c>
      <c r="D1213" s="41">
        <v>4520</v>
      </c>
      <c r="E1213" s="41" t="s">
        <v>1921</v>
      </c>
      <c r="F1213" s="41" t="s">
        <v>53</v>
      </c>
      <c r="G1213" s="41" t="s">
        <v>54</v>
      </c>
      <c r="I1213" s="41" t="s">
        <v>338</v>
      </c>
      <c r="J1213" s="41" t="s">
        <v>380</v>
      </c>
      <c r="K1213" s="42"/>
      <c r="L1213" s="41" t="s">
        <v>4470</v>
      </c>
      <c r="M1213" s="41">
        <v>220</v>
      </c>
      <c r="N1213" s="41" t="s">
        <v>1335</v>
      </c>
      <c r="O1213" s="41" t="s">
        <v>4519</v>
      </c>
      <c r="P1213" s="41" t="s">
        <v>334</v>
      </c>
      <c r="Q1213" s="41" t="s">
        <v>4471</v>
      </c>
      <c r="R1213" s="41" t="s">
        <v>62</v>
      </c>
      <c r="S1213" s="41" t="s">
        <v>40</v>
      </c>
      <c r="T1213" s="41" t="s">
        <v>40</v>
      </c>
      <c r="U1213" s="41" t="s">
        <v>40</v>
      </c>
    </row>
    <row r="1214" spans="1:21">
      <c r="A1214" s="41">
        <v>1694</v>
      </c>
      <c r="B1214" s="41" t="s">
        <v>4520</v>
      </c>
      <c r="D1214" s="41">
        <v>4523</v>
      </c>
      <c r="E1214" s="41" t="s">
        <v>4042</v>
      </c>
      <c r="F1214" s="41" t="s">
        <v>53</v>
      </c>
      <c r="G1214" s="41" t="s">
        <v>64</v>
      </c>
      <c r="I1214" s="41" t="s">
        <v>966</v>
      </c>
      <c r="J1214" s="41" t="s">
        <v>32</v>
      </c>
      <c r="K1214" s="42"/>
      <c r="L1214" s="41" t="s">
        <v>4492</v>
      </c>
      <c r="M1214" s="41">
        <v>110</v>
      </c>
      <c r="N1214" s="41" t="s">
        <v>690</v>
      </c>
      <c r="O1214" s="41" t="s">
        <v>747</v>
      </c>
      <c r="P1214" s="41" t="s">
        <v>172</v>
      </c>
      <c r="Q1214" s="41" t="s">
        <v>253</v>
      </c>
      <c r="R1214" s="41" t="s">
        <v>132</v>
      </c>
      <c r="S1214" s="41" t="s">
        <v>40</v>
      </c>
      <c r="T1214" s="41" t="s">
        <v>40</v>
      </c>
      <c r="U1214" s="41" t="s">
        <v>40</v>
      </c>
    </row>
    <row r="1215" spans="1:21">
      <c r="A1215" s="41">
        <v>1693</v>
      </c>
      <c r="B1215" s="41" t="s">
        <v>4521</v>
      </c>
      <c r="D1215" s="41">
        <v>4535</v>
      </c>
      <c r="E1215" s="41" t="s">
        <v>4522</v>
      </c>
      <c r="F1215" s="41" t="s">
        <v>53</v>
      </c>
      <c r="G1215" s="41" t="s">
        <v>64</v>
      </c>
      <c r="I1215" s="41" t="s">
        <v>1303</v>
      </c>
      <c r="J1215" s="41" t="s">
        <v>32</v>
      </c>
      <c r="K1215" s="42"/>
      <c r="L1215" s="41" t="s">
        <v>4492</v>
      </c>
      <c r="M1215" s="41">
        <v>110</v>
      </c>
      <c r="N1215" s="41" t="s">
        <v>59</v>
      </c>
      <c r="O1215" s="41" t="s">
        <v>77</v>
      </c>
      <c r="P1215" s="41" t="s">
        <v>172</v>
      </c>
      <c r="Q1215" s="41" t="s">
        <v>253</v>
      </c>
      <c r="R1215" s="41" t="s">
        <v>62</v>
      </c>
      <c r="S1215" s="41" t="s">
        <v>40</v>
      </c>
      <c r="T1215" s="41" t="s">
        <v>40</v>
      </c>
      <c r="U1215" s="41" t="s">
        <v>40</v>
      </c>
    </row>
    <row r="1216" spans="1:21">
      <c r="A1216" s="41">
        <v>1692</v>
      </c>
      <c r="B1216" s="41" t="s">
        <v>4523</v>
      </c>
      <c r="D1216" s="41">
        <v>4521</v>
      </c>
      <c r="E1216" s="41" t="s">
        <v>2953</v>
      </c>
      <c r="F1216" s="41" t="s">
        <v>53</v>
      </c>
      <c r="G1216" s="41" t="s">
        <v>54</v>
      </c>
      <c r="I1216" s="41" t="s">
        <v>4524</v>
      </c>
      <c r="J1216" s="41" t="s">
        <v>380</v>
      </c>
      <c r="K1216" s="42"/>
      <c r="L1216" s="41" t="s">
        <v>4470</v>
      </c>
      <c r="M1216" s="41">
        <v>220</v>
      </c>
      <c r="N1216" s="41" t="s">
        <v>77</v>
      </c>
      <c r="O1216" s="41" t="s">
        <v>77</v>
      </c>
      <c r="P1216" s="41" t="s">
        <v>334</v>
      </c>
      <c r="Q1216" s="41" t="s">
        <v>335</v>
      </c>
      <c r="R1216" s="41" t="s">
        <v>132</v>
      </c>
      <c r="S1216" s="41" t="s">
        <v>40</v>
      </c>
      <c r="T1216" s="41" t="s">
        <v>40</v>
      </c>
      <c r="U1216" s="41" t="s">
        <v>40</v>
      </c>
    </row>
    <row r="1217" spans="1:21">
      <c r="A1217" s="41">
        <v>1691</v>
      </c>
      <c r="B1217" s="41" t="s">
        <v>4525</v>
      </c>
      <c r="D1217" s="41">
        <v>4569</v>
      </c>
      <c r="E1217" s="41" t="s">
        <v>3484</v>
      </c>
      <c r="F1217" s="41" t="s">
        <v>53</v>
      </c>
      <c r="G1217" s="41" t="s">
        <v>64</v>
      </c>
      <c r="I1217" s="41" t="s">
        <v>3101</v>
      </c>
      <c r="J1217" s="41" t="s">
        <v>380</v>
      </c>
      <c r="K1217" s="42"/>
      <c r="L1217" s="41" t="s">
        <v>4470</v>
      </c>
      <c r="M1217" s="41">
        <v>220</v>
      </c>
      <c r="N1217" s="41" t="s">
        <v>1629</v>
      </c>
      <c r="O1217" s="41" t="s">
        <v>36</v>
      </c>
      <c r="P1217" s="41" t="s">
        <v>334</v>
      </c>
      <c r="Q1217" s="41" t="s">
        <v>389</v>
      </c>
      <c r="R1217" s="41" t="s">
        <v>132</v>
      </c>
      <c r="S1217" s="41" t="s">
        <v>40</v>
      </c>
      <c r="T1217" s="41" t="s">
        <v>40</v>
      </c>
      <c r="U1217" s="41" t="s">
        <v>40</v>
      </c>
    </row>
    <row r="1218" spans="1:21">
      <c r="A1218" s="41">
        <v>1690</v>
      </c>
      <c r="B1218" s="41" t="s">
        <v>4526</v>
      </c>
      <c r="D1218" s="41">
        <v>4519</v>
      </c>
      <c r="E1218" s="41" t="s">
        <v>2405</v>
      </c>
      <c r="F1218" s="41" t="s">
        <v>53</v>
      </c>
      <c r="G1218" s="41" t="s">
        <v>64</v>
      </c>
      <c r="I1218" s="41" t="s">
        <v>464</v>
      </c>
      <c r="J1218" s="41" t="s">
        <v>295</v>
      </c>
      <c r="K1218" s="42"/>
      <c r="L1218" s="41" t="s">
        <v>4527</v>
      </c>
      <c r="M1218" s="41">
        <v>66</v>
      </c>
      <c r="N1218" s="41" t="s">
        <v>59</v>
      </c>
      <c r="O1218" s="41" t="s">
        <v>1151</v>
      </c>
      <c r="P1218" s="41" t="s">
        <v>334</v>
      </c>
      <c r="Q1218" s="41" t="s">
        <v>1591</v>
      </c>
      <c r="R1218" s="41" t="s">
        <v>132</v>
      </c>
      <c r="S1218" s="41" t="s">
        <v>40</v>
      </c>
      <c r="T1218" s="41" t="s">
        <v>40</v>
      </c>
      <c r="U1218" s="41" t="s">
        <v>40</v>
      </c>
    </row>
    <row r="1219" spans="1:21">
      <c r="A1219" s="41">
        <v>1689</v>
      </c>
      <c r="B1219" s="41" t="s">
        <v>4528</v>
      </c>
      <c r="D1219" s="41">
        <v>4552</v>
      </c>
      <c r="E1219" s="41" t="s">
        <v>2571</v>
      </c>
      <c r="F1219" s="41" t="s">
        <v>53</v>
      </c>
      <c r="G1219" s="41" t="s">
        <v>64</v>
      </c>
      <c r="I1219" s="41" t="s">
        <v>56</v>
      </c>
      <c r="J1219" s="41" t="s">
        <v>32</v>
      </c>
      <c r="K1219" s="42"/>
      <c r="L1219" s="41" t="s">
        <v>4492</v>
      </c>
      <c r="M1219" s="41">
        <v>110</v>
      </c>
      <c r="N1219" s="41" t="s">
        <v>445</v>
      </c>
      <c r="O1219" s="41" t="s">
        <v>178</v>
      </c>
      <c r="P1219" s="41" t="s">
        <v>172</v>
      </c>
      <c r="Q1219" s="41" t="s">
        <v>253</v>
      </c>
      <c r="R1219" s="41" t="s">
        <v>132</v>
      </c>
      <c r="S1219" s="41" t="s">
        <v>40</v>
      </c>
      <c r="T1219" s="41" t="s">
        <v>40</v>
      </c>
      <c r="U1219" s="41" t="s">
        <v>40</v>
      </c>
    </row>
    <row r="1220" spans="1:21">
      <c r="A1220" s="41">
        <v>1688</v>
      </c>
      <c r="B1220" s="41" t="s">
        <v>4529</v>
      </c>
      <c r="D1220" s="41">
        <v>4517</v>
      </c>
      <c r="E1220" s="41" t="s">
        <v>1017</v>
      </c>
      <c r="F1220" s="41" t="s">
        <v>53</v>
      </c>
      <c r="G1220" s="41" t="s">
        <v>64</v>
      </c>
      <c r="I1220" s="41" t="s">
        <v>135</v>
      </c>
      <c r="J1220" s="41" t="s">
        <v>295</v>
      </c>
      <c r="K1220" s="42"/>
      <c r="L1220" s="41" t="s">
        <v>4470</v>
      </c>
      <c r="M1220" s="41">
        <v>220</v>
      </c>
      <c r="N1220" s="41" t="s">
        <v>4530</v>
      </c>
      <c r="O1220" s="41" t="s">
        <v>4531</v>
      </c>
      <c r="P1220" s="41" t="s">
        <v>334</v>
      </c>
      <c r="Q1220" s="41" t="s">
        <v>389</v>
      </c>
      <c r="R1220" s="41" t="s">
        <v>132</v>
      </c>
      <c r="S1220" s="41" t="s">
        <v>40</v>
      </c>
      <c r="T1220" s="41" t="s">
        <v>40</v>
      </c>
      <c r="U1220" s="41" t="s">
        <v>40</v>
      </c>
    </row>
    <row r="1221" spans="1:21">
      <c r="A1221" s="41">
        <v>1687</v>
      </c>
      <c r="B1221" s="41" t="s">
        <v>4532</v>
      </c>
      <c r="E1221" s="41" t="s">
        <v>4533</v>
      </c>
      <c r="F1221" s="41" t="s">
        <v>53</v>
      </c>
      <c r="G1221" s="41" t="s">
        <v>43</v>
      </c>
      <c r="I1221" s="41" t="s">
        <v>56</v>
      </c>
      <c r="J1221" s="41" t="s">
        <v>32</v>
      </c>
      <c r="K1221" s="42"/>
      <c r="L1221" s="41" t="s">
        <v>3946</v>
      </c>
      <c r="M1221" s="41">
        <v>110</v>
      </c>
      <c r="N1221" s="41" t="s">
        <v>1488</v>
      </c>
      <c r="O1221" s="41" t="s">
        <v>36</v>
      </c>
      <c r="P1221" s="41" t="s">
        <v>78</v>
      </c>
      <c r="Q1221" s="41" t="s">
        <v>144</v>
      </c>
      <c r="R1221" s="41" t="s">
        <v>132</v>
      </c>
      <c r="S1221" s="41" t="s">
        <v>40</v>
      </c>
      <c r="T1221" s="41" t="s">
        <v>40</v>
      </c>
      <c r="U1221" s="41" t="s">
        <v>40</v>
      </c>
    </row>
    <row r="1222" spans="1:21">
      <c r="A1222" s="41">
        <v>1686</v>
      </c>
      <c r="B1222" s="41" t="s">
        <v>4534</v>
      </c>
      <c r="E1222" s="41" t="s">
        <v>4533</v>
      </c>
      <c r="F1222" s="41" t="s">
        <v>53</v>
      </c>
      <c r="G1222" s="41" t="s">
        <v>43</v>
      </c>
      <c r="I1222" s="41" t="s">
        <v>56</v>
      </c>
      <c r="J1222" s="41" t="s">
        <v>32</v>
      </c>
      <c r="K1222" s="42"/>
      <c r="L1222" s="41" t="s">
        <v>4535</v>
      </c>
      <c r="M1222" s="41">
        <v>110</v>
      </c>
      <c r="N1222" s="41" t="s">
        <v>445</v>
      </c>
      <c r="O1222" s="41" t="s">
        <v>36</v>
      </c>
      <c r="P1222" s="41" t="s">
        <v>68</v>
      </c>
      <c r="Q1222" s="41" t="s">
        <v>244</v>
      </c>
      <c r="R1222" s="41" t="s">
        <v>132</v>
      </c>
      <c r="S1222" s="41" t="s">
        <v>40</v>
      </c>
      <c r="T1222" s="41" t="s">
        <v>40</v>
      </c>
      <c r="U1222" s="41" t="s">
        <v>40</v>
      </c>
    </row>
    <row r="1223" spans="1:21">
      <c r="A1223" s="41">
        <v>1685</v>
      </c>
      <c r="B1223" s="41" t="s">
        <v>4536</v>
      </c>
      <c r="D1223" s="41">
        <v>4516</v>
      </c>
      <c r="E1223" s="41" t="s">
        <v>1017</v>
      </c>
      <c r="F1223" s="41" t="s">
        <v>53</v>
      </c>
      <c r="G1223" s="41" t="s">
        <v>64</v>
      </c>
      <c r="I1223" s="41" t="s">
        <v>194</v>
      </c>
      <c r="J1223" s="41" t="s">
        <v>295</v>
      </c>
      <c r="K1223" s="42"/>
      <c r="L1223" s="41" t="s">
        <v>4537</v>
      </c>
      <c r="M1223" s="41">
        <v>13</v>
      </c>
      <c r="N1223" s="41" t="s">
        <v>59</v>
      </c>
      <c r="O1223" s="41" t="s">
        <v>402</v>
      </c>
      <c r="P1223" s="41" t="s">
        <v>334</v>
      </c>
      <c r="Q1223" s="41" t="s">
        <v>4538</v>
      </c>
      <c r="R1223" s="41" t="s">
        <v>132</v>
      </c>
      <c r="S1223" s="41" t="s">
        <v>40</v>
      </c>
      <c r="T1223" s="41" t="s">
        <v>3429</v>
      </c>
      <c r="U1223" s="41" t="s">
        <v>40</v>
      </c>
    </row>
    <row r="1224" spans="1:21">
      <c r="A1224" s="41">
        <v>1684</v>
      </c>
      <c r="B1224" s="41" t="s">
        <v>4539</v>
      </c>
      <c r="D1224" s="41">
        <v>4515</v>
      </c>
      <c r="E1224" s="41" t="s">
        <v>1017</v>
      </c>
      <c r="F1224" s="41" t="s">
        <v>53</v>
      </c>
      <c r="G1224" s="41" t="s">
        <v>64</v>
      </c>
      <c r="I1224" s="41" t="s">
        <v>194</v>
      </c>
      <c r="J1224" s="41" t="s">
        <v>295</v>
      </c>
      <c r="K1224" s="42"/>
      <c r="L1224" s="41" t="s">
        <v>4537</v>
      </c>
      <c r="M1224" s="41">
        <v>13</v>
      </c>
      <c r="N1224" s="41" t="s">
        <v>59</v>
      </c>
      <c r="O1224" s="41" t="s">
        <v>1095</v>
      </c>
      <c r="P1224" s="41" t="s">
        <v>334</v>
      </c>
      <c r="Q1224" s="41" t="s">
        <v>4538</v>
      </c>
      <c r="R1224" s="41" t="s">
        <v>132</v>
      </c>
      <c r="S1224" s="41" t="s">
        <v>40</v>
      </c>
      <c r="T1224" s="41" t="s">
        <v>3429</v>
      </c>
      <c r="U1224" s="41" t="s">
        <v>40</v>
      </c>
    </row>
    <row r="1225" spans="1:21">
      <c r="A1225" s="41">
        <v>1683</v>
      </c>
      <c r="B1225" s="41" t="s">
        <v>4540</v>
      </c>
      <c r="D1225" s="41">
        <v>4561</v>
      </c>
      <c r="E1225" s="41" t="s">
        <v>4541</v>
      </c>
      <c r="F1225" s="41" t="s">
        <v>42</v>
      </c>
      <c r="G1225" s="41" t="s">
        <v>121</v>
      </c>
      <c r="I1225" s="41" t="s">
        <v>4542</v>
      </c>
      <c r="J1225" s="41" t="s">
        <v>672</v>
      </c>
      <c r="K1225" s="42"/>
      <c r="L1225" s="41" t="s">
        <v>4543</v>
      </c>
      <c r="M1225" s="41">
        <v>154</v>
      </c>
      <c r="N1225" s="41" t="s">
        <v>1020</v>
      </c>
      <c r="O1225" s="41" t="s">
        <v>77</v>
      </c>
      <c r="P1225" s="41" t="s">
        <v>172</v>
      </c>
      <c r="Q1225" s="41" t="s">
        <v>4544</v>
      </c>
      <c r="R1225" s="41" t="s">
        <v>39</v>
      </c>
      <c r="S1225" s="41" t="s">
        <v>40</v>
      </c>
      <c r="T1225" s="41" t="s">
        <v>4545</v>
      </c>
      <c r="U1225" s="41" t="s">
        <v>40</v>
      </c>
    </row>
    <row r="1226" spans="1:21">
      <c r="A1226" s="41">
        <v>1682</v>
      </c>
      <c r="B1226" s="41" t="s">
        <v>4546</v>
      </c>
      <c r="D1226" s="41">
        <v>4512</v>
      </c>
      <c r="E1226" s="41" t="s">
        <v>4547</v>
      </c>
      <c r="F1226" s="41" t="s">
        <v>53</v>
      </c>
      <c r="G1226" s="41" t="s">
        <v>141</v>
      </c>
      <c r="I1226" s="41" t="s">
        <v>392</v>
      </c>
      <c r="J1226" s="41" t="s">
        <v>32</v>
      </c>
      <c r="K1226" s="42"/>
      <c r="L1226" s="41" t="s">
        <v>1635</v>
      </c>
      <c r="M1226" s="41">
        <v>500</v>
      </c>
      <c r="N1226" s="41" t="s">
        <v>4548</v>
      </c>
      <c r="O1226" s="41" t="s">
        <v>1857</v>
      </c>
      <c r="P1226" s="41" t="s">
        <v>68</v>
      </c>
      <c r="Q1226" s="41" t="s">
        <v>69</v>
      </c>
      <c r="R1226" s="41" t="s">
        <v>62</v>
      </c>
      <c r="S1226" s="41" t="s">
        <v>4549</v>
      </c>
      <c r="T1226" s="41" t="s">
        <v>2145</v>
      </c>
      <c r="U1226" s="41" t="s">
        <v>40</v>
      </c>
    </row>
    <row r="1227" spans="1:21">
      <c r="A1227" s="41">
        <v>1681</v>
      </c>
      <c r="B1227" s="41" t="s">
        <v>4550</v>
      </c>
      <c r="D1227" s="41">
        <v>4511</v>
      </c>
      <c r="E1227" s="41" t="s">
        <v>3948</v>
      </c>
      <c r="F1227" s="41" t="s">
        <v>53</v>
      </c>
      <c r="G1227" s="41" t="s">
        <v>307</v>
      </c>
      <c r="I1227" s="41" t="s">
        <v>1068</v>
      </c>
      <c r="J1227" s="41" t="s">
        <v>672</v>
      </c>
      <c r="K1227" s="42"/>
      <c r="L1227" s="41" t="s">
        <v>4384</v>
      </c>
      <c r="M1227" s="41">
        <v>23</v>
      </c>
      <c r="N1227" s="41" t="s">
        <v>67</v>
      </c>
      <c r="O1227" s="41" t="s">
        <v>299</v>
      </c>
      <c r="P1227" s="41" t="s">
        <v>83</v>
      </c>
      <c r="Q1227" s="41" t="s">
        <v>4385</v>
      </c>
      <c r="R1227" s="41" t="s">
        <v>132</v>
      </c>
      <c r="S1227" s="41" t="s">
        <v>4551</v>
      </c>
      <c r="T1227" s="41" t="s">
        <v>125</v>
      </c>
      <c r="U1227" s="41" t="s">
        <v>40</v>
      </c>
    </row>
    <row r="1228" spans="1:21">
      <c r="A1228" s="41">
        <v>1680</v>
      </c>
      <c r="B1228" s="41" t="s">
        <v>4552</v>
      </c>
      <c r="D1228" s="41">
        <v>4509</v>
      </c>
      <c r="E1228" s="41" t="s">
        <v>1028</v>
      </c>
      <c r="F1228" s="41" t="s">
        <v>53</v>
      </c>
      <c r="G1228" s="41" t="s">
        <v>188</v>
      </c>
      <c r="I1228" s="41" t="s">
        <v>392</v>
      </c>
      <c r="J1228" s="41" t="s">
        <v>32</v>
      </c>
      <c r="K1228" s="42"/>
      <c r="L1228" s="41" t="s">
        <v>4427</v>
      </c>
      <c r="M1228" s="41">
        <v>220</v>
      </c>
      <c r="N1228" s="41" t="s">
        <v>805</v>
      </c>
      <c r="O1228" s="41" t="s">
        <v>4553</v>
      </c>
      <c r="P1228" s="41" t="s">
        <v>179</v>
      </c>
      <c r="Q1228" s="41" t="s">
        <v>524</v>
      </c>
      <c r="R1228" s="41" t="s">
        <v>62</v>
      </c>
      <c r="S1228" s="41" t="s">
        <v>40</v>
      </c>
      <c r="T1228" s="41" t="s">
        <v>40</v>
      </c>
      <c r="U1228" s="41" t="s">
        <v>40</v>
      </c>
    </row>
    <row r="1229" spans="1:21">
      <c r="A1229" s="41">
        <v>1679</v>
      </c>
      <c r="B1229" s="41" t="s">
        <v>4554</v>
      </c>
      <c r="D1229" s="41">
        <v>4510</v>
      </c>
      <c r="E1229" s="41" t="s">
        <v>4555</v>
      </c>
      <c r="F1229" s="41" t="s">
        <v>28</v>
      </c>
      <c r="G1229" s="41" t="s">
        <v>64</v>
      </c>
      <c r="I1229" s="41" t="s">
        <v>4556</v>
      </c>
      <c r="J1229" s="41" t="s">
        <v>295</v>
      </c>
      <c r="K1229" s="42"/>
      <c r="L1229" s="41" t="s">
        <v>4557</v>
      </c>
      <c r="M1229" s="41">
        <v>220</v>
      </c>
      <c r="N1229" s="41" t="s">
        <v>4558</v>
      </c>
      <c r="O1229" s="41" t="s">
        <v>4559</v>
      </c>
      <c r="P1229" s="41" t="s">
        <v>78</v>
      </c>
      <c r="Q1229" s="41" t="s">
        <v>440</v>
      </c>
      <c r="R1229" s="41" t="s">
        <v>39</v>
      </c>
      <c r="S1229" s="41" t="s">
        <v>4560</v>
      </c>
      <c r="T1229" s="41" t="s">
        <v>198</v>
      </c>
      <c r="U1229" s="41" t="s">
        <v>770</v>
      </c>
    </row>
    <row r="1230" spans="1:21">
      <c r="A1230" s="41">
        <v>1678</v>
      </c>
      <c r="B1230" s="41" t="s">
        <v>4554</v>
      </c>
      <c r="E1230" s="41" t="s">
        <v>4561</v>
      </c>
      <c r="F1230" s="41" t="s">
        <v>28</v>
      </c>
      <c r="G1230" s="41" t="s">
        <v>43</v>
      </c>
      <c r="I1230" s="41" t="s">
        <v>4556</v>
      </c>
      <c r="J1230" s="41" t="s">
        <v>295</v>
      </c>
      <c r="K1230" s="42"/>
      <c r="L1230" s="41" t="s">
        <v>4562</v>
      </c>
      <c r="M1230" s="41">
        <v>220</v>
      </c>
      <c r="N1230" s="41" t="s">
        <v>4558</v>
      </c>
      <c r="O1230" s="41" t="s">
        <v>4563</v>
      </c>
      <c r="P1230" s="41" t="s">
        <v>78</v>
      </c>
      <c r="Q1230" s="41" t="s">
        <v>440</v>
      </c>
      <c r="R1230" s="41" t="s">
        <v>39</v>
      </c>
      <c r="S1230" s="41" t="s">
        <v>40</v>
      </c>
      <c r="T1230" s="41" t="s">
        <v>40</v>
      </c>
      <c r="U1230" s="41" t="s">
        <v>40</v>
      </c>
    </row>
    <row r="1231" spans="1:21">
      <c r="A1231" s="41">
        <v>1677</v>
      </c>
      <c r="B1231" s="41" t="s">
        <v>4554</v>
      </c>
      <c r="E1231" s="41" t="s">
        <v>4561</v>
      </c>
      <c r="F1231" s="41" t="s">
        <v>28</v>
      </c>
      <c r="G1231" s="41" t="s">
        <v>43</v>
      </c>
      <c r="I1231" s="41" t="s">
        <v>4556</v>
      </c>
      <c r="J1231" s="41" t="s">
        <v>295</v>
      </c>
      <c r="K1231" s="42"/>
      <c r="L1231" s="41" t="s">
        <v>4562</v>
      </c>
      <c r="M1231" s="41">
        <v>220</v>
      </c>
      <c r="N1231" s="41" t="s">
        <v>4558</v>
      </c>
      <c r="O1231" s="41" t="s">
        <v>4563</v>
      </c>
      <c r="P1231" s="41" t="s">
        <v>78</v>
      </c>
      <c r="Q1231" s="41" t="s">
        <v>440</v>
      </c>
      <c r="R1231" s="41" t="s">
        <v>39</v>
      </c>
      <c r="S1231" s="41" t="s">
        <v>40</v>
      </c>
      <c r="T1231" s="41" t="s">
        <v>40</v>
      </c>
      <c r="U1231" s="41" t="s">
        <v>40</v>
      </c>
    </row>
    <row r="1232" spans="1:21">
      <c r="A1232" s="41">
        <v>1676</v>
      </c>
      <c r="B1232" s="41" t="s">
        <v>4564</v>
      </c>
      <c r="D1232" s="41">
        <v>4507</v>
      </c>
      <c r="E1232" s="41" t="s">
        <v>1028</v>
      </c>
      <c r="F1232" s="41" t="s">
        <v>28</v>
      </c>
      <c r="G1232" s="41" t="s">
        <v>301</v>
      </c>
      <c r="I1232" s="41" t="s">
        <v>392</v>
      </c>
      <c r="J1232" s="41" t="s">
        <v>32</v>
      </c>
      <c r="K1232" s="42"/>
      <c r="L1232" s="41" t="s">
        <v>4565</v>
      </c>
      <c r="M1232" s="41">
        <v>220</v>
      </c>
      <c r="N1232" s="41" t="s">
        <v>4566</v>
      </c>
      <c r="O1232" s="41" t="s">
        <v>1619</v>
      </c>
      <c r="P1232" s="41" t="s">
        <v>98</v>
      </c>
      <c r="Q1232" s="41" t="s">
        <v>491</v>
      </c>
      <c r="R1232" s="41" t="s">
        <v>39</v>
      </c>
      <c r="S1232" s="41" t="s">
        <v>40</v>
      </c>
      <c r="T1232" s="41" t="s">
        <v>2169</v>
      </c>
      <c r="U1232" s="41" t="s">
        <v>40</v>
      </c>
    </row>
    <row r="1233" spans="1:21">
      <c r="A1233" s="41">
        <v>1675</v>
      </c>
      <c r="B1233" s="41" t="s">
        <v>4567</v>
      </c>
      <c r="D1233" s="41">
        <v>4508</v>
      </c>
      <c r="E1233" s="41" t="s">
        <v>4568</v>
      </c>
      <c r="F1233" s="41" t="s">
        <v>28</v>
      </c>
      <c r="G1233" s="41" t="s">
        <v>64</v>
      </c>
      <c r="I1233" s="41" t="s">
        <v>4569</v>
      </c>
      <c r="J1233" s="41" t="s">
        <v>32</v>
      </c>
      <c r="K1233" s="42"/>
      <c r="L1233" s="41" t="s">
        <v>4570</v>
      </c>
      <c r="M1233" s="41">
        <v>220</v>
      </c>
      <c r="N1233" s="41" t="s">
        <v>1619</v>
      </c>
      <c r="O1233" s="41" t="s">
        <v>311</v>
      </c>
      <c r="P1233" s="41" t="s">
        <v>60</v>
      </c>
      <c r="Q1233" s="41" t="s">
        <v>1348</v>
      </c>
      <c r="R1233" s="41" t="s">
        <v>39</v>
      </c>
      <c r="S1233" s="41" t="s">
        <v>40</v>
      </c>
      <c r="T1233" s="41" t="s">
        <v>40</v>
      </c>
      <c r="U1233" s="41" t="s">
        <v>40</v>
      </c>
    </row>
    <row r="1234" spans="1:21">
      <c r="A1234" s="41">
        <v>1674</v>
      </c>
      <c r="B1234" s="41" t="s">
        <v>4567</v>
      </c>
      <c r="E1234" s="41" t="s">
        <v>1196</v>
      </c>
      <c r="F1234" s="41" t="s">
        <v>28</v>
      </c>
      <c r="G1234" s="41" t="s">
        <v>43</v>
      </c>
      <c r="I1234" s="41" t="s">
        <v>4569</v>
      </c>
      <c r="J1234" s="41" t="s">
        <v>32</v>
      </c>
      <c r="K1234" s="42"/>
      <c r="L1234" s="41" t="s">
        <v>4571</v>
      </c>
      <c r="M1234" s="41">
        <v>220</v>
      </c>
      <c r="N1234" s="41" t="s">
        <v>1619</v>
      </c>
      <c r="O1234" s="41" t="s">
        <v>311</v>
      </c>
      <c r="P1234" s="41" t="s">
        <v>60</v>
      </c>
      <c r="Q1234" s="41" t="s">
        <v>1348</v>
      </c>
      <c r="R1234" s="41" t="s">
        <v>39</v>
      </c>
      <c r="S1234" s="41" t="s">
        <v>40</v>
      </c>
      <c r="T1234" s="41" t="s">
        <v>40</v>
      </c>
      <c r="U1234" s="41" t="s">
        <v>40</v>
      </c>
    </row>
    <row r="1235" spans="1:21">
      <c r="A1235" s="41">
        <v>1673</v>
      </c>
      <c r="B1235" s="41" t="s">
        <v>4572</v>
      </c>
      <c r="D1235" s="41">
        <v>4506</v>
      </c>
      <c r="E1235" s="41" t="s">
        <v>1191</v>
      </c>
      <c r="F1235" s="41" t="s">
        <v>53</v>
      </c>
      <c r="G1235" s="41" t="s">
        <v>64</v>
      </c>
      <c r="I1235" s="41" t="s">
        <v>601</v>
      </c>
      <c r="J1235" s="41" t="s">
        <v>32</v>
      </c>
      <c r="K1235" s="42"/>
      <c r="L1235" s="41" t="s">
        <v>618</v>
      </c>
      <c r="M1235" s="41">
        <v>220</v>
      </c>
      <c r="N1235" s="41" t="s">
        <v>1741</v>
      </c>
      <c r="O1235" s="41" t="s">
        <v>4573</v>
      </c>
      <c r="P1235" s="41" t="s">
        <v>50</v>
      </c>
      <c r="Q1235" s="41" t="s">
        <v>51</v>
      </c>
      <c r="R1235" s="41" t="s">
        <v>62</v>
      </c>
      <c r="S1235" s="41" t="s">
        <v>40</v>
      </c>
      <c r="T1235" s="41" t="s">
        <v>40</v>
      </c>
      <c r="U1235" s="41" t="s">
        <v>40</v>
      </c>
    </row>
    <row r="1236" spans="1:21">
      <c r="A1236" s="41">
        <v>1672</v>
      </c>
      <c r="B1236" s="41" t="s">
        <v>4574</v>
      </c>
      <c r="D1236" s="41">
        <v>4505</v>
      </c>
      <c r="E1236" s="41" t="s">
        <v>4575</v>
      </c>
      <c r="F1236" s="41" t="s">
        <v>28</v>
      </c>
      <c r="G1236" s="41" t="s">
        <v>301</v>
      </c>
      <c r="I1236" s="41" t="s">
        <v>2817</v>
      </c>
      <c r="J1236" s="41" t="s">
        <v>295</v>
      </c>
      <c r="K1236" s="42"/>
      <c r="L1236" s="41" t="s">
        <v>4576</v>
      </c>
      <c r="M1236" s="41">
        <v>13</v>
      </c>
      <c r="N1236" s="41" t="s">
        <v>4577</v>
      </c>
      <c r="O1236" s="41" t="s">
        <v>4578</v>
      </c>
      <c r="P1236" s="41" t="s">
        <v>1046</v>
      </c>
      <c r="Q1236" s="41" t="s">
        <v>1110</v>
      </c>
      <c r="R1236" s="41" t="s">
        <v>39</v>
      </c>
      <c r="S1236" s="41" t="s">
        <v>40</v>
      </c>
      <c r="T1236" s="41" t="s">
        <v>3491</v>
      </c>
      <c r="U1236" s="41" t="s">
        <v>40</v>
      </c>
    </row>
    <row r="1237" spans="1:21">
      <c r="A1237" s="41">
        <v>1849</v>
      </c>
      <c r="B1237" s="41" t="s">
        <v>4579</v>
      </c>
      <c r="D1237" s="41">
        <v>4504</v>
      </c>
      <c r="E1237" s="41" t="s">
        <v>965</v>
      </c>
      <c r="F1237" s="41" t="s">
        <v>53</v>
      </c>
      <c r="G1237" s="41" t="s">
        <v>141</v>
      </c>
      <c r="I1237" s="41" t="s">
        <v>45</v>
      </c>
      <c r="J1237" s="41" t="s">
        <v>32</v>
      </c>
      <c r="K1237" s="42"/>
      <c r="L1237" s="41" t="s">
        <v>4115</v>
      </c>
      <c r="M1237" s="41">
        <v>220</v>
      </c>
      <c r="N1237" s="41" t="s">
        <v>1741</v>
      </c>
      <c r="O1237" s="41" t="s">
        <v>1525</v>
      </c>
      <c r="P1237" s="41" t="s">
        <v>37</v>
      </c>
      <c r="Q1237" s="41" t="s">
        <v>969</v>
      </c>
      <c r="R1237" s="41" t="s">
        <v>62</v>
      </c>
      <c r="S1237" s="41" t="s">
        <v>4580</v>
      </c>
      <c r="T1237" s="41" t="s">
        <v>2187</v>
      </c>
      <c r="U1237" s="41" t="s">
        <v>40</v>
      </c>
    </row>
    <row r="1238" spans="1:21">
      <c r="A1238" s="41">
        <v>1670</v>
      </c>
      <c r="B1238" s="41" t="s">
        <v>4581</v>
      </c>
      <c r="D1238" s="41">
        <v>4503</v>
      </c>
      <c r="E1238" s="41" t="s">
        <v>4582</v>
      </c>
      <c r="F1238" s="41" t="s">
        <v>53</v>
      </c>
      <c r="G1238" s="41" t="s">
        <v>188</v>
      </c>
      <c r="I1238" s="41" t="s">
        <v>4583</v>
      </c>
      <c r="J1238" s="41" t="s">
        <v>32</v>
      </c>
      <c r="K1238" s="42"/>
      <c r="L1238" s="41" t="s">
        <v>4584</v>
      </c>
      <c r="M1238" s="41">
        <v>220</v>
      </c>
      <c r="N1238" s="41" t="s">
        <v>340</v>
      </c>
      <c r="O1238" s="41" t="s">
        <v>4585</v>
      </c>
      <c r="P1238" s="41" t="s">
        <v>50</v>
      </c>
      <c r="Q1238" s="41" t="s">
        <v>51</v>
      </c>
      <c r="R1238" s="41" t="s">
        <v>62</v>
      </c>
      <c r="S1238" s="41" t="s">
        <v>40</v>
      </c>
      <c r="T1238" s="41" t="s">
        <v>40</v>
      </c>
      <c r="U1238" s="41" t="s">
        <v>40</v>
      </c>
    </row>
    <row r="1239" spans="1:21">
      <c r="A1239" s="41">
        <v>1669</v>
      </c>
      <c r="B1239" s="41" t="s">
        <v>4581</v>
      </c>
      <c r="E1239" s="41" t="s">
        <v>4586</v>
      </c>
      <c r="F1239" s="41" t="s">
        <v>53</v>
      </c>
      <c r="G1239" s="41" t="s">
        <v>43</v>
      </c>
      <c r="I1239" s="41" t="s">
        <v>4583</v>
      </c>
      <c r="J1239" s="41" t="s">
        <v>32</v>
      </c>
      <c r="K1239" s="42"/>
      <c r="L1239" s="41" t="s">
        <v>4584</v>
      </c>
      <c r="M1239" s="41">
        <v>220</v>
      </c>
      <c r="N1239" s="41" t="s">
        <v>340</v>
      </c>
      <c r="O1239" s="41" t="s">
        <v>4585</v>
      </c>
      <c r="P1239" s="41" t="s">
        <v>50</v>
      </c>
      <c r="Q1239" s="41" t="s">
        <v>51</v>
      </c>
      <c r="R1239" s="41" t="s">
        <v>62</v>
      </c>
      <c r="S1239" s="41" t="s">
        <v>40</v>
      </c>
      <c r="T1239" s="41" t="s">
        <v>40</v>
      </c>
      <c r="U1239" s="41" t="s">
        <v>40</v>
      </c>
    </row>
    <row r="1240" spans="1:21">
      <c r="A1240" s="41">
        <v>1668</v>
      </c>
      <c r="B1240" s="41" t="s">
        <v>4587</v>
      </c>
      <c r="D1240" s="41">
        <v>4490</v>
      </c>
      <c r="E1240" s="41" t="s">
        <v>1191</v>
      </c>
      <c r="F1240" s="41" t="s">
        <v>53</v>
      </c>
      <c r="G1240" s="41" t="s">
        <v>141</v>
      </c>
      <c r="I1240" s="41" t="s">
        <v>45</v>
      </c>
      <c r="J1240" s="41" t="s">
        <v>32</v>
      </c>
      <c r="K1240" s="42"/>
      <c r="L1240" s="41" t="s">
        <v>1842</v>
      </c>
      <c r="M1240" s="41">
        <v>220</v>
      </c>
      <c r="N1240" s="41" t="s">
        <v>340</v>
      </c>
      <c r="O1240" s="41" t="s">
        <v>271</v>
      </c>
      <c r="P1240" s="41" t="s">
        <v>179</v>
      </c>
      <c r="Q1240" s="41" t="s">
        <v>592</v>
      </c>
      <c r="R1240" s="41" t="s">
        <v>62</v>
      </c>
      <c r="S1240" s="41" t="s">
        <v>4588</v>
      </c>
      <c r="T1240" s="41" t="s">
        <v>1621</v>
      </c>
      <c r="U1240" s="41" t="s">
        <v>40</v>
      </c>
    </row>
    <row r="1241" spans="1:21">
      <c r="A1241" s="41">
        <v>1667</v>
      </c>
      <c r="B1241" s="41" t="s">
        <v>4589</v>
      </c>
      <c r="D1241" s="41">
        <v>4489</v>
      </c>
      <c r="E1241" s="41" t="s">
        <v>3236</v>
      </c>
      <c r="F1241" s="41" t="s">
        <v>53</v>
      </c>
      <c r="G1241" s="41" t="s">
        <v>141</v>
      </c>
      <c r="I1241" s="41" t="s">
        <v>392</v>
      </c>
      <c r="J1241" s="41" t="s">
        <v>380</v>
      </c>
      <c r="K1241" s="42"/>
      <c r="L1241" s="41" t="s">
        <v>1660</v>
      </c>
      <c r="M1241" s="41">
        <v>220</v>
      </c>
      <c r="N1241" s="41" t="s">
        <v>395</v>
      </c>
      <c r="O1241" s="41" t="s">
        <v>1045</v>
      </c>
      <c r="P1241" s="41" t="s">
        <v>37</v>
      </c>
      <c r="Q1241" s="41" t="s">
        <v>969</v>
      </c>
      <c r="R1241" s="41" t="s">
        <v>62</v>
      </c>
      <c r="S1241" s="41" t="s">
        <v>4590</v>
      </c>
      <c r="T1241" s="41" t="s">
        <v>1796</v>
      </c>
      <c r="U1241" s="41" t="s">
        <v>40</v>
      </c>
    </row>
    <row r="1242" spans="1:21">
      <c r="A1242" s="41">
        <v>1666</v>
      </c>
      <c r="B1242" s="41" t="s">
        <v>4591</v>
      </c>
      <c r="D1242" s="41">
        <v>4488</v>
      </c>
      <c r="E1242" s="41" t="s">
        <v>3236</v>
      </c>
      <c r="F1242" s="41" t="s">
        <v>53</v>
      </c>
      <c r="G1242" s="41" t="s">
        <v>64</v>
      </c>
      <c r="I1242" s="41" t="s">
        <v>45</v>
      </c>
      <c r="J1242" s="41" t="s">
        <v>32</v>
      </c>
      <c r="K1242" s="42"/>
      <c r="L1242" s="41" t="s">
        <v>4592</v>
      </c>
      <c r="M1242" s="41">
        <v>220</v>
      </c>
      <c r="N1242" s="41" t="s">
        <v>579</v>
      </c>
      <c r="O1242" s="41" t="s">
        <v>452</v>
      </c>
      <c r="P1242" s="41" t="s">
        <v>546</v>
      </c>
      <c r="Q1242" s="41" t="s">
        <v>2100</v>
      </c>
      <c r="R1242" s="41" t="s">
        <v>62</v>
      </c>
      <c r="S1242" s="41" t="s">
        <v>40</v>
      </c>
      <c r="T1242" s="41" t="s">
        <v>40</v>
      </c>
      <c r="U1242" s="41" t="s">
        <v>40</v>
      </c>
    </row>
    <row r="1243" spans="1:21">
      <c r="A1243" s="41">
        <v>1665</v>
      </c>
      <c r="B1243" s="41" t="s">
        <v>4593</v>
      </c>
      <c r="D1243" s="41">
        <v>4483</v>
      </c>
      <c r="E1243" s="41" t="s">
        <v>1248</v>
      </c>
      <c r="F1243" s="41" t="s">
        <v>53</v>
      </c>
      <c r="G1243" s="41" t="s">
        <v>1071</v>
      </c>
      <c r="I1243" s="41" t="s">
        <v>4594</v>
      </c>
      <c r="J1243" s="41" t="s">
        <v>672</v>
      </c>
      <c r="K1243" s="42"/>
      <c r="L1243" s="41" t="s">
        <v>4384</v>
      </c>
      <c r="M1243" s="41">
        <v>23</v>
      </c>
      <c r="N1243" s="41" t="s">
        <v>3295</v>
      </c>
      <c r="O1243" s="41" t="s">
        <v>3296</v>
      </c>
      <c r="P1243" s="41" t="s">
        <v>83</v>
      </c>
      <c r="Q1243" s="41" t="s">
        <v>4385</v>
      </c>
      <c r="R1243" s="41" t="s">
        <v>132</v>
      </c>
      <c r="S1243" s="41" t="s">
        <v>40</v>
      </c>
      <c r="T1243" s="41" t="s">
        <v>40</v>
      </c>
      <c r="U1243" s="41" t="s">
        <v>40</v>
      </c>
    </row>
    <row r="1244" spans="1:21">
      <c r="A1244" s="41">
        <v>1664</v>
      </c>
      <c r="B1244" s="41" t="s">
        <v>4595</v>
      </c>
      <c r="D1244" s="41">
        <v>4482</v>
      </c>
      <c r="E1244" s="41" t="s">
        <v>1248</v>
      </c>
      <c r="F1244" s="41" t="s">
        <v>53</v>
      </c>
      <c r="G1244" s="41" t="s">
        <v>1071</v>
      </c>
      <c r="I1244" s="41" t="s">
        <v>3151</v>
      </c>
      <c r="J1244" s="41" t="s">
        <v>672</v>
      </c>
      <c r="K1244" s="42"/>
      <c r="L1244" s="41" t="s">
        <v>4384</v>
      </c>
      <c r="M1244" s="41">
        <v>23</v>
      </c>
      <c r="N1244" s="41" t="s">
        <v>2671</v>
      </c>
      <c r="O1244" s="41" t="s">
        <v>989</v>
      </c>
      <c r="P1244" s="41" t="s">
        <v>83</v>
      </c>
      <c r="Q1244" s="41" t="s">
        <v>4385</v>
      </c>
      <c r="R1244" s="41" t="s">
        <v>132</v>
      </c>
      <c r="S1244" s="41" t="s">
        <v>40</v>
      </c>
      <c r="T1244" s="41" t="s">
        <v>40</v>
      </c>
      <c r="U1244" s="41" t="s">
        <v>40</v>
      </c>
    </row>
    <row r="1245" spans="1:21">
      <c r="A1245" s="41">
        <v>1663</v>
      </c>
      <c r="B1245" s="41" t="s">
        <v>4596</v>
      </c>
      <c r="D1245" s="41">
        <v>4487</v>
      </c>
      <c r="E1245" s="41" t="s">
        <v>1102</v>
      </c>
      <c r="F1245" s="41" t="s">
        <v>28</v>
      </c>
      <c r="G1245" s="41" t="s">
        <v>64</v>
      </c>
      <c r="I1245" s="41" t="s">
        <v>2454</v>
      </c>
      <c r="J1245" s="41" t="s">
        <v>32</v>
      </c>
      <c r="K1245" s="42"/>
      <c r="L1245" s="41" t="s">
        <v>4597</v>
      </c>
      <c r="M1245" s="41">
        <v>220</v>
      </c>
      <c r="N1245" s="41" t="s">
        <v>3786</v>
      </c>
      <c r="O1245" s="41" t="s">
        <v>2945</v>
      </c>
      <c r="P1245" s="41" t="s">
        <v>78</v>
      </c>
      <c r="Q1245" s="41" t="s">
        <v>3094</v>
      </c>
      <c r="R1245" s="41" t="s">
        <v>39</v>
      </c>
      <c r="S1245" s="41" t="s">
        <v>40</v>
      </c>
      <c r="T1245" s="41" t="s">
        <v>40</v>
      </c>
      <c r="U1245" s="41" t="s">
        <v>40</v>
      </c>
    </row>
    <row r="1246" spans="1:21">
      <c r="A1246" s="41">
        <v>1662</v>
      </c>
      <c r="B1246" s="41" t="s">
        <v>4598</v>
      </c>
      <c r="D1246" s="41">
        <v>4486</v>
      </c>
      <c r="E1246" s="41" t="s">
        <v>1726</v>
      </c>
      <c r="F1246" s="41" t="s">
        <v>53</v>
      </c>
      <c r="G1246" s="41" t="s">
        <v>141</v>
      </c>
      <c r="I1246" s="41" t="s">
        <v>56</v>
      </c>
      <c r="J1246" s="41" t="s">
        <v>295</v>
      </c>
      <c r="K1246" s="42"/>
      <c r="L1246" s="41" t="s">
        <v>4599</v>
      </c>
      <c r="M1246" s="41">
        <v>110</v>
      </c>
      <c r="N1246" s="41" t="s">
        <v>4600</v>
      </c>
      <c r="O1246" s="41" t="s">
        <v>178</v>
      </c>
      <c r="P1246" s="41" t="s">
        <v>78</v>
      </c>
      <c r="Q1246" s="41" t="s">
        <v>1729</v>
      </c>
      <c r="R1246" s="41" t="s">
        <v>132</v>
      </c>
      <c r="S1246" s="41" t="s">
        <v>4601</v>
      </c>
      <c r="T1246" s="41" t="s">
        <v>1449</v>
      </c>
      <c r="U1246" s="41" t="s">
        <v>40</v>
      </c>
    </row>
    <row r="1247" spans="1:21">
      <c r="A1247" s="41">
        <v>1661</v>
      </c>
      <c r="B1247" s="41" t="s">
        <v>2304</v>
      </c>
      <c r="D1247" s="41">
        <v>4485</v>
      </c>
      <c r="E1247" s="41" t="s">
        <v>3236</v>
      </c>
      <c r="F1247" s="41" t="s">
        <v>53</v>
      </c>
      <c r="G1247" s="41" t="s">
        <v>64</v>
      </c>
      <c r="I1247" s="41" t="s">
        <v>325</v>
      </c>
      <c r="J1247" s="41" t="s">
        <v>32</v>
      </c>
      <c r="K1247" s="42"/>
      <c r="L1247" s="41" t="s">
        <v>3307</v>
      </c>
      <c r="M1247" s="41">
        <v>110</v>
      </c>
      <c r="N1247" s="41" t="s">
        <v>395</v>
      </c>
      <c r="O1247" s="41" t="s">
        <v>178</v>
      </c>
      <c r="P1247" s="41" t="s">
        <v>98</v>
      </c>
      <c r="Q1247" s="41" t="s">
        <v>98</v>
      </c>
      <c r="R1247" s="41" t="s">
        <v>132</v>
      </c>
      <c r="S1247" s="41" t="s">
        <v>40</v>
      </c>
      <c r="T1247" s="41" t="s">
        <v>40</v>
      </c>
      <c r="U1247" s="41" t="s">
        <v>40</v>
      </c>
    </row>
    <row r="1248" spans="1:21">
      <c r="A1248" s="41">
        <v>1660</v>
      </c>
      <c r="B1248" s="41" t="s">
        <v>4602</v>
      </c>
      <c r="D1248" s="41">
        <v>4484</v>
      </c>
      <c r="E1248" s="41" t="s">
        <v>3236</v>
      </c>
      <c r="F1248" s="41" t="s">
        <v>53</v>
      </c>
      <c r="G1248" s="41" t="s">
        <v>127</v>
      </c>
      <c r="I1248" s="41" t="s">
        <v>392</v>
      </c>
      <c r="J1248" s="41" t="s">
        <v>32</v>
      </c>
      <c r="K1248" s="42"/>
      <c r="L1248" s="41" t="s">
        <v>4427</v>
      </c>
      <c r="M1248" s="41">
        <v>220</v>
      </c>
      <c r="N1248" s="41" t="s">
        <v>395</v>
      </c>
      <c r="O1248" s="41" t="s">
        <v>1376</v>
      </c>
      <c r="P1248" s="41" t="s">
        <v>179</v>
      </c>
      <c r="Q1248" s="41" t="s">
        <v>524</v>
      </c>
      <c r="R1248" s="41" t="s">
        <v>62</v>
      </c>
      <c r="S1248" s="41" t="s">
        <v>40</v>
      </c>
      <c r="T1248" s="41" t="s">
        <v>40</v>
      </c>
      <c r="U1248" s="41" t="s">
        <v>40</v>
      </c>
    </row>
    <row r="1249" spans="1:21">
      <c r="A1249" s="41">
        <v>1659</v>
      </c>
      <c r="B1249" s="41" t="s">
        <v>4603</v>
      </c>
      <c r="D1249" s="41">
        <v>4481</v>
      </c>
      <c r="E1249" s="41" t="s">
        <v>2405</v>
      </c>
      <c r="F1249" s="41" t="s">
        <v>28</v>
      </c>
      <c r="G1249" s="41" t="s">
        <v>301</v>
      </c>
      <c r="I1249" s="41" t="s">
        <v>411</v>
      </c>
      <c r="J1249" s="41" t="s">
        <v>32</v>
      </c>
      <c r="K1249" s="42"/>
      <c r="L1249" s="41" t="s">
        <v>4604</v>
      </c>
      <c r="M1249" s="41">
        <v>110</v>
      </c>
      <c r="N1249" s="41" t="s">
        <v>1366</v>
      </c>
      <c r="O1249" s="41" t="s">
        <v>741</v>
      </c>
      <c r="P1249" s="41" t="s">
        <v>68</v>
      </c>
      <c r="Q1249" s="41" t="s">
        <v>69</v>
      </c>
      <c r="R1249" s="41" t="s">
        <v>39</v>
      </c>
      <c r="S1249" s="41" t="s">
        <v>4605</v>
      </c>
      <c r="T1249" s="41" t="s">
        <v>2187</v>
      </c>
      <c r="U1249" s="41" t="s">
        <v>40</v>
      </c>
    </row>
    <row r="1250" spans="1:21">
      <c r="A1250" s="41">
        <v>1658</v>
      </c>
      <c r="B1250" s="41" t="s">
        <v>4606</v>
      </c>
      <c r="D1250" s="41">
        <v>4480</v>
      </c>
      <c r="E1250" s="41" t="s">
        <v>1882</v>
      </c>
      <c r="F1250" s="41" t="s">
        <v>53</v>
      </c>
      <c r="G1250" s="41" t="s">
        <v>141</v>
      </c>
      <c r="I1250" s="41" t="s">
        <v>4607</v>
      </c>
      <c r="J1250" s="41" t="s">
        <v>295</v>
      </c>
      <c r="K1250" s="42"/>
      <c r="L1250" s="41" t="s">
        <v>4608</v>
      </c>
      <c r="M1250" s="41">
        <v>66</v>
      </c>
      <c r="N1250" s="41" t="s">
        <v>67</v>
      </c>
      <c r="O1250" s="41" t="s">
        <v>482</v>
      </c>
      <c r="P1250" s="41" t="s">
        <v>172</v>
      </c>
      <c r="Q1250" s="41" t="s">
        <v>1011</v>
      </c>
      <c r="R1250" s="41" t="s">
        <v>132</v>
      </c>
      <c r="S1250" s="41" t="s">
        <v>4609</v>
      </c>
      <c r="T1250" s="41" t="s">
        <v>1796</v>
      </c>
      <c r="U1250" s="41" t="s">
        <v>40</v>
      </c>
    </row>
    <row r="1251" spans="1:21">
      <c r="A1251" s="41">
        <v>1657</v>
      </c>
      <c r="B1251" s="41" t="s">
        <v>4610</v>
      </c>
      <c r="D1251" s="41">
        <v>4479</v>
      </c>
      <c r="E1251" s="41" t="s">
        <v>4611</v>
      </c>
      <c r="F1251" s="41" t="s">
        <v>28</v>
      </c>
      <c r="G1251" s="41" t="s">
        <v>64</v>
      </c>
      <c r="I1251" s="41" t="s">
        <v>4612</v>
      </c>
      <c r="J1251" s="41" t="s">
        <v>672</v>
      </c>
      <c r="K1251" s="42"/>
      <c r="L1251" s="41" t="s">
        <v>4613</v>
      </c>
      <c r="M1251" s="41">
        <v>220</v>
      </c>
      <c r="N1251" s="41" t="s">
        <v>1693</v>
      </c>
      <c r="O1251" s="41" t="s">
        <v>2498</v>
      </c>
      <c r="P1251" s="41" t="s">
        <v>179</v>
      </c>
      <c r="Q1251" s="41" t="s">
        <v>524</v>
      </c>
      <c r="R1251" s="41" t="s">
        <v>39</v>
      </c>
      <c r="S1251" s="41" t="s">
        <v>4614</v>
      </c>
      <c r="T1251" s="41" t="s">
        <v>3646</v>
      </c>
      <c r="U1251" s="41" t="s">
        <v>40</v>
      </c>
    </row>
    <row r="1252" spans="1:21">
      <c r="A1252" s="41">
        <v>1656</v>
      </c>
      <c r="B1252" s="41" t="s">
        <v>4615</v>
      </c>
      <c r="D1252" s="41">
        <v>4478</v>
      </c>
      <c r="E1252" s="41" t="s">
        <v>4611</v>
      </c>
      <c r="F1252" s="41" t="s">
        <v>53</v>
      </c>
      <c r="G1252" s="41" t="s">
        <v>64</v>
      </c>
      <c r="I1252" s="41" t="s">
        <v>1131</v>
      </c>
      <c r="J1252" s="41" t="s">
        <v>672</v>
      </c>
      <c r="K1252" s="42"/>
      <c r="L1252" s="41" t="s">
        <v>4616</v>
      </c>
      <c r="M1252" s="41">
        <v>110</v>
      </c>
      <c r="N1252" s="41" t="s">
        <v>1693</v>
      </c>
      <c r="O1252" s="41" t="s">
        <v>4617</v>
      </c>
      <c r="P1252" s="41" t="s">
        <v>179</v>
      </c>
      <c r="Q1252" s="41" t="s">
        <v>524</v>
      </c>
      <c r="R1252" s="41" t="s">
        <v>132</v>
      </c>
      <c r="S1252" s="41" t="s">
        <v>40</v>
      </c>
      <c r="T1252" s="41" t="s">
        <v>40</v>
      </c>
      <c r="U1252" s="41" t="s">
        <v>40</v>
      </c>
    </row>
    <row r="1253" spans="1:21">
      <c r="A1253" s="41">
        <v>1655</v>
      </c>
      <c r="B1253" s="41" t="s">
        <v>4618</v>
      </c>
      <c r="D1253" s="41">
        <v>4477</v>
      </c>
      <c r="E1253" s="41" t="s">
        <v>4611</v>
      </c>
      <c r="F1253" s="41" t="s">
        <v>28</v>
      </c>
      <c r="G1253" s="41" t="s">
        <v>64</v>
      </c>
      <c r="I1253" s="41" t="s">
        <v>4619</v>
      </c>
      <c r="J1253" s="41" t="s">
        <v>672</v>
      </c>
      <c r="K1253" s="42"/>
      <c r="L1253" s="41" t="s">
        <v>4620</v>
      </c>
      <c r="M1253" s="41">
        <v>110</v>
      </c>
      <c r="N1253" s="41" t="s">
        <v>1693</v>
      </c>
      <c r="O1253" s="41" t="s">
        <v>2498</v>
      </c>
      <c r="P1253" s="41" t="s">
        <v>179</v>
      </c>
      <c r="Q1253" s="41" t="s">
        <v>180</v>
      </c>
      <c r="R1253" s="41" t="s">
        <v>39</v>
      </c>
      <c r="S1253" s="41" t="s">
        <v>40</v>
      </c>
      <c r="T1253" s="41" t="s">
        <v>40</v>
      </c>
      <c r="U1253" s="41" t="s">
        <v>40</v>
      </c>
    </row>
    <row r="1254" spans="1:21">
      <c r="A1254" s="41">
        <v>1654</v>
      </c>
      <c r="B1254" s="41" t="s">
        <v>4621</v>
      </c>
      <c r="D1254" s="41">
        <v>4476</v>
      </c>
      <c r="E1254" s="41" t="s">
        <v>3836</v>
      </c>
      <c r="F1254" s="41" t="s">
        <v>42</v>
      </c>
      <c r="G1254" s="41" t="s">
        <v>121</v>
      </c>
      <c r="I1254" s="41" t="s">
        <v>45</v>
      </c>
      <c r="J1254" s="41" t="s">
        <v>32</v>
      </c>
      <c r="K1254" s="42"/>
      <c r="L1254" s="41" t="s">
        <v>4622</v>
      </c>
      <c r="M1254" s="41">
        <v>33</v>
      </c>
      <c r="N1254" s="41" t="s">
        <v>4623</v>
      </c>
      <c r="O1254" s="41" t="s">
        <v>36</v>
      </c>
      <c r="P1254" s="41" t="s">
        <v>98</v>
      </c>
      <c r="Q1254" s="41" t="s">
        <v>116</v>
      </c>
      <c r="R1254" s="41" t="s">
        <v>39</v>
      </c>
      <c r="S1254" s="41" t="s">
        <v>40</v>
      </c>
      <c r="T1254" s="41" t="s">
        <v>706</v>
      </c>
      <c r="U1254" s="41" t="s">
        <v>40</v>
      </c>
    </row>
    <row r="1255" spans="1:21">
      <c r="A1255" s="41">
        <v>1653</v>
      </c>
      <c r="B1255" s="41" t="s">
        <v>4624</v>
      </c>
      <c r="D1255" s="41">
        <v>4475</v>
      </c>
      <c r="E1255" s="41" t="s">
        <v>1091</v>
      </c>
      <c r="F1255" s="41" t="s">
        <v>53</v>
      </c>
      <c r="G1255" s="41" t="s">
        <v>307</v>
      </c>
      <c r="I1255" s="41" t="s">
        <v>1092</v>
      </c>
      <c r="J1255" s="41" t="s">
        <v>672</v>
      </c>
      <c r="K1255" s="42"/>
      <c r="L1255" s="41" t="s">
        <v>1359</v>
      </c>
      <c r="M1255" s="41">
        <v>12</v>
      </c>
      <c r="N1255" s="41" t="s">
        <v>4625</v>
      </c>
      <c r="O1255" s="41" t="s">
        <v>3250</v>
      </c>
      <c r="P1255" s="41" t="s">
        <v>68</v>
      </c>
      <c r="Q1255" s="41" t="s">
        <v>1254</v>
      </c>
      <c r="R1255" s="41" t="s">
        <v>132</v>
      </c>
      <c r="S1255" s="41" t="s">
        <v>377</v>
      </c>
      <c r="T1255" s="41" t="s">
        <v>706</v>
      </c>
      <c r="U1255" s="41" t="s">
        <v>40</v>
      </c>
    </row>
    <row r="1256" spans="1:21">
      <c r="A1256" s="41">
        <v>1652</v>
      </c>
      <c r="B1256" s="41" t="s">
        <v>4626</v>
      </c>
      <c r="D1256" s="41">
        <v>4474</v>
      </c>
      <c r="E1256" s="41" t="s">
        <v>1435</v>
      </c>
      <c r="F1256" s="41" t="s">
        <v>28</v>
      </c>
      <c r="G1256" s="41" t="s">
        <v>64</v>
      </c>
      <c r="I1256" s="41" t="s">
        <v>194</v>
      </c>
      <c r="J1256" s="41" t="s">
        <v>32</v>
      </c>
      <c r="K1256" s="42"/>
      <c r="L1256" s="41" t="s">
        <v>4627</v>
      </c>
      <c r="M1256" s="41">
        <v>6</v>
      </c>
      <c r="N1256" s="41" t="s">
        <v>4628</v>
      </c>
      <c r="O1256" s="41" t="s">
        <v>4629</v>
      </c>
      <c r="P1256" s="41" t="s">
        <v>50</v>
      </c>
      <c r="Q1256" s="41" t="s">
        <v>1499</v>
      </c>
      <c r="R1256" s="41" t="s">
        <v>39</v>
      </c>
      <c r="S1256" s="41" t="s">
        <v>40</v>
      </c>
      <c r="T1256" s="41" t="s">
        <v>40</v>
      </c>
      <c r="U1256" s="41" t="s">
        <v>40</v>
      </c>
    </row>
    <row r="1257" spans="1:21">
      <c r="A1257" s="41">
        <v>1651</v>
      </c>
      <c r="B1257" s="41" t="s">
        <v>4630</v>
      </c>
      <c r="D1257" s="41">
        <v>4473</v>
      </c>
      <c r="E1257" s="41" t="s">
        <v>1091</v>
      </c>
      <c r="F1257" s="41" t="s">
        <v>53</v>
      </c>
      <c r="G1257" s="41" t="s">
        <v>307</v>
      </c>
      <c r="I1257" s="41" t="s">
        <v>1092</v>
      </c>
      <c r="J1257" s="41" t="s">
        <v>672</v>
      </c>
      <c r="K1257" s="42"/>
      <c r="L1257" s="41" t="s">
        <v>1666</v>
      </c>
      <c r="M1257" s="41">
        <v>12</v>
      </c>
      <c r="N1257" s="41" t="s">
        <v>4296</v>
      </c>
      <c r="O1257" s="41" t="s">
        <v>4631</v>
      </c>
      <c r="P1257" s="41" t="s">
        <v>68</v>
      </c>
      <c r="Q1257" s="41" t="s">
        <v>1668</v>
      </c>
      <c r="R1257" s="41" t="s">
        <v>132</v>
      </c>
      <c r="S1257" s="41" t="s">
        <v>4632</v>
      </c>
      <c r="T1257" s="41" t="s">
        <v>706</v>
      </c>
      <c r="U1257" s="41" t="s">
        <v>40</v>
      </c>
    </row>
    <row r="1258" spans="1:21">
      <c r="A1258" s="41">
        <v>1650</v>
      </c>
      <c r="B1258" s="41" t="s">
        <v>4633</v>
      </c>
      <c r="D1258" s="41">
        <v>4472</v>
      </c>
      <c r="E1258" s="41" t="s">
        <v>4392</v>
      </c>
      <c r="F1258" s="41" t="s">
        <v>53</v>
      </c>
      <c r="G1258" s="41" t="s">
        <v>175</v>
      </c>
      <c r="I1258" s="41" t="s">
        <v>31</v>
      </c>
      <c r="J1258" s="41" t="s">
        <v>32</v>
      </c>
      <c r="K1258" s="42"/>
      <c r="L1258" s="41" t="s">
        <v>4007</v>
      </c>
      <c r="M1258" s="41">
        <v>220</v>
      </c>
      <c r="N1258" s="41" t="s">
        <v>4634</v>
      </c>
      <c r="O1258" s="41" t="s">
        <v>36</v>
      </c>
      <c r="P1258" s="41" t="s">
        <v>153</v>
      </c>
      <c r="Q1258" s="41" t="s">
        <v>2224</v>
      </c>
      <c r="R1258" s="41" t="s">
        <v>132</v>
      </c>
      <c r="S1258" s="41" t="s">
        <v>40</v>
      </c>
      <c r="T1258" s="41" t="s">
        <v>40</v>
      </c>
      <c r="U1258" s="41" t="s">
        <v>40</v>
      </c>
    </row>
    <row r="1259" spans="1:21">
      <c r="A1259" s="41">
        <v>1649</v>
      </c>
      <c r="B1259" s="41" t="s">
        <v>4635</v>
      </c>
      <c r="E1259" s="41" t="s">
        <v>4392</v>
      </c>
      <c r="F1259" s="41" t="s">
        <v>53</v>
      </c>
      <c r="G1259" s="41" t="s">
        <v>43</v>
      </c>
      <c r="I1259" s="41" t="s">
        <v>31</v>
      </c>
      <c r="J1259" s="41" t="s">
        <v>32</v>
      </c>
      <c r="K1259" s="42"/>
      <c r="L1259" s="41" t="s">
        <v>4636</v>
      </c>
      <c r="M1259" s="41">
        <v>220</v>
      </c>
      <c r="N1259" s="41" t="s">
        <v>4637</v>
      </c>
      <c r="O1259" s="41" t="s">
        <v>36</v>
      </c>
      <c r="P1259" s="41" t="s">
        <v>153</v>
      </c>
      <c r="Q1259" s="41" t="s">
        <v>2224</v>
      </c>
      <c r="R1259" s="41" t="s">
        <v>132</v>
      </c>
      <c r="S1259" s="41" t="s">
        <v>40</v>
      </c>
      <c r="T1259" s="41" t="s">
        <v>40</v>
      </c>
      <c r="U1259" s="41" t="s">
        <v>40</v>
      </c>
    </row>
    <row r="1260" spans="1:21">
      <c r="A1260" s="41">
        <v>1648</v>
      </c>
      <c r="B1260" s="41" t="s">
        <v>4638</v>
      </c>
      <c r="C1260" s="41">
        <v>1</v>
      </c>
      <c r="D1260" s="41">
        <v>4464</v>
      </c>
      <c r="E1260" s="41" t="s">
        <v>670</v>
      </c>
      <c r="F1260" s="41" t="s">
        <v>42</v>
      </c>
      <c r="G1260" s="41" t="s">
        <v>121</v>
      </c>
      <c r="H1260" s="42">
        <v>45205</v>
      </c>
      <c r="I1260" s="41">
        <v>30</v>
      </c>
      <c r="J1260" s="41" t="s">
        <v>672</v>
      </c>
      <c r="K1260" s="42">
        <v>45657</v>
      </c>
      <c r="L1260" s="41" t="s">
        <v>674</v>
      </c>
      <c r="M1260" s="41">
        <v>220</v>
      </c>
      <c r="N1260" s="41" t="s">
        <v>4639</v>
      </c>
      <c r="O1260" s="41" t="s">
        <v>676</v>
      </c>
      <c r="P1260" s="41" t="s">
        <v>68</v>
      </c>
      <c r="Q1260" s="41" t="s">
        <v>677</v>
      </c>
      <c r="R1260" s="41" t="s">
        <v>39</v>
      </c>
      <c r="S1260" s="41" t="s">
        <v>40</v>
      </c>
      <c r="T1260" s="41" t="s">
        <v>4640</v>
      </c>
      <c r="U1260" s="41" t="s">
        <v>40</v>
      </c>
    </row>
    <row r="1261" spans="1:21">
      <c r="A1261" s="41">
        <v>1647</v>
      </c>
      <c r="B1261" s="41" t="s">
        <v>4641</v>
      </c>
      <c r="D1261" s="41">
        <v>4453</v>
      </c>
      <c r="E1261" s="41" t="s">
        <v>2735</v>
      </c>
      <c r="F1261" s="41" t="s">
        <v>28</v>
      </c>
      <c r="G1261" s="41" t="s">
        <v>301</v>
      </c>
      <c r="I1261" s="41" t="s">
        <v>4642</v>
      </c>
      <c r="J1261" s="41" t="s">
        <v>32</v>
      </c>
      <c r="K1261" s="42"/>
      <c r="L1261" s="41" t="s">
        <v>4643</v>
      </c>
      <c r="M1261" s="41">
        <v>220</v>
      </c>
      <c r="N1261" s="41" t="s">
        <v>1619</v>
      </c>
      <c r="O1261" s="41" t="s">
        <v>1619</v>
      </c>
      <c r="P1261" s="41" t="s">
        <v>50</v>
      </c>
      <c r="Q1261" s="41" t="s">
        <v>51</v>
      </c>
      <c r="R1261" s="41" t="s">
        <v>39</v>
      </c>
      <c r="S1261" s="41" t="s">
        <v>4644</v>
      </c>
      <c r="T1261" s="41" t="s">
        <v>3157</v>
      </c>
      <c r="U1261" s="41" t="s">
        <v>40</v>
      </c>
    </row>
    <row r="1262" spans="1:21">
      <c r="A1262" s="41">
        <v>1646</v>
      </c>
      <c r="B1262" s="41" t="s">
        <v>4645</v>
      </c>
      <c r="D1262" s="41">
        <v>4456</v>
      </c>
      <c r="E1262" s="41" t="s">
        <v>992</v>
      </c>
      <c r="F1262" s="41" t="s">
        <v>53</v>
      </c>
      <c r="G1262" s="41" t="s">
        <v>141</v>
      </c>
      <c r="I1262" s="41" t="s">
        <v>149</v>
      </c>
      <c r="J1262" s="41" t="s">
        <v>32</v>
      </c>
      <c r="K1262" s="42"/>
      <c r="L1262" s="41" t="s">
        <v>4646</v>
      </c>
      <c r="M1262" s="41">
        <v>66</v>
      </c>
      <c r="N1262" s="41" t="s">
        <v>67</v>
      </c>
      <c r="O1262" s="41" t="s">
        <v>1151</v>
      </c>
      <c r="P1262" s="41" t="s">
        <v>60</v>
      </c>
      <c r="Q1262" s="41" t="s">
        <v>608</v>
      </c>
      <c r="R1262" s="41" t="s">
        <v>132</v>
      </c>
      <c r="S1262" s="41" t="s">
        <v>4647</v>
      </c>
      <c r="T1262" s="41" t="s">
        <v>1500</v>
      </c>
      <c r="U1262" s="41" t="s">
        <v>40</v>
      </c>
    </row>
    <row r="1263" spans="1:21">
      <c r="A1263" s="41">
        <v>1645</v>
      </c>
      <c r="B1263" s="41" t="s">
        <v>4648</v>
      </c>
      <c r="D1263" s="41">
        <v>4455</v>
      </c>
      <c r="E1263" s="41" t="s">
        <v>1191</v>
      </c>
      <c r="F1263" s="41" t="s">
        <v>53</v>
      </c>
      <c r="G1263" s="41" t="s">
        <v>54</v>
      </c>
      <c r="I1263" s="41" t="s">
        <v>102</v>
      </c>
      <c r="J1263" s="41" t="s">
        <v>32</v>
      </c>
      <c r="K1263" s="42"/>
      <c r="L1263" s="41" t="s">
        <v>4649</v>
      </c>
      <c r="M1263" s="41">
        <v>220</v>
      </c>
      <c r="N1263" s="41" t="s">
        <v>151</v>
      </c>
      <c r="O1263" s="41" t="s">
        <v>4553</v>
      </c>
      <c r="P1263" s="41" t="s">
        <v>179</v>
      </c>
      <c r="Q1263" s="41" t="s">
        <v>284</v>
      </c>
      <c r="R1263" s="41" t="s">
        <v>62</v>
      </c>
      <c r="S1263" s="41" t="s">
        <v>40</v>
      </c>
      <c r="T1263" s="41" t="s">
        <v>40</v>
      </c>
      <c r="U1263" s="41" t="s">
        <v>40</v>
      </c>
    </row>
    <row r="1264" spans="1:21">
      <c r="A1264" s="41">
        <v>1644</v>
      </c>
      <c r="B1264" s="41" t="s">
        <v>4650</v>
      </c>
      <c r="D1264" s="41">
        <v>4454</v>
      </c>
      <c r="E1264" s="41" t="s">
        <v>3236</v>
      </c>
      <c r="F1264" s="41" t="s">
        <v>28</v>
      </c>
      <c r="G1264" s="41" t="s">
        <v>301</v>
      </c>
      <c r="I1264" s="41" t="s">
        <v>45</v>
      </c>
      <c r="J1264" s="41" t="s">
        <v>32</v>
      </c>
      <c r="K1264" s="42"/>
      <c r="L1264" s="41" t="s">
        <v>4651</v>
      </c>
      <c r="M1264" s="41">
        <v>220</v>
      </c>
      <c r="N1264" s="41" t="s">
        <v>4652</v>
      </c>
      <c r="O1264" s="41" t="s">
        <v>77</v>
      </c>
      <c r="P1264" s="41" t="s">
        <v>98</v>
      </c>
      <c r="Q1264" s="41" t="s">
        <v>204</v>
      </c>
      <c r="R1264" s="41" t="s">
        <v>39</v>
      </c>
      <c r="S1264" s="41" t="s">
        <v>4653</v>
      </c>
      <c r="T1264" s="41" t="s">
        <v>779</v>
      </c>
      <c r="U1264" s="41" t="s">
        <v>40</v>
      </c>
    </row>
    <row r="1265" spans="1:21">
      <c r="A1265" s="41">
        <v>1643</v>
      </c>
      <c r="B1265" s="41" t="s">
        <v>4654</v>
      </c>
      <c r="D1265" s="41">
        <v>4451</v>
      </c>
      <c r="E1265" s="41" t="s">
        <v>2631</v>
      </c>
      <c r="F1265" s="41" t="s">
        <v>53</v>
      </c>
      <c r="G1265" s="41" t="s">
        <v>141</v>
      </c>
      <c r="I1265" s="41" t="s">
        <v>162</v>
      </c>
      <c r="J1265" s="41" t="s">
        <v>32</v>
      </c>
      <c r="K1265" s="42"/>
      <c r="L1265" s="41" t="s">
        <v>4039</v>
      </c>
      <c r="M1265" s="41">
        <v>220</v>
      </c>
      <c r="N1265" s="41" t="s">
        <v>4655</v>
      </c>
      <c r="O1265" s="41" t="s">
        <v>3204</v>
      </c>
      <c r="P1265" s="41" t="s">
        <v>78</v>
      </c>
      <c r="Q1265" s="41" t="s">
        <v>1065</v>
      </c>
      <c r="R1265" s="41" t="s">
        <v>132</v>
      </c>
      <c r="S1265" s="41" t="s">
        <v>4656</v>
      </c>
      <c r="T1265" s="41" t="s">
        <v>266</v>
      </c>
      <c r="U1265" s="41" t="s">
        <v>40</v>
      </c>
    </row>
    <row r="1266" spans="1:21">
      <c r="A1266" s="41">
        <v>1642</v>
      </c>
      <c r="B1266" s="41" t="s">
        <v>4657</v>
      </c>
      <c r="D1266" s="41">
        <v>4452</v>
      </c>
      <c r="E1266" s="41" t="s">
        <v>1028</v>
      </c>
      <c r="F1266" s="41" t="s">
        <v>53</v>
      </c>
      <c r="G1266" s="41" t="s">
        <v>64</v>
      </c>
      <c r="I1266" s="41" t="s">
        <v>338</v>
      </c>
      <c r="J1266" s="41" t="s">
        <v>32</v>
      </c>
      <c r="K1266" s="42"/>
      <c r="L1266" s="41" t="s">
        <v>2231</v>
      </c>
      <c r="M1266" s="41">
        <v>220</v>
      </c>
      <c r="N1266" s="41" t="s">
        <v>4658</v>
      </c>
      <c r="O1266" s="41" t="s">
        <v>1827</v>
      </c>
      <c r="P1266" s="41" t="s">
        <v>98</v>
      </c>
      <c r="Q1266" s="41" t="s">
        <v>116</v>
      </c>
      <c r="R1266" s="41" t="s">
        <v>62</v>
      </c>
      <c r="S1266" s="41" t="s">
        <v>4659</v>
      </c>
      <c r="T1266" s="41" t="s">
        <v>3491</v>
      </c>
      <c r="U1266" s="41" t="s">
        <v>40</v>
      </c>
    </row>
    <row r="1267" spans="1:21">
      <c r="A1267" s="41">
        <v>1640</v>
      </c>
      <c r="B1267" s="41" t="s">
        <v>4660</v>
      </c>
      <c r="D1267" s="41">
        <v>4448</v>
      </c>
      <c r="E1267" s="41" t="s">
        <v>987</v>
      </c>
      <c r="F1267" s="41" t="s">
        <v>53</v>
      </c>
      <c r="G1267" s="41" t="s">
        <v>141</v>
      </c>
      <c r="I1267" s="41" t="s">
        <v>149</v>
      </c>
      <c r="J1267" s="41" t="s">
        <v>32</v>
      </c>
      <c r="K1267" s="42"/>
      <c r="L1267" s="41" t="s">
        <v>4661</v>
      </c>
      <c r="M1267" s="41">
        <v>66</v>
      </c>
      <c r="N1267" s="41" t="s">
        <v>67</v>
      </c>
      <c r="O1267" s="41" t="s">
        <v>1151</v>
      </c>
      <c r="P1267" s="41" t="s">
        <v>83</v>
      </c>
      <c r="Q1267" s="41" t="s">
        <v>467</v>
      </c>
      <c r="R1267" s="41" t="s">
        <v>132</v>
      </c>
      <c r="S1267" s="41" t="s">
        <v>4662</v>
      </c>
      <c r="T1267" s="41" t="s">
        <v>1773</v>
      </c>
      <c r="U1267" s="41" t="s">
        <v>779</v>
      </c>
    </row>
    <row r="1268" spans="1:21">
      <c r="A1268" s="41">
        <v>1639</v>
      </c>
      <c r="B1268" s="41" t="s">
        <v>4663</v>
      </c>
      <c r="D1268" s="41">
        <v>4447</v>
      </c>
      <c r="E1268" s="41" t="s">
        <v>987</v>
      </c>
      <c r="F1268" s="41" t="s">
        <v>53</v>
      </c>
      <c r="G1268" s="41" t="s">
        <v>54</v>
      </c>
      <c r="I1268" s="41" t="s">
        <v>149</v>
      </c>
      <c r="J1268" s="41" t="s">
        <v>32</v>
      </c>
      <c r="K1268" s="42"/>
      <c r="L1268" s="41" t="s">
        <v>4664</v>
      </c>
      <c r="M1268" s="41">
        <v>66</v>
      </c>
      <c r="N1268" s="41" t="s">
        <v>1623</v>
      </c>
      <c r="O1268" s="41" t="s">
        <v>445</v>
      </c>
      <c r="P1268" s="41" t="s">
        <v>172</v>
      </c>
      <c r="Q1268" s="41" t="s">
        <v>2751</v>
      </c>
      <c r="R1268" s="41" t="s">
        <v>132</v>
      </c>
      <c r="S1268" s="41" t="s">
        <v>40</v>
      </c>
      <c r="T1268" s="41" t="s">
        <v>40</v>
      </c>
      <c r="U1268" s="41" t="s">
        <v>40</v>
      </c>
    </row>
    <row r="1269" spans="1:21">
      <c r="A1269" s="41">
        <v>1638</v>
      </c>
      <c r="B1269" s="41" t="s">
        <v>4665</v>
      </c>
      <c r="D1269" s="41">
        <v>4449</v>
      </c>
      <c r="E1269" s="41" t="s">
        <v>987</v>
      </c>
      <c r="F1269" s="41" t="s">
        <v>53</v>
      </c>
      <c r="G1269" s="41" t="s">
        <v>141</v>
      </c>
      <c r="I1269" s="41" t="s">
        <v>149</v>
      </c>
      <c r="J1269" s="41" t="s">
        <v>32</v>
      </c>
      <c r="K1269" s="42"/>
      <c r="L1269" s="41" t="s">
        <v>4358</v>
      </c>
      <c r="M1269" s="41">
        <v>66</v>
      </c>
      <c r="N1269" s="41" t="s">
        <v>4666</v>
      </c>
      <c r="O1269" s="41" t="s">
        <v>4255</v>
      </c>
      <c r="P1269" s="41" t="s">
        <v>60</v>
      </c>
      <c r="Q1269" s="41" t="s">
        <v>2759</v>
      </c>
      <c r="R1269" s="41" t="s">
        <v>132</v>
      </c>
      <c r="S1269" s="41" t="s">
        <v>4662</v>
      </c>
      <c r="T1269" s="41" t="s">
        <v>1773</v>
      </c>
      <c r="U1269" s="41" t="s">
        <v>779</v>
      </c>
    </row>
    <row r="1270" spans="1:21">
      <c r="A1270" s="41">
        <v>1637</v>
      </c>
      <c r="B1270" s="41" t="s">
        <v>4667</v>
      </c>
      <c r="D1270" s="41">
        <v>4446</v>
      </c>
      <c r="E1270" s="41" t="s">
        <v>987</v>
      </c>
      <c r="F1270" s="41" t="s">
        <v>53</v>
      </c>
      <c r="G1270" s="41" t="s">
        <v>141</v>
      </c>
      <c r="I1270" s="41" t="s">
        <v>149</v>
      </c>
      <c r="J1270" s="41" t="s">
        <v>32</v>
      </c>
      <c r="K1270" s="42"/>
      <c r="L1270" s="41" t="s">
        <v>4668</v>
      </c>
      <c r="M1270" s="41">
        <v>66</v>
      </c>
      <c r="N1270" s="41" t="s">
        <v>67</v>
      </c>
      <c r="O1270" s="41" t="s">
        <v>1151</v>
      </c>
      <c r="P1270" s="41" t="s">
        <v>172</v>
      </c>
      <c r="Q1270" s="41" t="s">
        <v>1104</v>
      </c>
      <c r="R1270" s="41" t="s">
        <v>132</v>
      </c>
      <c r="S1270" s="41" t="s">
        <v>4662</v>
      </c>
      <c r="T1270" s="41" t="s">
        <v>1773</v>
      </c>
      <c r="U1270" s="41" t="s">
        <v>779</v>
      </c>
    </row>
    <row r="1271" spans="1:21">
      <c r="A1271" s="41">
        <v>1636</v>
      </c>
      <c r="B1271" s="41" t="s">
        <v>4669</v>
      </c>
      <c r="D1271" s="41">
        <v>4444</v>
      </c>
      <c r="E1271" s="41" t="s">
        <v>992</v>
      </c>
      <c r="F1271" s="41" t="s">
        <v>53</v>
      </c>
      <c r="G1271" s="41" t="s">
        <v>64</v>
      </c>
      <c r="I1271" s="41" t="s">
        <v>149</v>
      </c>
      <c r="J1271" s="41" t="s">
        <v>32</v>
      </c>
      <c r="K1271" s="42"/>
      <c r="L1271" s="41" t="s">
        <v>4670</v>
      </c>
      <c r="M1271" s="41">
        <v>66</v>
      </c>
      <c r="N1271" s="41" t="s">
        <v>67</v>
      </c>
      <c r="O1271" s="41" t="s">
        <v>1151</v>
      </c>
      <c r="P1271" s="41" t="s">
        <v>60</v>
      </c>
      <c r="Q1271" s="41" t="s">
        <v>436</v>
      </c>
      <c r="R1271" s="41" t="s">
        <v>132</v>
      </c>
      <c r="S1271" s="41" t="s">
        <v>40</v>
      </c>
      <c r="T1271" s="41" t="s">
        <v>40</v>
      </c>
      <c r="U1271" s="41" t="s">
        <v>40</v>
      </c>
    </row>
    <row r="1272" spans="1:21">
      <c r="A1272" s="41">
        <v>1635</v>
      </c>
      <c r="B1272" s="41" t="s">
        <v>4671</v>
      </c>
      <c r="D1272" s="41">
        <v>4445</v>
      </c>
      <c r="E1272" s="41" t="s">
        <v>987</v>
      </c>
      <c r="F1272" s="41" t="s">
        <v>53</v>
      </c>
      <c r="G1272" s="41" t="s">
        <v>141</v>
      </c>
      <c r="I1272" s="41">
        <v>0</v>
      </c>
      <c r="J1272" s="41" t="s">
        <v>32</v>
      </c>
      <c r="K1272" s="42"/>
      <c r="L1272" s="41" t="s">
        <v>4672</v>
      </c>
      <c r="M1272" s="41">
        <v>66</v>
      </c>
      <c r="N1272" s="41" t="s">
        <v>67</v>
      </c>
      <c r="O1272" s="41" t="s">
        <v>482</v>
      </c>
      <c r="P1272" s="41" t="s">
        <v>60</v>
      </c>
      <c r="Q1272" s="41" t="s">
        <v>990</v>
      </c>
      <c r="R1272" s="41" t="s">
        <v>132</v>
      </c>
      <c r="S1272" s="41" t="s">
        <v>4662</v>
      </c>
      <c r="T1272" s="41" t="s">
        <v>1773</v>
      </c>
      <c r="U1272" s="41" t="s">
        <v>779</v>
      </c>
    </row>
    <row r="1273" spans="1:21">
      <c r="A1273" s="41">
        <v>1634</v>
      </c>
      <c r="B1273" s="41" t="s">
        <v>4673</v>
      </c>
      <c r="D1273" s="41">
        <v>4443</v>
      </c>
      <c r="E1273" s="41" t="s">
        <v>987</v>
      </c>
      <c r="F1273" s="41" t="s">
        <v>53</v>
      </c>
      <c r="G1273" s="41" t="s">
        <v>141</v>
      </c>
      <c r="I1273" s="41" t="s">
        <v>149</v>
      </c>
      <c r="J1273" s="41" t="s">
        <v>32</v>
      </c>
      <c r="K1273" s="42"/>
      <c r="L1273" s="41" t="s">
        <v>4674</v>
      </c>
      <c r="M1273" s="41">
        <v>66</v>
      </c>
      <c r="N1273" s="41" t="s">
        <v>67</v>
      </c>
      <c r="O1273" s="41" t="s">
        <v>388</v>
      </c>
      <c r="P1273" s="41" t="s">
        <v>1046</v>
      </c>
      <c r="Q1273" s="41" t="s">
        <v>2763</v>
      </c>
      <c r="R1273" s="41" t="s">
        <v>132</v>
      </c>
      <c r="S1273" s="41" t="s">
        <v>4662</v>
      </c>
      <c r="T1273" s="41" t="s">
        <v>1773</v>
      </c>
      <c r="U1273" s="41" t="s">
        <v>779</v>
      </c>
    </row>
    <row r="1274" spans="1:21">
      <c r="A1274" s="41">
        <v>1633</v>
      </c>
      <c r="B1274" s="41" t="s">
        <v>4675</v>
      </c>
      <c r="D1274" s="41">
        <v>4442</v>
      </c>
      <c r="E1274" s="41" t="s">
        <v>987</v>
      </c>
      <c r="F1274" s="41" t="s">
        <v>53</v>
      </c>
      <c r="G1274" s="41" t="s">
        <v>141</v>
      </c>
      <c r="I1274" s="41" t="s">
        <v>149</v>
      </c>
      <c r="J1274" s="41" t="s">
        <v>32</v>
      </c>
      <c r="K1274" s="42"/>
      <c r="L1274" s="41" t="s">
        <v>4676</v>
      </c>
      <c r="M1274" s="41">
        <v>66</v>
      </c>
      <c r="N1274" s="41" t="s">
        <v>67</v>
      </c>
      <c r="O1274" s="41" t="s">
        <v>2721</v>
      </c>
      <c r="P1274" s="41" t="s">
        <v>1046</v>
      </c>
      <c r="Q1274" s="41" t="s">
        <v>1903</v>
      </c>
      <c r="R1274" s="41" t="s">
        <v>132</v>
      </c>
      <c r="S1274" s="41" t="s">
        <v>3677</v>
      </c>
      <c r="T1274" s="41" t="s">
        <v>40</v>
      </c>
      <c r="U1274" s="41" t="s">
        <v>40</v>
      </c>
    </row>
    <row r="1275" spans="1:21">
      <c r="A1275" s="41">
        <v>1632</v>
      </c>
      <c r="B1275" s="41" t="s">
        <v>4677</v>
      </c>
      <c r="D1275" s="41">
        <v>4441</v>
      </c>
      <c r="E1275" s="41" t="s">
        <v>1248</v>
      </c>
      <c r="F1275" s="41" t="s">
        <v>53</v>
      </c>
      <c r="G1275" s="41" t="s">
        <v>1071</v>
      </c>
      <c r="I1275" s="41" t="s">
        <v>4678</v>
      </c>
      <c r="J1275" s="41" t="s">
        <v>672</v>
      </c>
      <c r="K1275" s="42"/>
      <c r="L1275" s="41" t="s">
        <v>4679</v>
      </c>
      <c r="M1275" s="41">
        <v>23</v>
      </c>
      <c r="N1275" s="41" t="s">
        <v>2671</v>
      </c>
      <c r="O1275" s="41" t="s">
        <v>3296</v>
      </c>
      <c r="P1275" s="41" t="s">
        <v>83</v>
      </c>
      <c r="Q1275" s="41" t="s">
        <v>84</v>
      </c>
      <c r="R1275" s="41" t="s">
        <v>132</v>
      </c>
      <c r="S1275" s="41" t="s">
        <v>40</v>
      </c>
      <c r="T1275" s="41" t="s">
        <v>40</v>
      </c>
      <c r="U1275" s="41" t="s">
        <v>40</v>
      </c>
    </row>
    <row r="1276" spans="1:21">
      <c r="A1276" s="41">
        <v>1631</v>
      </c>
      <c r="B1276" s="41" t="s">
        <v>4680</v>
      </c>
      <c r="D1276" s="41">
        <v>4440</v>
      </c>
      <c r="E1276" s="41" t="s">
        <v>1248</v>
      </c>
      <c r="F1276" s="41" t="s">
        <v>53</v>
      </c>
      <c r="G1276" s="41" t="s">
        <v>1071</v>
      </c>
      <c r="I1276" s="41" t="s">
        <v>4681</v>
      </c>
      <c r="J1276" s="41" t="s">
        <v>672</v>
      </c>
      <c r="K1276" s="42"/>
      <c r="L1276" s="41" t="s">
        <v>4679</v>
      </c>
      <c r="M1276" s="41">
        <v>23</v>
      </c>
      <c r="N1276" s="41" t="s">
        <v>3295</v>
      </c>
      <c r="O1276" s="41" t="s">
        <v>989</v>
      </c>
      <c r="P1276" s="41" t="s">
        <v>83</v>
      </c>
      <c r="Q1276" s="41" t="s">
        <v>84</v>
      </c>
      <c r="R1276" s="41" t="s">
        <v>132</v>
      </c>
      <c r="S1276" s="41" t="s">
        <v>40</v>
      </c>
      <c r="T1276" s="41" t="s">
        <v>40</v>
      </c>
      <c r="U1276" s="41" t="s">
        <v>40</v>
      </c>
    </row>
    <row r="1277" spans="1:21">
      <c r="A1277" s="41">
        <v>1630</v>
      </c>
      <c r="B1277" s="41" t="s">
        <v>4682</v>
      </c>
      <c r="D1277" s="41">
        <v>4439</v>
      </c>
      <c r="E1277" s="41" t="s">
        <v>4522</v>
      </c>
      <c r="F1277" s="41" t="s">
        <v>53</v>
      </c>
      <c r="G1277" s="41" t="s">
        <v>54</v>
      </c>
      <c r="I1277" s="41" t="s">
        <v>194</v>
      </c>
      <c r="J1277" s="41" t="s">
        <v>32</v>
      </c>
      <c r="K1277" s="42"/>
      <c r="L1277" s="41" t="s">
        <v>4683</v>
      </c>
      <c r="M1277" s="41">
        <v>66</v>
      </c>
      <c r="N1277" s="41" t="s">
        <v>395</v>
      </c>
      <c r="O1277" s="41" t="s">
        <v>4684</v>
      </c>
      <c r="P1277" s="41" t="s">
        <v>334</v>
      </c>
      <c r="Q1277" s="41" t="s">
        <v>4481</v>
      </c>
      <c r="R1277" s="41" t="s">
        <v>132</v>
      </c>
      <c r="S1277" s="41" t="s">
        <v>40</v>
      </c>
      <c r="T1277" s="41" t="s">
        <v>40</v>
      </c>
      <c r="U1277" s="41" t="s">
        <v>40</v>
      </c>
    </row>
    <row r="1278" spans="1:21">
      <c r="A1278" s="41">
        <v>1629</v>
      </c>
      <c r="B1278" s="41" t="s">
        <v>4685</v>
      </c>
      <c r="D1278" s="41">
        <v>4438</v>
      </c>
      <c r="E1278" s="41" t="s">
        <v>1028</v>
      </c>
      <c r="F1278" s="41" t="s">
        <v>28</v>
      </c>
      <c r="G1278" s="41" t="s">
        <v>64</v>
      </c>
      <c r="I1278" s="41" t="s">
        <v>149</v>
      </c>
      <c r="J1278" s="41" t="s">
        <v>32</v>
      </c>
      <c r="K1278" s="42"/>
      <c r="L1278" s="41" t="s">
        <v>4686</v>
      </c>
      <c r="M1278" s="41">
        <v>110</v>
      </c>
      <c r="N1278" s="41" t="s">
        <v>4235</v>
      </c>
      <c r="O1278" s="41" t="s">
        <v>4266</v>
      </c>
      <c r="P1278" s="41" t="s">
        <v>179</v>
      </c>
      <c r="Q1278" s="41" t="s">
        <v>592</v>
      </c>
      <c r="R1278" s="41" t="s">
        <v>39</v>
      </c>
      <c r="S1278" s="41" t="s">
        <v>40</v>
      </c>
      <c r="T1278" s="41" t="s">
        <v>40</v>
      </c>
      <c r="U1278" s="41" t="s">
        <v>40</v>
      </c>
    </row>
    <row r="1279" spans="1:21">
      <c r="A1279" s="41">
        <v>1628</v>
      </c>
      <c r="B1279" s="41" t="s">
        <v>4687</v>
      </c>
      <c r="D1279" s="41">
        <v>4437</v>
      </c>
      <c r="E1279" s="41" t="s">
        <v>1227</v>
      </c>
      <c r="F1279" s="41" t="s">
        <v>53</v>
      </c>
      <c r="G1279" s="41" t="s">
        <v>307</v>
      </c>
      <c r="I1279" s="41" t="s">
        <v>399</v>
      </c>
      <c r="J1279" s="41" t="s">
        <v>32</v>
      </c>
      <c r="K1279" s="42"/>
      <c r="L1279" s="41" t="s">
        <v>4688</v>
      </c>
      <c r="M1279" s="41">
        <v>66</v>
      </c>
      <c r="N1279" s="41" t="s">
        <v>67</v>
      </c>
      <c r="O1279" s="41" t="s">
        <v>466</v>
      </c>
      <c r="P1279" s="41" t="s">
        <v>546</v>
      </c>
      <c r="Q1279" s="41" t="s">
        <v>2100</v>
      </c>
      <c r="R1279" s="41" t="s">
        <v>132</v>
      </c>
      <c r="S1279" s="41" t="s">
        <v>4689</v>
      </c>
      <c r="T1279" s="41" t="s">
        <v>455</v>
      </c>
      <c r="U1279" s="41" t="s">
        <v>40</v>
      </c>
    </row>
    <row r="1280" spans="1:21">
      <c r="A1280" s="41">
        <v>1627</v>
      </c>
      <c r="B1280" s="41" t="s">
        <v>4100</v>
      </c>
      <c r="D1280" s="41">
        <v>4436</v>
      </c>
      <c r="E1280" s="41" t="s">
        <v>4101</v>
      </c>
      <c r="F1280" s="41" t="s">
        <v>28</v>
      </c>
      <c r="G1280" s="41" t="s">
        <v>43</v>
      </c>
      <c r="I1280" s="41" t="s">
        <v>4690</v>
      </c>
      <c r="J1280" s="41" t="s">
        <v>32</v>
      </c>
      <c r="K1280" s="42"/>
      <c r="L1280" s="41" t="s">
        <v>4102</v>
      </c>
      <c r="M1280" s="41">
        <v>220</v>
      </c>
      <c r="N1280" s="41" t="s">
        <v>311</v>
      </c>
      <c r="O1280" s="41" t="s">
        <v>311</v>
      </c>
      <c r="P1280" s="41" t="s">
        <v>98</v>
      </c>
      <c r="Q1280" s="41" t="s">
        <v>99</v>
      </c>
      <c r="R1280" s="41" t="s">
        <v>39</v>
      </c>
      <c r="S1280" s="41" t="s">
        <v>40</v>
      </c>
      <c r="T1280" s="41" t="s">
        <v>40</v>
      </c>
      <c r="U1280" s="41" t="s">
        <v>40</v>
      </c>
    </row>
    <row r="1281" spans="1:21">
      <c r="A1281" s="41">
        <v>1626</v>
      </c>
      <c r="B1281" s="41" t="s">
        <v>4691</v>
      </c>
      <c r="D1281" s="41">
        <v>4435</v>
      </c>
      <c r="E1281" s="41" t="s">
        <v>3455</v>
      </c>
      <c r="F1281" s="41" t="s">
        <v>28</v>
      </c>
      <c r="G1281" s="41" t="s">
        <v>301</v>
      </c>
      <c r="I1281" s="41" t="s">
        <v>1068</v>
      </c>
      <c r="J1281" s="41" t="s">
        <v>672</v>
      </c>
      <c r="K1281" s="42"/>
      <c r="L1281" s="41" t="s">
        <v>487</v>
      </c>
      <c r="M1281" s="41">
        <v>33</v>
      </c>
      <c r="N1281" s="41" t="s">
        <v>4692</v>
      </c>
      <c r="O1281" s="41" t="s">
        <v>4693</v>
      </c>
      <c r="P1281" s="41" t="s">
        <v>98</v>
      </c>
      <c r="Q1281" s="41" t="s">
        <v>204</v>
      </c>
      <c r="R1281" s="41" t="s">
        <v>39</v>
      </c>
      <c r="S1281" s="41" t="s">
        <v>4694</v>
      </c>
      <c r="T1281" s="41" t="s">
        <v>1796</v>
      </c>
      <c r="U1281" s="41" t="s">
        <v>40</v>
      </c>
    </row>
    <row r="1282" spans="1:21">
      <c r="A1282" s="41">
        <v>1625</v>
      </c>
      <c r="B1282" s="41" t="s">
        <v>4695</v>
      </c>
      <c r="D1282" s="41">
        <v>4434</v>
      </c>
      <c r="E1282" s="41" t="s">
        <v>3236</v>
      </c>
      <c r="F1282" s="41" t="s">
        <v>28</v>
      </c>
      <c r="G1282" s="41" t="s">
        <v>43</v>
      </c>
      <c r="I1282" s="41" t="s">
        <v>3889</v>
      </c>
      <c r="J1282" s="41" t="s">
        <v>32</v>
      </c>
      <c r="K1282" s="42"/>
      <c r="L1282" s="41" t="s">
        <v>4696</v>
      </c>
      <c r="M1282" s="41">
        <v>220</v>
      </c>
      <c r="N1282" s="41" t="s">
        <v>1623</v>
      </c>
      <c r="O1282" s="41" t="s">
        <v>741</v>
      </c>
      <c r="P1282" s="41" t="s">
        <v>50</v>
      </c>
      <c r="Q1282" s="41" t="s">
        <v>51</v>
      </c>
      <c r="R1282" s="41" t="s">
        <v>39</v>
      </c>
      <c r="S1282" s="41" t="s">
        <v>40</v>
      </c>
      <c r="T1282" s="41" t="s">
        <v>40</v>
      </c>
      <c r="U1282" s="41" t="s">
        <v>40</v>
      </c>
    </row>
    <row r="1283" spans="1:21">
      <c r="A1283" s="41">
        <v>1624</v>
      </c>
      <c r="B1283" s="41" t="s">
        <v>4697</v>
      </c>
      <c r="D1283" s="41">
        <v>4416</v>
      </c>
      <c r="E1283" s="41" t="s">
        <v>1028</v>
      </c>
      <c r="F1283" s="41" t="s">
        <v>28</v>
      </c>
      <c r="G1283" s="41" t="s">
        <v>64</v>
      </c>
      <c r="I1283" s="41" t="s">
        <v>464</v>
      </c>
      <c r="J1283" s="41" t="s">
        <v>32</v>
      </c>
      <c r="K1283" s="42"/>
      <c r="L1283" s="41" t="s">
        <v>4234</v>
      </c>
      <c r="M1283" s="41">
        <v>110</v>
      </c>
      <c r="N1283" s="41" t="s">
        <v>4235</v>
      </c>
      <c r="O1283" s="41" t="s">
        <v>1566</v>
      </c>
      <c r="P1283" s="41" t="s">
        <v>179</v>
      </c>
      <c r="Q1283" s="41" t="s">
        <v>592</v>
      </c>
      <c r="R1283" s="41" t="s">
        <v>39</v>
      </c>
      <c r="S1283" s="41" t="s">
        <v>40</v>
      </c>
      <c r="T1283" s="41" t="s">
        <v>40</v>
      </c>
      <c r="U1283" s="41" t="s">
        <v>40</v>
      </c>
    </row>
    <row r="1284" spans="1:21">
      <c r="A1284" s="41">
        <v>1623</v>
      </c>
      <c r="B1284" s="41" t="s">
        <v>4698</v>
      </c>
      <c r="D1284" s="41">
        <v>4415</v>
      </c>
      <c r="E1284" s="41" t="s">
        <v>4699</v>
      </c>
      <c r="F1284" s="41" t="s">
        <v>53</v>
      </c>
      <c r="G1284" s="41" t="s">
        <v>188</v>
      </c>
      <c r="I1284" s="41" t="s">
        <v>2796</v>
      </c>
      <c r="J1284" s="41" t="s">
        <v>32</v>
      </c>
      <c r="K1284" s="42"/>
      <c r="L1284" s="41" t="s">
        <v>618</v>
      </c>
      <c r="M1284" s="41">
        <v>220</v>
      </c>
      <c r="N1284" s="41" t="s">
        <v>805</v>
      </c>
      <c r="O1284" s="41" t="s">
        <v>1305</v>
      </c>
      <c r="P1284" s="41" t="s">
        <v>50</v>
      </c>
      <c r="Q1284" s="41" t="s">
        <v>51</v>
      </c>
      <c r="R1284" s="41" t="s">
        <v>62</v>
      </c>
      <c r="S1284" s="41" t="s">
        <v>40</v>
      </c>
      <c r="T1284" s="41" t="s">
        <v>40</v>
      </c>
      <c r="U1284" s="41" t="s">
        <v>40</v>
      </c>
    </row>
    <row r="1285" spans="1:21">
      <c r="A1285" s="41">
        <v>1622</v>
      </c>
      <c r="B1285" s="41" t="s">
        <v>4700</v>
      </c>
      <c r="D1285" s="41">
        <v>4414</v>
      </c>
      <c r="E1285" s="41" t="s">
        <v>1028</v>
      </c>
      <c r="F1285" s="41" t="s">
        <v>28</v>
      </c>
      <c r="G1285" s="41" t="s">
        <v>286</v>
      </c>
      <c r="I1285" s="41" t="s">
        <v>4701</v>
      </c>
      <c r="J1285" s="41" t="s">
        <v>32</v>
      </c>
      <c r="K1285" s="42"/>
      <c r="L1285" s="41" t="s">
        <v>4702</v>
      </c>
      <c r="M1285" s="41">
        <v>110</v>
      </c>
      <c r="N1285" s="41" t="s">
        <v>4703</v>
      </c>
      <c r="O1285" s="41" t="s">
        <v>1566</v>
      </c>
      <c r="P1285" s="41" t="s">
        <v>179</v>
      </c>
      <c r="Q1285" s="41" t="s">
        <v>592</v>
      </c>
      <c r="R1285" s="41" t="s">
        <v>39</v>
      </c>
      <c r="S1285" s="41" t="s">
        <v>40</v>
      </c>
      <c r="T1285" s="41" t="s">
        <v>40</v>
      </c>
      <c r="U1285" s="41" t="s">
        <v>40</v>
      </c>
    </row>
    <row r="1286" spans="1:21">
      <c r="A1286" s="41">
        <v>1621</v>
      </c>
      <c r="B1286" s="41" t="s">
        <v>4704</v>
      </c>
      <c r="D1286" s="41">
        <v>4413</v>
      </c>
      <c r="E1286" s="41" t="s">
        <v>1395</v>
      </c>
      <c r="F1286" s="41" t="s">
        <v>28</v>
      </c>
      <c r="G1286" s="41" t="s">
        <v>301</v>
      </c>
      <c r="I1286" s="41" t="s">
        <v>4705</v>
      </c>
      <c r="J1286" s="41" t="s">
        <v>295</v>
      </c>
      <c r="K1286" s="42"/>
      <c r="L1286" s="41" t="s">
        <v>4706</v>
      </c>
      <c r="M1286" s="41">
        <v>220</v>
      </c>
      <c r="N1286" s="41" t="s">
        <v>4707</v>
      </c>
      <c r="O1286" s="41" t="s">
        <v>4708</v>
      </c>
      <c r="P1286" s="41" t="s">
        <v>68</v>
      </c>
      <c r="Q1286" s="41" t="s">
        <v>69</v>
      </c>
      <c r="R1286" s="41" t="s">
        <v>39</v>
      </c>
      <c r="S1286" s="41" t="s">
        <v>4709</v>
      </c>
      <c r="T1286" s="41" t="s">
        <v>2169</v>
      </c>
      <c r="U1286" s="41" t="s">
        <v>40</v>
      </c>
    </row>
    <row r="1287" spans="1:21">
      <c r="A1287" s="41">
        <v>1620</v>
      </c>
      <c r="B1287" s="41" t="s">
        <v>4710</v>
      </c>
      <c r="D1287" s="41">
        <v>4412</v>
      </c>
      <c r="E1287" s="41" t="s">
        <v>2021</v>
      </c>
      <c r="F1287" s="41" t="s">
        <v>53</v>
      </c>
      <c r="G1287" s="41" t="s">
        <v>43</v>
      </c>
      <c r="I1287" s="41" t="s">
        <v>966</v>
      </c>
      <c r="J1287" s="41" t="s">
        <v>380</v>
      </c>
      <c r="K1287" s="42"/>
      <c r="L1287" s="41" t="s">
        <v>4711</v>
      </c>
      <c r="M1287" s="41">
        <v>110</v>
      </c>
      <c r="N1287" s="41" t="s">
        <v>59</v>
      </c>
      <c r="O1287" s="41" t="s">
        <v>3708</v>
      </c>
      <c r="P1287" s="41" t="s">
        <v>78</v>
      </c>
      <c r="Q1287" s="41" t="s">
        <v>278</v>
      </c>
      <c r="R1287" s="41" t="s">
        <v>132</v>
      </c>
      <c r="S1287" s="41" t="s">
        <v>40</v>
      </c>
      <c r="T1287" s="41" t="s">
        <v>40</v>
      </c>
      <c r="U1287" s="41" t="s">
        <v>40</v>
      </c>
    </row>
    <row r="1288" spans="1:21">
      <c r="A1288" s="41">
        <v>1619</v>
      </c>
      <c r="B1288" s="41" t="s">
        <v>4712</v>
      </c>
      <c r="D1288" s="41">
        <v>4399</v>
      </c>
      <c r="E1288" s="41" t="s">
        <v>1035</v>
      </c>
      <c r="F1288" s="41" t="s">
        <v>42</v>
      </c>
      <c r="G1288" s="41" t="s">
        <v>141</v>
      </c>
      <c r="I1288" s="41" t="s">
        <v>45</v>
      </c>
      <c r="J1288" s="41" t="s">
        <v>295</v>
      </c>
      <c r="K1288" s="42"/>
      <c r="L1288" s="41" t="s">
        <v>4713</v>
      </c>
      <c r="M1288" s="41">
        <v>220</v>
      </c>
      <c r="N1288" s="41" t="s">
        <v>67</v>
      </c>
      <c r="O1288" s="41" t="s">
        <v>77</v>
      </c>
      <c r="P1288" s="41" t="s">
        <v>179</v>
      </c>
      <c r="Q1288" s="41" t="s">
        <v>538</v>
      </c>
      <c r="R1288" s="41" t="s">
        <v>39</v>
      </c>
      <c r="S1288" s="41" t="s">
        <v>40</v>
      </c>
      <c r="T1288" s="41" t="s">
        <v>455</v>
      </c>
      <c r="U1288" s="41" t="s">
        <v>40</v>
      </c>
    </row>
    <row r="1289" spans="1:21">
      <c r="A1289" s="41">
        <v>1618</v>
      </c>
      <c r="B1289" s="41" t="s">
        <v>4714</v>
      </c>
      <c r="D1289" s="41">
        <v>4395</v>
      </c>
      <c r="E1289" s="41" t="s">
        <v>4715</v>
      </c>
      <c r="F1289" s="41" t="s">
        <v>53</v>
      </c>
      <c r="G1289" s="41" t="s">
        <v>175</v>
      </c>
      <c r="I1289" s="41" t="s">
        <v>194</v>
      </c>
      <c r="J1289" s="41" t="s">
        <v>295</v>
      </c>
      <c r="K1289" s="42"/>
      <c r="L1289" s="41" t="s">
        <v>4716</v>
      </c>
      <c r="M1289" s="41">
        <v>66</v>
      </c>
      <c r="N1289" s="41" t="s">
        <v>67</v>
      </c>
      <c r="O1289" s="41" t="s">
        <v>1151</v>
      </c>
      <c r="P1289" s="41" t="s">
        <v>334</v>
      </c>
      <c r="Q1289" s="41" t="s">
        <v>4481</v>
      </c>
      <c r="R1289" s="41" t="s">
        <v>132</v>
      </c>
      <c r="S1289" s="41" t="s">
        <v>40</v>
      </c>
      <c r="T1289" s="41" t="s">
        <v>40</v>
      </c>
      <c r="U1289" s="41" t="s">
        <v>40</v>
      </c>
    </row>
    <row r="1290" spans="1:21">
      <c r="A1290" s="41">
        <v>1617</v>
      </c>
      <c r="B1290" s="41" t="s">
        <v>4717</v>
      </c>
      <c r="E1290" s="41" t="s">
        <v>4715</v>
      </c>
      <c r="F1290" s="41" t="s">
        <v>53</v>
      </c>
      <c r="G1290" s="41" t="s">
        <v>43</v>
      </c>
      <c r="I1290" s="41" t="s">
        <v>194</v>
      </c>
      <c r="J1290" s="41" t="s">
        <v>295</v>
      </c>
      <c r="K1290" s="42"/>
      <c r="L1290" s="41" t="s">
        <v>4716</v>
      </c>
      <c r="M1290" s="41">
        <v>66</v>
      </c>
      <c r="N1290" s="41" t="s">
        <v>67</v>
      </c>
      <c r="O1290" s="41" t="s">
        <v>1151</v>
      </c>
      <c r="P1290" s="41" t="s">
        <v>334</v>
      </c>
      <c r="Q1290" s="41" t="s">
        <v>4481</v>
      </c>
      <c r="R1290" s="41" t="s">
        <v>132</v>
      </c>
      <c r="S1290" s="41" t="s">
        <v>40</v>
      </c>
      <c r="T1290" s="41" t="s">
        <v>40</v>
      </c>
      <c r="U1290" s="41" t="s">
        <v>40</v>
      </c>
    </row>
    <row r="1291" spans="1:21">
      <c r="A1291" s="41">
        <v>1616</v>
      </c>
      <c r="B1291" s="41" t="s">
        <v>4712</v>
      </c>
      <c r="E1291" s="41" t="s">
        <v>1035</v>
      </c>
      <c r="F1291" s="41" t="s">
        <v>42</v>
      </c>
      <c r="G1291" s="41" t="s">
        <v>43</v>
      </c>
      <c r="I1291" s="41" t="s">
        <v>45</v>
      </c>
      <c r="J1291" s="41" t="s">
        <v>32</v>
      </c>
      <c r="K1291" s="42"/>
      <c r="L1291" s="41" t="s">
        <v>4713</v>
      </c>
      <c r="M1291" s="41">
        <v>220</v>
      </c>
      <c r="N1291" s="41" t="s">
        <v>1193</v>
      </c>
      <c r="O1291" s="41" t="s">
        <v>97</v>
      </c>
      <c r="P1291" s="41" t="s">
        <v>179</v>
      </c>
      <c r="Q1291" s="41" t="s">
        <v>538</v>
      </c>
      <c r="R1291" s="41" t="s">
        <v>39</v>
      </c>
      <c r="S1291" s="41" t="s">
        <v>40</v>
      </c>
      <c r="T1291" s="41" t="s">
        <v>40</v>
      </c>
      <c r="U1291" s="41" t="s">
        <v>40</v>
      </c>
    </row>
    <row r="1292" spans="1:21">
      <c r="A1292" s="41">
        <v>1615</v>
      </c>
      <c r="B1292" s="41" t="s">
        <v>4718</v>
      </c>
      <c r="D1292" s="41">
        <v>4390</v>
      </c>
      <c r="E1292" s="41" t="s">
        <v>1035</v>
      </c>
      <c r="F1292" s="41" t="s">
        <v>42</v>
      </c>
      <c r="G1292" s="41" t="s">
        <v>121</v>
      </c>
      <c r="I1292" s="41" t="s">
        <v>1480</v>
      </c>
      <c r="J1292" s="41" t="s">
        <v>32</v>
      </c>
      <c r="K1292" s="42"/>
      <c r="L1292" s="41" t="s">
        <v>4719</v>
      </c>
      <c r="M1292" s="41">
        <v>33</v>
      </c>
      <c r="N1292" s="41" t="s">
        <v>1039</v>
      </c>
      <c r="O1292" s="41" t="s">
        <v>97</v>
      </c>
      <c r="P1292" s="41" t="s">
        <v>179</v>
      </c>
      <c r="Q1292" s="41" t="s">
        <v>538</v>
      </c>
      <c r="R1292" s="41" t="s">
        <v>39</v>
      </c>
      <c r="S1292" s="41" t="s">
        <v>40</v>
      </c>
      <c r="T1292" s="41" t="s">
        <v>4720</v>
      </c>
      <c r="U1292" s="41" t="s">
        <v>40</v>
      </c>
    </row>
    <row r="1293" spans="1:21">
      <c r="A1293" s="41">
        <v>1612</v>
      </c>
      <c r="B1293" s="41" t="s">
        <v>4721</v>
      </c>
      <c r="D1293" s="41">
        <v>4394</v>
      </c>
      <c r="E1293" s="41" t="s">
        <v>3666</v>
      </c>
      <c r="F1293" s="41" t="s">
        <v>53</v>
      </c>
      <c r="G1293" s="41" t="s">
        <v>64</v>
      </c>
      <c r="I1293" s="41" t="s">
        <v>966</v>
      </c>
      <c r="J1293" s="41" t="s">
        <v>32</v>
      </c>
      <c r="K1293" s="42"/>
      <c r="L1293" s="41" t="s">
        <v>4722</v>
      </c>
      <c r="M1293" s="41">
        <v>220</v>
      </c>
      <c r="N1293" s="41" t="s">
        <v>4723</v>
      </c>
      <c r="O1293" s="41" t="s">
        <v>2498</v>
      </c>
      <c r="P1293" s="41" t="s">
        <v>179</v>
      </c>
      <c r="Q1293" s="41" t="s">
        <v>1116</v>
      </c>
      <c r="R1293" s="41" t="s">
        <v>62</v>
      </c>
      <c r="S1293" s="41" t="s">
        <v>40</v>
      </c>
      <c r="T1293" s="41" t="s">
        <v>40</v>
      </c>
      <c r="U1293" s="41" t="s">
        <v>40</v>
      </c>
    </row>
    <row r="1294" spans="1:21">
      <c r="A1294" s="41">
        <v>1611</v>
      </c>
      <c r="B1294" s="41" t="s">
        <v>4724</v>
      </c>
      <c r="D1294" s="41">
        <v>4393</v>
      </c>
      <c r="E1294" s="41" t="s">
        <v>2675</v>
      </c>
      <c r="F1294" s="41" t="s">
        <v>53</v>
      </c>
      <c r="G1294" s="41" t="s">
        <v>64</v>
      </c>
      <c r="I1294" s="41" t="s">
        <v>4725</v>
      </c>
      <c r="J1294" s="41" t="s">
        <v>380</v>
      </c>
      <c r="K1294" s="42"/>
      <c r="L1294" s="41" t="s">
        <v>3952</v>
      </c>
      <c r="M1294" s="41">
        <v>220</v>
      </c>
      <c r="N1294" s="41" t="s">
        <v>151</v>
      </c>
      <c r="O1294" s="41" t="s">
        <v>4726</v>
      </c>
      <c r="P1294" s="41" t="s">
        <v>382</v>
      </c>
      <c r="Q1294" s="41" t="s">
        <v>3148</v>
      </c>
      <c r="R1294" s="41" t="s">
        <v>62</v>
      </c>
      <c r="S1294" s="41" t="s">
        <v>40</v>
      </c>
      <c r="T1294" s="41" t="s">
        <v>40</v>
      </c>
      <c r="U1294" s="41" t="s">
        <v>40</v>
      </c>
    </row>
    <row r="1295" spans="1:21">
      <c r="A1295" s="41">
        <v>1610</v>
      </c>
      <c r="B1295" s="41" t="s">
        <v>4727</v>
      </c>
      <c r="D1295" s="41">
        <v>4392</v>
      </c>
      <c r="E1295" s="41" t="s">
        <v>1286</v>
      </c>
      <c r="F1295" s="41" t="s">
        <v>53</v>
      </c>
      <c r="G1295" s="41" t="s">
        <v>54</v>
      </c>
      <c r="I1295" s="41" t="s">
        <v>4728</v>
      </c>
      <c r="J1295" s="41" t="s">
        <v>32</v>
      </c>
      <c r="K1295" s="42"/>
      <c r="L1295" s="41" t="s">
        <v>2451</v>
      </c>
      <c r="M1295" s="41">
        <v>500</v>
      </c>
      <c r="N1295" s="41" t="s">
        <v>805</v>
      </c>
      <c r="O1295" s="41" t="s">
        <v>4729</v>
      </c>
      <c r="P1295" s="41" t="s">
        <v>98</v>
      </c>
      <c r="Q1295" s="41" t="s">
        <v>116</v>
      </c>
      <c r="R1295" s="41" t="s">
        <v>62</v>
      </c>
      <c r="S1295" s="41" t="s">
        <v>40</v>
      </c>
      <c r="T1295" s="41" t="s">
        <v>40</v>
      </c>
      <c r="U1295" s="41" t="s">
        <v>40</v>
      </c>
    </row>
    <row r="1296" spans="1:21">
      <c r="A1296" s="41">
        <v>1609</v>
      </c>
      <c r="B1296" s="41" t="s">
        <v>4730</v>
      </c>
      <c r="D1296" s="41">
        <v>4391</v>
      </c>
      <c r="E1296" s="41" t="s">
        <v>2617</v>
      </c>
      <c r="F1296" s="41" t="s">
        <v>53</v>
      </c>
      <c r="G1296" s="41" t="s">
        <v>64</v>
      </c>
      <c r="I1296" s="41" t="s">
        <v>966</v>
      </c>
      <c r="J1296" s="41" t="s">
        <v>32</v>
      </c>
      <c r="K1296" s="42"/>
      <c r="L1296" s="41" t="s">
        <v>4731</v>
      </c>
      <c r="M1296" s="41">
        <v>110</v>
      </c>
      <c r="N1296" s="41" t="s">
        <v>67</v>
      </c>
      <c r="O1296" s="41" t="s">
        <v>2015</v>
      </c>
      <c r="P1296" s="41" t="s">
        <v>172</v>
      </c>
      <c r="Q1296" s="41" t="s">
        <v>197</v>
      </c>
      <c r="R1296" s="41" t="s">
        <v>132</v>
      </c>
      <c r="S1296" s="41" t="s">
        <v>40</v>
      </c>
      <c r="T1296" s="41" t="s">
        <v>40</v>
      </c>
      <c r="U1296" s="41" t="s">
        <v>40</v>
      </c>
    </row>
    <row r="1297" spans="1:21">
      <c r="A1297" s="41">
        <v>1608</v>
      </c>
      <c r="B1297" s="41" t="s">
        <v>4732</v>
      </c>
      <c r="D1297" s="41">
        <v>4389</v>
      </c>
      <c r="E1297" s="41" t="s">
        <v>4378</v>
      </c>
      <c r="F1297" s="41" t="s">
        <v>53</v>
      </c>
      <c r="G1297" s="41" t="s">
        <v>141</v>
      </c>
      <c r="I1297" s="41" t="s">
        <v>201</v>
      </c>
      <c r="J1297" s="41" t="s">
        <v>32</v>
      </c>
      <c r="K1297" s="42"/>
      <c r="L1297" s="41" t="s">
        <v>3074</v>
      </c>
      <c r="M1297" s="41">
        <v>500</v>
      </c>
      <c r="N1297" s="41" t="s">
        <v>790</v>
      </c>
      <c r="O1297" s="41" t="s">
        <v>4733</v>
      </c>
      <c r="P1297" s="41" t="s">
        <v>334</v>
      </c>
      <c r="Q1297" s="41" t="s">
        <v>2186</v>
      </c>
      <c r="R1297" s="41" t="s">
        <v>62</v>
      </c>
      <c r="S1297" s="41" t="s">
        <v>4734</v>
      </c>
      <c r="T1297" s="41" t="s">
        <v>146</v>
      </c>
      <c r="U1297" s="41" t="s">
        <v>40</v>
      </c>
    </row>
    <row r="1298" spans="1:21">
      <c r="A1298" s="41">
        <v>1607</v>
      </c>
      <c r="B1298" s="41" t="s">
        <v>4735</v>
      </c>
      <c r="D1298" s="41">
        <v>4388</v>
      </c>
      <c r="E1298" s="41" t="s">
        <v>1286</v>
      </c>
      <c r="F1298" s="41" t="s">
        <v>42</v>
      </c>
      <c r="G1298" s="41" t="s">
        <v>43</v>
      </c>
      <c r="I1298" s="41" t="s">
        <v>162</v>
      </c>
      <c r="J1298" s="41" t="s">
        <v>32</v>
      </c>
      <c r="K1298" s="42"/>
      <c r="L1298" s="41" t="s">
        <v>3175</v>
      </c>
      <c r="M1298" s="41">
        <v>33</v>
      </c>
      <c r="N1298" s="41" t="s">
        <v>2299</v>
      </c>
      <c r="O1298" s="41" t="s">
        <v>2299</v>
      </c>
      <c r="P1298" s="41" t="s">
        <v>98</v>
      </c>
      <c r="Q1298" s="41" t="s">
        <v>2300</v>
      </c>
      <c r="R1298" s="41" t="s">
        <v>39</v>
      </c>
      <c r="S1298" s="41" t="s">
        <v>40</v>
      </c>
      <c r="T1298" s="41" t="s">
        <v>4640</v>
      </c>
      <c r="U1298" s="41" t="s">
        <v>40</v>
      </c>
    </row>
    <row r="1299" spans="1:21">
      <c r="A1299" s="41">
        <v>1606</v>
      </c>
      <c r="B1299" s="41" t="s">
        <v>4736</v>
      </c>
      <c r="D1299" s="41">
        <v>4387</v>
      </c>
      <c r="E1299" s="41" t="s">
        <v>4737</v>
      </c>
      <c r="F1299" s="41" t="s">
        <v>53</v>
      </c>
      <c r="G1299" s="41" t="s">
        <v>760</v>
      </c>
      <c r="I1299" s="41" t="s">
        <v>464</v>
      </c>
      <c r="J1299" s="41" t="s">
        <v>295</v>
      </c>
      <c r="K1299" s="42"/>
      <c r="L1299" s="41" t="s">
        <v>4683</v>
      </c>
      <c r="M1299" s="41">
        <v>66</v>
      </c>
      <c r="N1299" s="41" t="s">
        <v>67</v>
      </c>
      <c r="O1299" s="41" t="s">
        <v>36</v>
      </c>
      <c r="P1299" s="41" t="s">
        <v>334</v>
      </c>
      <c r="Q1299" s="41" t="s">
        <v>4481</v>
      </c>
      <c r="R1299" s="41" t="s">
        <v>132</v>
      </c>
      <c r="S1299" s="41" t="s">
        <v>40</v>
      </c>
      <c r="T1299" s="41" t="s">
        <v>40</v>
      </c>
      <c r="U1299" s="41" t="s">
        <v>40</v>
      </c>
    </row>
    <row r="1300" spans="1:21">
      <c r="A1300" s="41">
        <v>1605</v>
      </c>
      <c r="B1300" s="41" t="s">
        <v>4736</v>
      </c>
      <c r="E1300" s="41" t="s">
        <v>4737</v>
      </c>
      <c r="F1300" s="41" t="s">
        <v>53</v>
      </c>
      <c r="G1300" s="41" t="s">
        <v>43</v>
      </c>
      <c r="I1300" s="41" t="s">
        <v>406</v>
      </c>
      <c r="J1300" s="41" t="s">
        <v>295</v>
      </c>
      <c r="K1300" s="42"/>
      <c r="L1300" s="41" t="s">
        <v>4738</v>
      </c>
      <c r="M1300" s="41">
        <v>66</v>
      </c>
      <c r="N1300" s="41" t="s">
        <v>36</v>
      </c>
      <c r="O1300" s="41" t="s">
        <v>36</v>
      </c>
      <c r="P1300" s="41" t="s">
        <v>334</v>
      </c>
      <c r="Q1300" s="41" t="s">
        <v>4481</v>
      </c>
      <c r="R1300" s="41" t="s">
        <v>132</v>
      </c>
      <c r="S1300" s="41" t="s">
        <v>40</v>
      </c>
      <c r="T1300" s="41" t="s">
        <v>40</v>
      </c>
      <c r="U1300" s="41" t="s">
        <v>40</v>
      </c>
    </row>
    <row r="1301" spans="1:21">
      <c r="A1301" s="41">
        <v>1604</v>
      </c>
      <c r="B1301" s="41" t="s">
        <v>4739</v>
      </c>
      <c r="D1301" s="41">
        <v>4385</v>
      </c>
      <c r="E1301" s="41" t="s">
        <v>3236</v>
      </c>
      <c r="F1301" s="41" t="s">
        <v>53</v>
      </c>
      <c r="G1301" s="41" t="s">
        <v>54</v>
      </c>
      <c r="I1301" s="41" t="s">
        <v>392</v>
      </c>
      <c r="J1301" s="41" t="s">
        <v>295</v>
      </c>
      <c r="K1301" s="42"/>
      <c r="L1301" s="41" t="s">
        <v>4740</v>
      </c>
      <c r="M1301" s="41">
        <v>220</v>
      </c>
      <c r="N1301" s="41" t="s">
        <v>1623</v>
      </c>
      <c r="O1301" s="41" t="s">
        <v>1827</v>
      </c>
      <c r="P1301" s="41" t="s">
        <v>172</v>
      </c>
      <c r="Q1301" s="41" t="s">
        <v>4030</v>
      </c>
      <c r="R1301" s="41" t="s">
        <v>62</v>
      </c>
      <c r="S1301" s="41" t="s">
        <v>40</v>
      </c>
      <c r="T1301" s="41" t="s">
        <v>40</v>
      </c>
      <c r="U1301" s="41" t="s">
        <v>40</v>
      </c>
    </row>
    <row r="1302" spans="1:21">
      <c r="A1302" s="41">
        <v>1603</v>
      </c>
      <c r="B1302" s="41" t="s">
        <v>4741</v>
      </c>
      <c r="D1302" s="41">
        <v>4386</v>
      </c>
      <c r="E1302" s="41" t="s">
        <v>3236</v>
      </c>
      <c r="F1302" s="41" t="s">
        <v>53</v>
      </c>
      <c r="G1302" s="41" t="s">
        <v>64</v>
      </c>
      <c r="I1302" s="41" t="s">
        <v>45</v>
      </c>
      <c r="J1302" s="41" t="s">
        <v>295</v>
      </c>
      <c r="K1302" s="42"/>
      <c r="L1302" s="41" t="s">
        <v>219</v>
      </c>
      <c r="M1302" s="41">
        <v>220</v>
      </c>
      <c r="N1302" s="41" t="s">
        <v>1908</v>
      </c>
      <c r="O1302" s="41" t="s">
        <v>396</v>
      </c>
      <c r="P1302" s="41" t="s">
        <v>172</v>
      </c>
      <c r="Q1302" s="41" t="s">
        <v>221</v>
      </c>
      <c r="R1302" s="41" t="s">
        <v>62</v>
      </c>
      <c r="S1302" s="41" t="s">
        <v>40</v>
      </c>
      <c r="T1302" s="41" t="s">
        <v>40</v>
      </c>
      <c r="U1302" s="41" t="s">
        <v>40</v>
      </c>
    </row>
    <row r="1303" spans="1:21">
      <c r="A1303" s="41">
        <v>1602</v>
      </c>
      <c r="B1303" s="41" t="s">
        <v>4742</v>
      </c>
      <c r="D1303" s="41">
        <v>4379</v>
      </c>
      <c r="E1303" s="41" t="s">
        <v>1569</v>
      </c>
      <c r="F1303" s="41" t="s">
        <v>53</v>
      </c>
      <c r="G1303" s="41" t="s">
        <v>141</v>
      </c>
      <c r="I1303" s="41" t="s">
        <v>4743</v>
      </c>
      <c r="J1303" s="41" t="s">
        <v>295</v>
      </c>
      <c r="K1303" s="42"/>
      <c r="L1303" s="41" t="s">
        <v>4584</v>
      </c>
      <c r="M1303" s="41">
        <v>220</v>
      </c>
      <c r="N1303" s="41" t="s">
        <v>36</v>
      </c>
      <c r="O1303" s="41" t="s">
        <v>2310</v>
      </c>
      <c r="P1303" s="41" t="s">
        <v>50</v>
      </c>
      <c r="Q1303" s="41" t="s">
        <v>51</v>
      </c>
      <c r="R1303" s="41" t="s">
        <v>62</v>
      </c>
      <c r="S1303" s="41" t="s">
        <v>4744</v>
      </c>
      <c r="T1303" s="41" t="s">
        <v>2690</v>
      </c>
      <c r="U1303" s="41" t="s">
        <v>40</v>
      </c>
    </row>
    <row r="1304" spans="1:21">
      <c r="A1304" s="41">
        <v>1601</v>
      </c>
      <c r="B1304" s="41" t="s">
        <v>4745</v>
      </c>
      <c r="D1304" s="41">
        <v>4375</v>
      </c>
      <c r="E1304" s="41" t="s">
        <v>4746</v>
      </c>
      <c r="F1304" s="41" t="s">
        <v>53</v>
      </c>
      <c r="G1304" s="41" t="s">
        <v>54</v>
      </c>
      <c r="I1304" s="41" t="s">
        <v>4747</v>
      </c>
      <c r="J1304" s="41" t="s">
        <v>380</v>
      </c>
      <c r="K1304" s="42"/>
      <c r="L1304" s="41" t="s">
        <v>4748</v>
      </c>
      <c r="M1304" s="41">
        <v>220</v>
      </c>
      <c r="N1304" s="41" t="s">
        <v>36</v>
      </c>
      <c r="O1304" s="41" t="s">
        <v>36</v>
      </c>
      <c r="P1304" s="41" t="s">
        <v>37</v>
      </c>
      <c r="Q1304" s="41" t="s">
        <v>1535</v>
      </c>
      <c r="R1304" s="41" t="s">
        <v>62</v>
      </c>
      <c r="S1304" s="41" t="s">
        <v>40</v>
      </c>
      <c r="T1304" s="41" t="s">
        <v>40</v>
      </c>
      <c r="U1304" s="41" t="s">
        <v>40</v>
      </c>
    </row>
    <row r="1305" spans="1:21">
      <c r="A1305" s="41">
        <v>1600</v>
      </c>
      <c r="B1305" s="41" t="s">
        <v>258</v>
      </c>
      <c r="D1305" s="41">
        <v>4384</v>
      </c>
      <c r="E1305" s="41" t="s">
        <v>27</v>
      </c>
      <c r="F1305" s="41" t="s">
        <v>53</v>
      </c>
      <c r="G1305" s="41" t="s">
        <v>141</v>
      </c>
      <c r="I1305" s="41" t="s">
        <v>56</v>
      </c>
      <c r="J1305" s="41" t="s">
        <v>32</v>
      </c>
      <c r="K1305" s="42"/>
      <c r="L1305" s="41" t="s">
        <v>261</v>
      </c>
      <c r="M1305" s="41">
        <v>220</v>
      </c>
      <c r="N1305" s="41" t="s">
        <v>262</v>
      </c>
      <c r="O1305" s="41" t="s">
        <v>263</v>
      </c>
      <c r="P1305" s="41" t="s">
        <v>37</v>
      </c>
      <c r="Q1305" s="41" t="s">
        <v>264</v>
      </c>
      <c r="R1305" s="41" t="s">
        <v>62</v>
      </c>
      <c r="S1305" s="41" t="s">
        <v>265</v>
      </c>
      <c r="T1305" s="41" t="s">
        <v>266</v>
      </c>
      <c r="U1305" s="41" t="s">
        <v>40</v>
      </c>
    </row>
    <row r="1306" spans="1:21">
      <c r="A1306" s="41">
        <v>1599</v>
      </c>
      <c r="B1306" s="41" t="s">
        <v>267</v>
      </c>
      <c r="D1306" s="41">
        <v>4378</v>
      </c>
      <c r="E1306" s="41" t="s">
        <v>27</v>
      </c>
      <c r="F1306" s="41" t="s">
        <v>53</v>
      </c>
      <c r="G1306" s="41" t="s">
        <v>64</v>
      </c>
      <c r="I1306" s="41" t="s">
        <v>56</v>
      </c>
      <c r="J1306" s="41" t="s">
        <v>32</v>
      </c>
      <c r="K1306" s="42"/>
      <c r="L1306" s="41" t="s">
        <v>269</v>
      </c>
      <c r="M1306" s="41">
        <v>220</v>
      </c>
      <c r="N1306" s="41" t="s">
        <v>270</v>
      </c>
      <c r="O1306" s="41" t="s">
        <v>271</v>
      </c>
      <c r="P1306" s="41" t="s">
        <v>37</v>
      </c>
      <c r="Q1306" s="41" t="s">
        <v>272</v>
      </c>
      <c r="R1306" s="41" t="s">
        <v>132</v>
      </c>
      <c r="S1306" s="41" t="s">
        <v>40</v>
      </c>
      <c r="T1306" s="41" t="s">
        <v>40</v>
      </c>
      <c r="U1306" s="41" t="s">
        <v>40</v>
      </c>
    </row>
    <row r="1307" spans="1:21">
      <c r="A1307" s="41">
        <v>1598</v>
      </c>
      <c r="B1307" s="41" t="s">
        <v>273</v>
      </c>
      <c r="D1307" s="41">
        <v>4381</v>
      </c>
      <c r="E1307" s="41" t="s">
        <v>27</v>
      </c>
      <c r="F1307" s="41" t="s">
        <v>53</v>
      </c>
      <c r="G1307" s="41" t="s">
        <v>54</v>
      </c>
      <c r="I1307" s="41" t="s">
        <v>56</v>
      </c>
      <c r="J1307" s="41" t="s">
        <v>32</v>
      </c>
      <c r="K1307" s="42"/>
      <c r="L1307" s="41" t="s">
        <v>275</v>
      </c>
      <c r="M1307" s="41">
        <v>220</v>
      </c>
      <c r="N1307" s="41" t="s">
        <v>276</v>
      </c>
      <c r="O1307" s="41" t="s">
        <v>277</v>
      </c>
      <c r="P1307" s="41" t="s">
        <v>78</v>
      </c>
      <c r="Q1307" s="41" t="s">
        <v>278</v>
      </c>
      <c r="R1307" s="41" t="s">
        <v>62</v>
      </c>
      <c r="S1307" s="41" t="s">
        <v>40</v>
      </c>
      <c r="T1307" s="41" t="s">
        <v>40</v>
      </c>
      <c r="U1307" s="41" t="s">
        <v>40</v>
      </c>
    </row>
    <row r="1308" spans="1:21">
      <c r="A1308" s="41">
        <v>1597</v>
      </c>
      <c r="B1308" s="41" t="s">
        <v>279</v>
      </c>
      <c r="D1308" s="41">
        <v>4382</v>
      </c>
      <c r="E1308" s="41" t="s">
        <v>27</v>
      </c>
      <c r="F1308" s="41" t="s">
        <v>53</v>
      </c>
      <c r="G1308" s="41" t="s">
        <v>188</v>
      </c>
      <c r="I1308" s="41" t="s">
        <v>162</v>
      </c>
      <c r="J1308" s="41" t="s">
        <v>32</v>
      </c>
      <c r="K1308" s="42"/>
      <c r="L1308" s="41" t="s">
        <v>281</v>
      </c>
      <c r="M1308" s="41">
        <v>220</v>
      </c>
      <c r="N1308" s="41" t="s">
        <v>282</v>
      </c>
      <c r="O1308" s="41" t="s">
        <v>283</v>
      </c>
      <c r="P1308" s="41" t="s">
        <v>179</v>
      </c>
      <c r="Q1308" s="41" t="s">
        <v>284</v>
      </c>
      <c r="R1308" s="41" t="s">
        <v>62</v>
      </c>
      <c r="S1308" s="41" t="s">
        <v>40</v>
      </c>
      <c r="T1308" s="41" t="s">
        <v>40</v>
      </c>
      <c r="U1308" s="41" t="s">
        <v>40</v>
      </c>
    </row>
    <row r="1309" spans="1:21">
      <c r="A1309" s="41">
        <v>1596</v>
      </c>
      <c r="B1309" s="41" t="s">
        <v>4749</v>
      </c>
      <c r="D1309" s="41">
        <v>4396</v>
      </c>
      <c r="E1309" s="41" t="s">
        <v>1028</v>
      </c>
      <c r="F1309" s="41" t="s">
        <v>53</v>
      </c>
      <c r="G1309" s="41" t="s">
        <v>141</v>
      </c>
      <c r="I1309" s="41" t="s">
        <v>392</v>
      </c>
      <c r="J1309" s="41" t="s">
        <v>32</v>
      </c>
      <c r="K1309" s="42"/>
      <c r="L1309" s="41" t="s">
        <v>618</v>
      </c>
      <c r="M1309" s="41">
        <v>220</v>
      </c>
      <c r="N1309" s="41" t="s">
        <v>340</v>
      </c>
      <c r="O1309" s="41" t="s">
        <v>1305</v>
      </c>
      <c r="P1309" s="41" t="s">
        <v>50</v>
      </c>
      <c r="Q1309" s="41" t="s">
        <v>51</v>
      </c>
      <c r="R1309" s="41" t="s">
        <v>62</v>
      </c>
      <c r="S1309" s="41" t="s">
        <v>4750</v>
      </c>
      <c r="T1309" s="41" t="s">
        <v>1500</v>
      </c>
      <c r="U1309" s="41" t="s">
        <v>40</v>
      </c>
    </row>
    <row r="1310" spans="1:21">
      <c r="A1310" s="41">
        <v>1595</v>
      </c>
      <c r="B1310" s="41" t="s">
        <v>4751</v>
      </c>
      <c r="D1310" s="41">
        <v>4380</v>
      </c>
      <c r="E1310" s="41" t="s">
        <v>4752</v>
      </c>
      <c r="F1310" s="41" t="s">
        <v>53</v>
      </c>
      <c r="G1310" s="41" t="s">
        <v>141</v>
      </c>
      <c r="I1310" s="41" t="s">
        <v>966</v>
      </c>
      <c r="J1310" s="41" t="s">
        <v>32</v>
      </c>
      <c r="K1310" s="42"/>
      <c r="L1310" s="41" t="s">
        <v>618</v>
      </c>
      <c r="M1310" s="41">
        <v>220</v>
      </c>
      <c r="N1310" s="41" t="s">
        <v>4753</v>
      </c>
      <c r="O1310" s="41" t="s">
        <v>4754</v>
      </c>
      <c r="P1310" s="41" t="s">
        <v>50</v>
      </c>
      <c r="Q1310" s="41" t="s">
        <v>51</v>
      </c>
      <c r="R1310" s="41" t="s">
        <v>62</v>
      </c>
      <c r="S1310" s="41" t="s">
        <v>4755</v>
      </c>
      <c r="T1310" s="41" t="s">
        <v>2101</v>
      </c>
      <c r="U1310" s="41" t="s">
        <v>40</v>
      </c>
    </row>
    <row r="1311" spans="1:21">
      <c r="A1311" s="41">
        <v>1594</v>
      </c>
      <c r="B1311" s="41" t="s">
        <v>4226</v>
      </c>
      <c r="D1311" s="41">
        <v>4383</v>
      </c>
      <c r="E1311" s="41" t="s">
        <v>1385</v>
      </c>
      <c r="F1311" s="41" t="s">
        <v>53</v>
      </c>
      <c r="G1311" s="41" t="s">
        <v>64</v>
      </c>
      <c r="I1311" s="41" t="s">
        <v>4756</v>
      </c>
      <c r="J1311" s="41" t="s">
        <v>380</v>
      </c>
      <c r="K1311" s="42"/>
      <c r="L1311" s="41" t="s">
        <v>269</v>
      </c>
      <c r="M1311" s="41">
        <v>220</v>
      </c>
      <c r="N1311" s="41" t="s">
        <v>1293</v>
      </c>
      <c r="O1311" s="41" t="s">
        <v>77</v>
      </c>
      <c r="P1311" s="41" t="s">
        <v>37</v>
      </c>
      <c r="Q1311" s="41" t="s">
        <v>1535</v>
      </c>
      <c r="R1311" s="41" t="s">
        <v>132</v>
      </c>
      <c r="S1311" s="41" t="s">
        <v>40</v>
      </c>
      <c r="T1311" s="41" t="s">
        <v>40</v>
      </c>
      <c r="U1311" s="41" t="s">
        <v>40</v>
      </c>
    </row>
    <row r="1312" spans="1:21">
      <c r="A1312" s="41">
        <v>1593</v>
      </c>
      <c r="B1312" s="41" t="s">
        <v>4757</v>
      </c>
      <c r="D1312" s="41">
        <v>4376</v>
      </c>
      <c r="E1312" s="41" t="s">
        <v>2953</v>
      </c>
      <c r="F1312" s="41" t="s">
        <v>53</v>
      </c>
      <c r="G1312" s="41" t="s">
        <v>54</v>
      </c>
      <c r="I1312" s="41" t="s">
        <v>392</v>
      </c>
      <c r="J1312" s="41" t="s">
        <v>380</v>
      </c>
      <c r="K1312" s="42"/>
      <c r="L1312" s="41" t="s">
        <v>4748</v>
      </c>
      <c r="M1312" s="41">
        <v>220</v>
      </c>
      <c r="N1312" s="41" t="s">
        <v>77</v>
      </c>
      <c r="O1312" s="41" t="s">
        <v>77</v>
      </c>
      <c r="P1312" s="41" t="s">
        <v>37</v>
      </c>
      <c r="Q1312" s="41" t="s">
        <v>4758</v>
      </c>
      <c r="R1312" s="41" t="s">
        <v>132</v>
      </c>
      <c r="S1312" s="41" t="s">
        <v>40</v>
      </c>
      <c r="T1312" s="41" t="s">
        <v>40</v>
      </c>
      <c r="U1312" s="41" t="s">
        <v>40</v>
      </c>
    </row>
    <row r="1313" spans="1:21">
      <c r="A1313" s="41">
        <v>1592</v>
      </c>
      <c r="B1313" s="41" t="s">
        <v>4759</v>
      </c>
      <c r="D1313" s="41">
        <v>4377</v>
      </c>
      <c r="E1313" s="41" t="s">
        <v>2675</v>
      </c>
      <c r="F1313" s="41" t="s">
        <v>53</v>
      </c>
      <c r="G1313" s="41" t="s">
        <v>141</v>
      </c>
      <c r="I1313" s="41" t="s">
        <v>4760</v>
      </c>
      <c r="J1313" s="41" t="s">
        <v>32</v>
      </c>
      <c r="K1313" s="42"/>
      <c r="L1313" s="41" t="s">
        <v>618</v>
      </c>
      <c r="M1313" s="41">
        <v>220</v>
      </c>
      <c r="N1313" s="41" t="s">
        <v>36</v>
      </c>
      <c r="O1313" s="41" t="s">
        <v>3045</v>
      </c>
      <c r="P1313" s="41" t="s">
        <v>50</v>
      </c>
      <c r="Q1313" s="41" t="s">
        <v>51</v>
      </c>
      <c r="R1313" s="41" t="s">
        <v>62</v>
      </c>
      <c r="S1313" s="41" t="s">
        <v>4755</v>
      </c>
      <c r="T1313" s="41" t="s">
        <v>2187</v>
      </c>
      <c r="U1313" s="41" t="s">
        <v>40</v>
      </c>
    </row>
    <row r="1314" spans="1:21">
      <c r="A1314" s="41">
        <v>1591</v>
      </c>
      <c r="B1314" s="41" t="s">
        <v>4761</v>
      </c>
      <c r="D1314" s="41">
        <v>4397</v>
      </c>
      <c r="E1314" s="41" t="s">
        <v>3931</v>
      </c>
      <c r="F1314" s="41" t="s">
        <v>53</v>
      </c>
      <c r="G1314" s="41" t="s">
        <v>127</v>
      </c>
      <c r="I1314" s="41" t="s">
        <v>338</v>
      </c>
      <c r="J1314" s="41" t="s">
        <v>32</v>
      </c>
      <c r="K1314" s="42"/>
      <c r="L1314" s="41" t="s">
        <v>618</v>
      </c>
      <c r="M1314" s="41">
        <v>220</v>
      </c>
      <c r="N1314" s="41" t="s">
        <v>395</v>
      </c>
      <c r="O1314" s="41" t="s">
        <v>3045</v>
      </c>
      <c r="P1314" s="41" t="s">
        <v>50</v>
      </c>
      <c r="Q1314" s="41" t="s">
        <v>51</v>
      </c>
      <c r="R1314" s="41" t="s">
        <v>62</v>
      </c>
      <c r="S1314" s="41" t="s">
        <v>40</v>
      </c>
      <c r="T1314" s="41" t="s">
        <v>40</v>
      </c>
      <c r="U1314" s="41" t="s">
        <v>40</v>
      </c>
    </row>
    <row r="1315" spans="1:21">
      <c r="A1315" s="41">
        <v>1590</v>
      </c>
      <c r="B1315" s="41" t="s">
        <v>4762</v>
      </c>
      <c r="D1315" s="41">
        <v>4374</v>
      </c>
      <c r="E1315" s="41" t="s">
        <v>4763</v>
      </c>
      <c r="F1315" s="41" t="s">
        <v>53</v>
      </c>
      <c r="G1315" s="41" t="s">
        <v>54</v>
      </c>
      <c r="I1315" s="41" t="s">
        <v>325</v>
      </c>
      <c r="J1315" s="41" t="s">
        <v>32</v>
      </c>
      <c r="K1315" s="42"/>
      <c r="L1315" s="41" t="s">
        <v>4764</v>
      </c>
      <c r="M1315" s="41">
        <v>66</v>
      </c>
      <c r="N1315" s="41" t="s">
        <v>67</v>
      </c>
      <c r="O1315" s="41" t="s">
        <v>466</v>
      </c>
      <c r="P1315" s="41" t="s">
        <v>60</v>
      </c>
      <c r="Q1315" s="41" t="s">
        <v>352</v>
      </c>
      <c r="R1315" s="41" t="s">
        <v>132</v>
      </c>
      <c r="S1315" s="41" t="s">
        <v>40</v>
      </c>
      <c r="T1315" s="41" t="s">
        <v>40</v>
      </c>
      <c r="U1315" s="41" t="s">
        <v>40</v>
      </c>
    </row>
    <row r="1316" spans="1:21">
      <c r="A1316" s="41">
        <v>1589</v>
      </c>
      <c r="B1316" s="41" t="s">
        <v>4717</v>
      </c>
      <c r="E1316" s="41" t="s">
        <v>4715</v>
      </c>
      <c r="F1316" s="41" t="s">
        <v>53</v>
      </c>
      <c r="G1316" s="41" t="s">
        <v>43</v>
      </c>
      <c r="I1316" s="41" t="s">
        <v>194</v>
      </c>
      <c r="J1316" s="41" t="s">
        <v>295</v>
      </c>
      <c r="K1316" s="42"/>
      <c r="L1316" s="41" t="s">
        <v>4683</v>
      </c>
      <c r="M1316" s="41">
        <v>66</v>
      </c>
      <c r="N1316" s="41" t="s">
        <v>67</v>
      </c>
      <c r="O1316" s="41" t="s">
        <v>1151</v>
      </c>
      <c r="P1316" s="41" t="s">
        <v>334</v>
      </c>
      <c r="Q1316" s="41" t="s">
        <v>4481</v>
      </c>
      <c r="R1316" s="41" t="s">
        <v>132</v>
      </c>
      <c r="S1316" s="41" t="s">
        <v>40</v>
      </c>
      <c r="T1316" s="41" t="s">
        <v>40</v>
      </c>
      <c r="U1316" s="41" t="s">
        <v>40</v>
      </c>
    </row>
    <row r="1317" spans="1:21">
      <c r="A1317" s="41">
        <v>1588</v>
      </c>
      <c r="B1317" s="41" t="s">
        <v>4742</v>
      </c>
      <c r="E1317" s="41" t="s">
        <v>4746</v>
      </c>
      <c r="F1317" s="41" t="s">
        <v>53</v>
      </c>
      <c r="G1317" s="41" t="s">
        <v>43</v>
      </c>
      <c r="I1317" s="41" t="s">
        <v>4743</v>
      </c>
      <c r="J1317" s="41" t="s">
        <v>295</v>
      </c>
      <c r="K1317" s="42"/>
      <c r="L1317" s="41" t="s">
        <v>4584</v>
      </c>
      <c r="M1317" s="41">
        <v>220</v>
      </c>
      <c r="N1317" s="41" t="s">
        <v>4765</v>
      </c>
      <c r="O1317" s="41" t="s">
        <v>36</v>
      </c>
      <c r="P1317" s="41" t="s">
        <v>50</v>
      </c>
      <c r="Q1317" s="41" t="s">
        <v>51</v>
      </c>
      <c r="R1317" s="41" t="s">
        <v>62</v>
      </c>
      <c r="S1317" s="41" t="s">
        <v>40</v>
      </c>
      <c r="T1317" s="41" t="s">
        <v>40</v>
      </c>
      <c r="U1317" s="41" t="s">
        <v>40</v>
      </c>
    </row>
    <row r="1318" spans="1:21">
      <c r="A1318" s="41">
        <v>1587</v>
      </c>
      <c r="B1318" s="41" t="s">
        <v>4745</v>
      </c>
      <c r="E1318" s="41" t="s">
        <v>4746</v>
      </c>
      <c r="F1318" s="41" t="s">
        <v>53</v>
      </c>
      <c r="G1318" s="41" t="s">
        <v>43</v>
      </c>
      <c r="I1318" s="41" t="s">
        <v>4747</v>
      </c>
      <c r="J1318" s="41" t="s">
        <v>380</v>
      </c>
      <c r="K1318" s="42"/>
      <c r="L1318" s="41" t="s">
        <v>4748</v>
      </c>
      <c r="M1318" s="41">
        <v>220</v>
      </c>
      <c r="N1318" s="41" t="s">
        <v>4766</v>
      </c>
      <c r="O1318" s="41" t="s">
        <v>36</v>
      </c>
      <c r="P1318" s="41" t="s">
        <v>37</v>
      </c>
      <c r="Q1318" s="41" t="s">
        <v>1535</v>
      </c>
      <c r="R1318" s="41" t="s">
        <v>62</v>
      </c>
      <c r="S1318" s="41" t="s">
        <v>40</v>
      </c>
      <c r="T1318" s="41" t="s">
        <v>40</v>
      </c>
      <c r="U1318" s="41" t="s">
        <v>40</v>
      </c>
    </row>
    <row r="1319" spans="1:21">
      <c r="A1319" s="41">
        <v>1586</v>
      </c>
      <c r="B1319" s="41" t="s">
        <v>4767</v>
      </c>
      <c r="D1319" s="41">
        <v>4373</v>
      </c>
      <c r="E1319" s="41" t="s">
        <v>1017</v>
      </c>
      <c r="F1319" s="41" t="s">
        <v>28</v>
      </c>
      <c r="G1319" s="41" t="s">
        <v>43</v>
      </c>
      <c r="I1319" s="41" t="s">
        <v>966</v>
      </c>
      <c r="J1319" s="41" t="s">
        <v>295</v>
      </c>
      <c r="K1319" s="42"/>
      <c r="L1319" s="41" t="s">
        <v>4768</v>
      </c>
      <c r="M1319" s="41">
        <v>220</v>
      </c>
      <c r="N1319" s="41" t="s">
        <v>1052</v>
      </c>
      <c r="O1319" s="41" t="s">
        <v>4769</v>
      </c>
      <c r="P1319" s="41" t="s">
        <v>334</v>
      </c>
      <c r="Q1319" s="41" t="s">
        <v>1021</v>
      </c>
      <c r="R1319" s="41" t="s">
        <v>39</v>
      </c>
      <c r="S1319" s="41" t="s">
        <v>4770</v>
      </c>
      <c r="T1319" s="41" t="s">
        <v>210</v>
      </c>
      <c r="U1319" s="41" t="s">
        <v>40</v>
      </c>
    </row>
    <row r="1320" spans="1:21">
      <c r="A1320" s="41">
        <v>1585</v>
      </c>
      <c r="B1320" s="41" t="s">
        <v>4771</v>
      </c>
      <c r="D1320" s="41">
        <v>4367</v>
      </c>
      <c r="E1320" s="41" t="s">
        <v>4772</v>
      </c>
      <c r="F1320" s="41" t="s">
        <v>42</v>
      </c>
      <c r="G1320" s="41" t="s">
        <v>141</v>
      </c>
      <c r="I1320" s="41" t="s">
        <v>3401</v>
      </c>
      <c r="J1320" s="41" t="s">
        <v>32</v>
      </c>
      <c r="K1320" s="42"/>
      <c r="L1320" s="41" t="s">
        <v>4773</v>
      </c>
      <c r="M1320" s="41">
        <v>220</v>
      </c>
      <c r="N1320" s="41" t="s">
        <v>59</v>
      </c>
      <c r="O1320" s="41" t="s">
        <v>36</v>
      </c>
      <c r="P1320" s="41" t="s">
        <v>153</v>
      </c>
      <c r="Q1320" s="41" t="s">
        <v>1865</v>
      </c>
      <c r="R1320" s="41" t="s">
        <v>39</v>
      </c>
      <c r="S1320" s="41" t="s">
        <v>40</v>
      </c>
      <c r="T1320" s="41" t="s">
        <v>2101</v>
      </c>
      <c r="U1320" s="41" t="s">
        <v>40</v>
      </c>
    </row>
    <row r="1321" spans="1:21">
      <c r="A1321" s="41">
        <v>1584</v>
      </c>
      <c r="B1321" s="41" t="s">
        <v>4774</v>
      </c>
      <c r="D1321" s="41">
        <v>4366</v>
      </c>
      <c r="E1321" s="41" t="s">
        <v>4775</v>
      </c>
      <c r="F1321" s="41" t="s">
        <v>28</v>
      </c>
      <c r="G1321" s="41" t="s">
        <v>43</v>
      </c>
      <c r="I1321" s="41" t="s">
        <v>2954</v>
      </c>
      <c r="J1321" s="41" t="s">
        <v>32</v>
      </c>
      <c r="K1321" s="42"/>
      <c r="L1321" s="41" t="s">
        <v>4776</v>
      </c>
      <c r="M1321" s="41">
        <v>220</v>
      </c>
      <c r="N1321" s="41" t="s">
        <v>67</v>
      </c>
      <c r="O1321" s="41" t="s">
        <v>36</v>
      </c>
      <c r="P1321" s="41" t="s">
        <v>179</v>
      </c>
      <c r="Q1321" s="41" t="s">
        <v>524</v>
      </c>
      <c r="R1321" s="41" t="s">
        <v>39</v>
      </c>
      <c r="S1321" s="41" t="s">
        <v>4777</v>
      </c>
      <c r="T1321" s="41" t="s">
        <v>1773</v>
      </c>
      <c r="U1321" s="41" t="s">
        <v>40</v>
      </c>
    </row>
    <row r="1322" spans="1:21">
      <c r="A1322" s="41">
        <v>1583</v>
      </c>
      <c r="B1322" s="41" t="s">
        <v>4778</v>
      </c>
      <c r="D1322" s="41">
        <v>4365</v>
      </c>
      <c r="E1322" s="41" t="s">
        <v>4779</v>
      </c>
      <c r="F1322" s="41" t="s">
        <v>28</v>
      </c>
      <c r="G1322" s="41" t="s">
        <v>64</v>
      </c>
      <c r="I1322" s="41" t="s">
        <v>406</v>
      </c>
      <c r="J1322" s="41" t="s">
        <v>32</v>
      </c>
      <c r="K1322" s="42"/>
      <c r="L1322" s="41" t="s">
        <v>4780</v>
      </c>
      <c r="M1322" s="41">
        <v>110</v>
      </c>
      <c r="N1322" s="41" t="s">
        <v>1596</v>
      </c>
      <c r="O1322" s="41" t="s">
        <v>747</v>
      </c>
      <c r="P1322" s="41" t="s">
        <v>179</v>
      </c>
      <c r="Q1322" s="41" t="s">
        <v>532</v>
      </c>
      <c r="R1322" s="41" t="s">
        <v>39</v>
      </c>
      <c r="S1322" s="41" t="s">
        <v>40</v>
      </c>
      <c r="T1322" s="41" t="s">
        <v>40</v>
      </c>
      <c r="U1322" s="41" t="s">
        <v>40</v>
      </c>
    </row>
    <row r="1323" spans="1:21">
      <c r="A1323" s="41">
        <v>1582</v>
      </c>
      <c r="B1323" s="41" t="s">
        <v>4781</v>
      </c>
      <c r="D1323" s="41">
        <v>4364</v>
      </c>
      <c r="E1323" s="41" t="s">
        <v>2196</v>
      </c>
      <c r="F1323" s="41" t="s">
        <v>42</v>
      </c>
      <c r="G1323" s="41" t="s">
        <v>121</v>
      </c>
      <c r="I1323" s="41" t="s">
        <v>994</v>
      </c>
      <c r="J1323" s="41" t="s">
        <v>32</v>
      </c>
      <c r="K1323" s="42"/>
      <c r="L1323" s="41" t="s">
        <v>4782</v>
      </c>
      <c r="M1323" s="41">
        <v>23</v>
      </c>
      <c r="N1323" s="41" t="s">
        <v>3167</v>
      </c>
      <c r="O1323" s="41" t="s">
        <v>2212</v>
      </c>
      <c r="P1323" s="41" t="s">
        <v>98</v>
      </c>
      <c r="Q1323" s="41" t="s">
        <v>116</v>
      </c>
      <c r="R1323" s="41" t="s">
        <v>39</v>
      </c>
      <c r="S1323" s="41" t="s">
        <v>40</v>
      </c>
      <c r="T1323" s="41" t="s">
        <v>205</v>
      </c>
      <c r="U1323" s="41" t="s">
        <v>40</v>
      </c>
    </row>
    <row r="1324" spans="1:21">
      <c r="A1324" s="41">
        <v>1580</v>
      </c>
      <c r="B1324" s="41" t="s">
        <v>4783</v>
      </c>
      <c r="D1324" s="41">
        <v>4363</v>
      </c>
      <c r="E1324" s="41" t="s">
        <v>3236</v>
      </c>
      <c r="F1324" s="41" t="s">
        <v>28</v>
      </c>
      <c r="G1324" s="41" t="s">
        <v>301</v>
      </c>
      <c r="I1324" s="41" t="s">
        <v>392</v>
      </c>
      <c r="J1324" s="41" t="s">
        <v>32</v>
      </c>
      <c r="K1324" s="42"/>
      <c r="L1324" s="41" t="s">
        <v>4784</v>
      </c>
      <c r="M1324" s="41">
        <v>220</v>
      </c>
      <c r="N1324" s="41" t="s">
        <v>1619</v>
      </c>
      <c r="O1324" s="41" t="s">
        <v>36</v>
      </c>
      <c r="P1324" s="41" t="s">
        <v>50</v>
      </c>
      <c r="Q1324" s="41" t="s">
        <v>51</v>
      </c>
      <c r="R1324" s="41" t="s">
        <v>39</v>
      </c>
      <c r="S1324" s="41" t="s">
        <v>4785</v>
      </c>
      <c r="T1324" s="41" t="s">
        <v>1796</v>
      </c>
      <c r="U1324" s="41" t="s">
        <v>40</v>
      </c>
    </row>
    <row r="1325" spans="1:21">
      <c r="A1325" s="41">
        <v>1579</v>
      </c>
      <c r="B1325" s="41" t="s">
        <v>4786</v>
      </c>
      <c r="D1325" s="41">
        <v>4362</v>
      </c>
      <c r="E1325" s="41" t="s">
        <v>2053</v>
      </c>
      <c r="F1325" s="41" t="s">
        <v>28</v>
      </c>
      <c r="G1325" s="41" t="s">
        <v>64</v>
      </c>
      <c r="I1325" s="41" t="s">
        <v>338</v>
      </c>
      <c r="J1325" s="41" t="s">
        <v>295</v>
      </c>
      <c r="K1325" s="42"/>
      <c r="L1325" s="41" t="s">
        <v>4787</v>
      </c>
      <c r="M1325" s="41">
        <v>220</v>
      </c>
      <c r="N1325" s="41" t="s">
        <v>1619</v>
      </c>
      <c r="O1325" s="41" t="s">
        <v>36</v>
      </c>
      <c r="P1325" s="41" t="s">
        <v>50</v>
      </c>
      <c r="Q1325" s="41" t="s">
        <v>51</v>
      </c>
      <c r="R1325" s="41" t="s">
        <v>39</v>
      </c>
      <c r="S1325" s="41" t="s">
        <v>40</v>
      </c>
      <c r="T1325" s="41" t="s">
        <v>40</v>
      </c>
      <c r="U1325" s="41" t="s">
        <v>40</v>
      </c>
    </row>
    <row r="1326" spans="1:21">
      <c r="A1326" s="41">
        <v>1578</v>
      </c>
      <c r="B1326" s="41" t="s">
        <v>4788</v>
      </c>
      <c r="D1326" s="41">
        <v>4361</v>
      </c>
      <c r="E1326" s="41" t="s">
        <v>4789</v>
      </c>
      <c r="F1326" s="41" t="s">
        <v>28</v>
      </c>
      <c r="G1326" s="41" t="s">
        <v>301</v>
      </c>
      <c r="I1326" s="41" t="s">
        <v>4790</v>
      </c>
      <c r="J1326" s="41" t="s">
        <v>380</v>
      </c>
      <c r="K1326" s="42"/>
      <c r="L1326" s="41" t="s">
        <v>4791</v>
      </c>
      <c r="M1326" s="41">
        <v>220</v>
      </c>
      <c r="N1326" s="41" t="s">
        <v>1578</v>
      </c>
      <c r="O1326" s="41" t="s">
        <v>4792</v>
      </c>
      <c r="P1326" s="41" t="s">
        <v>37</v>
      </c>
      <c r="Q1326" s="41" t="s">
        <v>1661</v>
      </c>
      <c r="R1326" s="41" t="s">
        <v>39</v>
      </c>
      <c r="S1326" s="41" t="s">
        <v>4793</v>
      </c>
      <c r="T1326" s="41" t="s">
        <v>210</v>
      </c>
      <c r="U1326" s="41" t="s">
        <v>40</v>
      </c>
    </row>
    <row r="1327" spans="1:21">
      <c r="A1327" s="41">
        <v>1577</v>
      </c>
      <c r="B1327" s="41" t="s">
        <v>4794</v>
      </c>
      <c r="D1327" s="41">
        <v>4360</v>
      </c>
      <c r="E1327" s="41" t="s">
        <v>1060</v>
      </c>
      <c r="F1327" s="41" t="s">
        <v>53</v>
      </c>
      <c r="G1327" s="41" t="s">
        <v>141</v>
      </c>
      <c r="I1327" s="41" t="s">
        <v>4743</v>
      </c>
      <c r="J1327" s="41" t="s">
        <v>32</v>
      </c>
      <c r="K1327" s="42"/>
      <c r="L1327" s="41" t="s">
        <v>4039</v>
      </c>
      <c r="M1327" s="41">
        <v>220</v>
      </c>
      <c r="N1327" s="41" t="s">
        <v>4655</v>
      </c>
      <c r="O1327" s="41" t="s">
        <v>1834</v>
      </c>
      <c r="P1327" s="41" t="s">
        <v>78</v>
      </c>
      <c r="Q1327" s="41" t="s">
        <v>1065</v>
      </c>
      <c r="R1327" s="41" t="s">
        <v>132</v>
      </c>
      <c r="S1327" s="41" t="s">
        <v>4795</v>
      </c>
      <c r="T1327" s="41" t="s">
        <v>2101</v>
      </c>
      <c r="U1327" s="41" t="s">
        <v>40</v>
      </c>
    </row>
    <row r="1328" spans="1:21">
      <c r="A1328" s="41">
        <v>1576</v>
      </c>
      <c r="B1328" s="41" t="s">
        <v>4788</v>
      </c>
      <c r="E1328" s="41" t="s">
        <v>4789</v>
      </c>
      <c r="F1328" s="41" t="s">
        <v>28</v>
      </c>
      <c r="G1328" s="41" t="s">
        <v>43</v>
      </c>
      <c r="I1328" s="41" t="s">
        <v>464</v>
      </c>
      <c r="J1328" s="41" t="s">
        <v>380</v>
      </c>
      <c r="K1328" s="42"/>
      <c r="L1328" s="41" t="s">
        <v>4796</v>
      </c>
      <c r="M1328" s="41">
        <v>220</v>
      </c>
      <c r="N1328" s="41" t="s">
        <v>1578</v>
      </c>
      <c r="O1328" s="41" t="s">
        <v>4797</v>
      </c>
      <c r="P1328" s="41" t="s">
        <v>37</v>
      </c>
      <c r="Q1328" s="41" t="s">
        <v>1661</v>
      </c>
      <c r="R1328" s="41" t="s">
        <v>39</v>
      </c>
      <c r="S1328" s="41" t="s">
        <v>40</v>
      </c>
      <c r="T1328" s="41" t="s">
        <v>40</v>
      </c>
      <c r="U1328" s="41" t="s">
        <v>40</v>
      </c>
    </row>
    <row r="1329" spans="1:21">
      <c r="A1329" s="41">
        <v>1575</v>
      </c>
      <c r="B1329" s="41" t="s">
        <v>4798</v>
      </c>
      <c r="D1329" s="41">
        <v>4359</v>
      </c>
      <c r="E1329" s="41" t="s">
        <v>1191</v>
      </c>
      <c r="F1329" s="41" t="s">
        <v>53</v>
      </c>
      <c r="G1329" s="41" t="s">
        <v>307</v>
      </c>
      <c r="I1329" s="41" t="s">
        <v>31</v>
      </c>
      <c r="J1329" s="41" t="s">
        <v>32</v>
      </c>
      <c r="K1329" s="42"/>
      <c r="L1329" s="41" t="s">
        <v>545</v>
      </c>
      <c r="M1329" s="41">
        <v>220</v>
      </c>
      <c r="N1329" s="41" t="s">
        <v>340</v>
      </c>
      <c r="O1329" s="41" t="s">
        <v>4799</v>
      </c>
      <c r="P1329" s="41" t="s">
        <v>546</v>
      </c>
      <c r="Q1329" s="41" t="s">
        <v>547</v>
      </c>
      <c r="R1329" s="41" t="s">
        <v>62</v>
      </c>
      <c r="S1329" s="41" t="s">
        <v>4800</v>
      </c>
      <c r="T1329" s="41" t="s">
        <v>604</v>
      </c>
      <c r="U1329" s="41" t="s">
        <v>40</v>
      </c>
    </row>
    <row r="1330" spans="1:21">
      <c r="A1330" s="41">
        <v>1574</v>
      </c>
      <c r="B1330" s="41" t="s">
        <v>4801</v>
      </c>
      <c r="D1330" s="41">
        <v>4344</v>
      </c>
      <c r="E1330" s="41" t="s">
        <v>1921</v>
      </c>
      <c r="F1330" s="41" t="s">
        <v>53</v>
      </c>
      <c r="G1330" s="41" t="s">
        <v>43</v>
      </c>
      <c r="I1330" s="41" t="s">
        <v>162</v>
      </c>
      <c r="J1330" s="41" t="s">
        <v>380</v>
      </c>
      <c r="K1330" s="42"/>
      <c r="L1330" s="41" t="s">
        <v>4020</v>
      </c>
      <c r="M1330" s="41">
        <v>220</v>
      </c>
      <c r="N1330" s="41" t="s">
        <v>59</v>
      </c>
      <c r="O1330" s="41" t="s">
        <v>1827</v>
      </c>
      <c r="P1330" s="41" t="s">
        <v>382</v>
      </c>
      <c r="Q1330" s="41" t="s">
        <v>4021</v>
      </c>
      <c r="R1330" s="41" t="s">
        <v>132</v>
      </c>
      <c r="S1330" s="41" t="s">
        <v>40</v>
      </c>
      <c r="T1330" s="41" t="s">
        <v>40</v>
      </c>
      <c r="U1330" s="41" t="s">
        <v>40</v>
      </c>
    </row>
    <row r="1331" spans="1:21">
      <c r="A1331" s="41">
        <v>1573</v>
      </c>
      <c r="B1331" s="41" t="s">
        <v>4802</v>
      </c>
      <c r="D1331" s="41">
        <v>4343</v>
      </c>
      <c r="E1331" s="41" t="s">
        <v>1091</v>
      </c>
      <c r="F1331" s="41" t="s">
        <v>53</v>
      </c>
      <c r="G1331" s="41" t="s">
        <v>307</v>
      </c>
      <c r="I1331" s="41" t="s">
        <v>1092</v>
      </c>
      <c r="J1331" s="41" t="s">
        <v>672</v>
      </c>
      <c r="K1331" s="42"/>
      <c r="L1331" s="41" t="s">
        <v>4803</v>
      </c>
      <c r="M1331" s="41">
        <v>12</v>
      </c>
      <c r="N1331" s="41" t="s">
        <v>4804</v>
      </c>
      <c r="O1331" s="41" t="s">
        <v>1261</v>
      </c>
      <c r="P1331" s="41" t="s">
        <v>68</v>
      </c>
      <c r="Q1331" s="41" t="s">
        <v>4805</v>
      </c>
      <c r="R1331" s="41" t="s">
        <v>132</v>
      </c>
      <c r="S1331" s="41" t="s">
        <v>4806</v>
      </c>
      <c r="T1331" s="41" t="s">
        <v>125</v>
      </c>
      <c r="U1331" s="41" t="s">
        <v>40</v>
      </c>
    </row>
    <row r="1332" spans="1:21">
      <c r="A1332" s="41">
        <v>1572</v>
      </c>
      <c r="B1332" s="41" t="s">
        <v>4807</v>
      </c>
      <c r="D1332" s="41">
        <v>4342</v>
      </c>
      <c r="E1332" s="41" t="s">
        <v>1435</v>
      </c>
      <c r="F1332" s="41" t="s">
        <v>53</v>
      </c>
      <c r="G1332" s="41" t="s">
        <v>64</v>
      </c>
      <c r="I1332" s="41" t="s">
        <v>2820</v>
      </c>
      <c r="J1332" s="41" t="s">
        <v>32</v>
      </c>
      <c r="K1332" s="42"/>
      <c r="L1332" s="41" t="s">
        <v>4808</v>
      </c>
      <c r="M1332" s="41">
        <v>23</v>
      </c>
      <c r="N1332" s="41" t="s">
        <v>290</v>
      </c>
      <c r="O1332" s="41" t="s">
        <v>290</v>
      </c>
      <c r="P1332" s="41" t="s">
        <v>179</v>
      </c>
      <c r="Q1332" s="41" t="s">
        <v>524</v>
      </c>
      <c r="R1332" s="41" t="s">
        <v>132</v>
      </c>
      <c r="S1332" s="41" t="s">
        <v>40</v>
      </c>
      <c r="T1332" s="41" t="s">
        <v>40</v>
      </c>
      <c r="U1332" s="41" t="s">
        <v>40</v>
      </c>
    </row>
    <row r="1333" spans="1:21">
      <c r="A1333" s="41">
        <v>1571</v>
      </c>
      <c r="B1333" s="41" t="s">
        <v>4809</v>
      </c>
      <c r="D1333" s="41">
        <v>4341</v>
      </c>
      <c r="E1333" s="41" t="s">
        <v>1882</v>
      </c>
      <c r="F1333" s="41" t="s">
        <v>53</v>
      </c>
      <c r="G1333" s="41" t="s">
        <v>141</v>
      </c>
      <c r="I1333" s="41" t="s">
        <v>4810</v>
      </c>
      <c r="J1333" s="41" t="s">
        <v>295</v>
      </c>
      <c r="K1333" s="42"/>
      <c r="L1333" s="41" t="s">
        <v>4731</v>
      </c>
      <c r="M1333" s="41">
        <v>110</v>
      </c>
      <c r="N1333" s="41" t="s">
        <v>67</v>
      </c>
      <c r="O1333" s="41" t="s">
        <v>747</v>
      </c>
      <c r="P1333" s="41" t="s">
        <v>172</v>
      </c>
      <c r="Q1333" s="41" t="s">
        <v>197</v>
      </c>
      <c r="R1333" s="41" t="s">
        <v>132</v>
      </c>
      <c r="S1333" s="41" t="s">
        <v>4811</v>
      </c>
      <c r="T1333" s="41" t="s">
        <v>2145</v>
      </c>
      <c r="U1333" s="41" t="s">
        <v>40</v>
      </c>
    </row>
    <row r="1334" spans="1:21">
      <c r="A1334" s="41">
        <v>1570</v>
      </c>
      <c r="B1334" s="41" t="s">
        <v>4812</v>
      </c>
      <c r="D1334" s="41">
        <v>4339</v>
      </c>
      <c r="E1334" s="41" t="s">
        <v>4813</v>
      </c>
      <c r="F1334" s="41" t="s">
        <v>53</v>
      </c>
      <c r="G1334" s="41" t="s">
        <v>307</v>
      </c>
      <c r="I1334" s="41" t="s">
        <v>999</v>
      </c>
      <c r="J1334" s="41" t="s">
        <v>672</v>
      </c>
      <c r="K1334" s="42"/>
      <c r="L1334" s="41" t="s">
        <v>4814</v>
      </c>
      <c r="M1334" s="41">
        <v>13</v>
      </c>
      <c r="N1334" s="41" t="s">
        <v>619</v>
      </c>
      <c r="O1334" s="41" t="s">
        <v>650</v>
      </c>
      <c r="P1334" s="41" t="s">
        <v>60</v>
      </c>
      <c r="Q1334" s="41" t="s">
        <v>1348</v>
      </c>
      <c r="R1334" s="41" t="s">
        <v>132</v>
      </c>
      <c r="S1334" s="41" t="s">
        <v>4815</v>
      </c>
      <c r="T1334" s="41" t="s">
        <v>4545</v>
      </c>
      <c r="U1334" s="41" t="s">
        <v>40</v>
      </c>
    </row>
    <row r="1335" spans="1:21">
      <c r="A1335" s="41">
        <v>1569</v>
      </c>
      <c r="B1335" s="41" t="s">
        <v>4816</v>
      </c>
      <c r="E1335" s="41" t="s">
        <v>4813</v>
      </c>
      <c r="F1335" s="41" t="s">
        <v>53</v>
      </c>
      <c r="G1335" s="41" t="s">
        <v>43</v>
      </c>
      <c r="I1335" s="41" t="s">
        <v>999</v>
      </c>
      <c r="J1335" s="41" t="s">
        <v>672</v>
      </c>
      <c r="K1335" s="42"/>
      <c r="L1335" s="41" t="s">
        <v>4814</v>
      </c>
      <c r="M1335" s="41">
        <v>13</v>
      </c>
      <c r="N1335" s="41" t="s">
        <v>2432</v>
      </c>
      <c r="O1335" s="41" t="s">
        <v>362</v>
      </c>
      <c r="P1335" s="41" t="s">
        <v>60</v>
      </c>
      <c r="Q1335" s="41" t="s">
        <v>1348</v>
      </c>
      <c r="R1335" s="41" t="s">
        <v>132</v>
      </c>
      <c r="S1335" s="41" t="s">
        <v>40</v>
      </c>
      <c r="T1335" s="41" t="s">
        <v>40</v>
      </c>
      <c r="U1335" s="41" t="s">
        <v>40</v>
      </c>
    </row>
    <row r="1336" spans="1:21">
      <c r="A1336" s="41">
        <v>1568</v>
      </c>
      <c r="B1336" s="41" t="s">
        <v>4817</v>
      </c>
      <c r="D1336" s="41">
        <v>4338</v>
      </c>
      <c r="E1336" s="41" t="s">
        <v>4818</v>
      </c>
      <c r="F1336" s="41" t="s">
        <v>28</v>
      </c>
      <c r="G1336" s="41" t="s">
        <v>64</v>
      </c>
      <c r="I1336" s="41" t="s">
        <v>45</v>
      </c>
      <c r="J1336" s="41" t="s">
        <v>32</v>
      </c>
      <c r="K1336" s="42"/>
      <c r="L1336" s="41" t="s">
        <v>4819</v>
      </c>
      <c r="M1336" s="41">
        <v>220</v>
      </c>
      <c r="N1336" s="41" t="s">
        <v>2517</v>
      </c>
      <c r="O1336" s="41" t="s">
        <v>2566</v>
      </c>
      <c r="P1336" s="41" t="s">
        <v>153</v>
      </c>
      <c r="Q1336" s="41" t="s">
        <v>1865</v>
      </c>
      <c r="R1336" s="41" t="s">
        <v>39</v>
      </c>
      <c r="S1336" s="41" t="s">
        <v>40</v>
      </c>
      <c r="T1336" s="41" t="s">
        <v>40</v>
      </c>
      <c r="U1336" s="41" t="s">
        <v>40</v>
      </c>
    </row>
    <row r="1337" spans="1:21">
      <c r="A1337" s="41">
        <v>1567</v>
      </c>
      <c r="B1337" s="41" t="s">
        <v>4820</v>
      </c>
      <c r="D1337" s="41">
        <v>4337</v>
      </c>
      <c r="E1337" s="41" t="s">
        <v>1091</v>
      </c>
      <c r="F1337" s="41" t="s">
        <v>53</v>
      </c>
      <c r="G1337" s="41" t="s">
        <v>307</v>
      </c>
      <c r="I1337" s="41" t="s">
        <v>1092</v>
      </c>
      <c r="J1337" s="41" t="s">
        <v>672</v>
      </c>
      <c r="K1337" s="42"/>
      <c r="L1337" s="41" t="s">
        <v>1390</v>
      </c>
      <c r="M1337" s="41">
        <v>12</v>
      </c>
      <c r="N1337" s="41" t="s">
        <v>4296</v>
      </c>
      <c r="O1337" s="41" t="s">
        <v>4302</v>
      </c>
      <c r="P1337" s="41" t="s">
        <v>68</v>
      </c>
      <c r="Q1337" s="41" t="s">
        <v>1393</v>
      </c>
      <c r="R1337" s="41" t="s">
        <v>132</v>
      </c>
      <c r="S1337" s="41" t="s">
        <v>4821</v>
      </c>
      <c r="T1337" s="41" t="s">
        <v>4822</v>
      </c>
      <c r="U1337" s="41" t="s">
        <v>40</v>
      </c>
    </row>
    <row r="1338" spans="1:21">
      <c r="A1338" s="41">
        <v>1566</v>
      </c>
      <c r="B1338" s="41" t="s">
        <v>4823</v>
      </c>
      <c r="D1338" s="41">
        <v>4324</v>
      </c>
      <c r="E1338" s="41" t="s">
        <v>1286</v>
      </c>
      <c r="F1338" s="41" t="s">
        <v>42</v>
      </c>
      <c r="G1338" s="41" t="s">
        <v>43</v>
      </c>
      <c r="I1338" s="41" t="s">
        <v>162</v>
      </c>
      <c r="J1338" s="41" t="s">
        <v>32</v>
      </c>
      <c r="K1338" s="42"/>
      <c r="L1338" s="41" t="s">
        <v>4150</v>
      </c>
      <c r="M1338" s="41">
        <v>33</v>
      </c>
      <c r="N1338" s="41" t="s">
        <v>4824</v>
      </c>
      <c r="O1338" s="41" t="s">
        <v>2299</v>
      </c>
      <c r="P1338" s="41" t="s">
        <v>98</v>
      </c>
      <c r="Q1338" s="41" t="s">
        <v>116</v>
      </c>
      <c r="R1338" s="41" t="s">
        <v>39</v>
      </c>
      <c r="S1338" s="41" t="s">
        <v>40</v>
      </c>
      <c r="T1338" s="41" t="s">
        <v>4720</v>
      </c>
      <c r="U1338" s="41" t="s">
        <v>40</v>
      </c>
    </row>
    <row r="1339" spans="1:21">
      <c r="A1339" s="41">
        <v>1565</v>
      </c>
      <c r="B1339" s="41" t="s">
        <v>4825</v>
      </c>
      <c r="D1339" s="41">
        <v>4323</v>
      </c>
      <c r="E1339" s="41" t="s">
        <v>1091</v>
      </c>
      <c r="F1339" s="41" t="s">
        <v>53</v>
      </c>
      <c r="G1339" s="41" t="s">
        <v>307</v>
      </c>
      <c r="I1339" s="41" t="s">
        <v>1092</v>
      </c>
      <c r="J1339" s="41" t="s">
        <v>672</v>
      </c>
      <c r="K1339" s="42"/>
      <c r="L1339" s="41" t="s">
        <v>1929</v>
      </c>
      <c r="M1339" s="41">
        <v>12</v>
      </c>
      <c r="N1339" s="41" t="s">
        <v>4826</v>
      </c>
      <c r="O1339" s="41" t="s">
        <v>4827</v>
      </c>
      <c r="P1339" s="41" t="s">
        <v>68</v>
      </c>
      <c r="Q1339" s="41" t="s">
        <v>1668</v>
      </c>
      <c r="R1339" s="41" t="s">
        <v>132</v>
      </c>
      <c r="S1339" s="41" t="s">
        <v>4828</v>
      </c>
      <c r="T1339" s="41" t="s">
        <v>706</v>
      </c>
      <c r="U1339" s="41" t="s">
        <v>40</v>
      </c>
    </row>
    <row r="1340" spans="1:21">
      <c r="A1340" s="41">
        <v>1564</v>
      </c>
      <c r="B1340" s="41" t="s">
        <v>4829</v>
      </c>
      <c r="D1340" s="41">
        <v>4322</v>
      </c>
      <c r="E1340" s="41" t="s">
        <v>2338</v>
      </c>
      <c r="F1340" s="41" t="s">
        <v>53</v>
      </c>
      <c r="G1340" s="41" t="s">
        <v>43</v>
      </c>
      <c r="I1340" s="41" t="s">
        <v>1142</v>
      </c>
      <c r="J1340" s="41" t="s">
        <v>380</v>
      </c>
      <c r="K1340" s="42"/>
      <c r="L1340" s="41" t="s">
        <v>4830</v>
      </c>
      <c r="M1340" s="41">
        <v>23</v>
      </c>
      <c r="N1340" s="41" t="s">
        <v>2432</v>
      </c>
      <c r="O1340" s="41" t="s">
        <v>2709</v>
      </c>
      <c r="P1340" s="41" t="s">
        <v>1046</v>
      </c>
      <c r="Q1340" s="41" t="s">
        <v>1110</v>
      </c>
      <c r="R1340" s="41" t="s">
        <v>132</v>
      </c>
      <c r="S1340" s="41" t="s">
        <v>40</v>
      </c>
      <c r="T1340" s="41" t="s">
        <v>40</v>
      </c>
      <c r="U1340" s="41" t="s">
        <v>40</v>
      </c>
    </row>
    <row r="1341" spans="1:21">
      <c r="A1341" s="41">
        <v>1563</v>
      </c>
      <c r="B1341" s="41" t="s">
        <v>4831</v>
      </c>
      <c r="D1341" s="41">
        <v>4277</v>
      </c>
      <c r="E1341" s="41" t="s">
        <v>4832</v>
      </c>
      <c r="F1341" s="41" t="s">
        <v>28</v>
      </c>
      <c r="G1341" s="41" t="s">
        <v>64</v>
      </c>
      <c r="I1341" s="41" t="s">
        <v>45</v>
      </c>
      <c r="J1341" s="41" t="s">
        <v>295</v>
      </c>
      <c r="K1341" s="42"/>
      <c r="L1341" s="41" t="s">
        <v>4833</v>
      </c>
      <c r="M1341" s="41">
        <v>220</v>
      </c>
      <c r="N1341" s="41" t="s">
        <v>1529</v>
      </c>
      <c r="O1341" s="41" t="s">
        <v>77</v>
      </c>
      <c r="P1341" s="41" t="s">
        <v>546</v>
      </c>
      <c r="Q1341" s="41" t="s">
        <v>2100</v>
      </c>
      <c r="R1341" s="41" t="s">
        <v>39</v>
      </c>
      <c r="S1341" s="41" t="s">
        <v>40</v>
      </c>
      <c r="T1341" s="41" t="s">
        <v>706</v>
      </c>
      <c r="U1341" s="41" t="s">
        <v>40</v>
      </c>
    </row>
    <row r="1342" spans="1:21">
      <c r="A1342" s="41">
        <v>1562</v>
      </c>
      <c r="B1342" s="41" t="s">
        <v>4834</v>
      </c>
      <c r="D1342" s="41">
        <v>4321</v>
      </c>
      <c r="E1342" s="41" t="s">
        <v>4835</v>
      </c>
      <c r="F1342" s="41" t="s">
        <v>53</v>
      </c>
      <c r="G1342" s="41" t="s">
        <v>127</v>
      </c>
      <c r="I1342" s="41" t="s">
        <v>4836</v>
      </c>
      <c r="J1342" s="41" t="s">
        <v>1906</v>
      </c>
      <c r="K1342" s="42"/>
      <c r="L1342" s="41" t="s">
        <v>3999</v>
      </c>
      <c r="M1342" s="41">
        <v>220</v>
      </c>
      <c r="N1342" s="41" t="s">
        <v>2895</v>
      </c>
      <c r="O1342" s="41" t="s">
        <v>271</v>
      </c>
      <c r="P1342" s="41" t="s">
        <v>37</v>
      </c>
      <c r="Q1342" s="41" t="s">
        <v>1661</v>
      </c>
      <c r="R1342" s="41" t="s">
        <v>62</v>
      </c>
      <c r="S1342" s="41" t="s">
        <v>40</v>
      </c>
      <c r="T1342" s="41" t="s">
        <v>40</v>
      </c>
      <c r="U1342" s="41" t="s">
        <v>40</v>
      </c>
    </row>
    <row r="1343" spans="1:21">
      <c r="A1343" s="41">
        <v>1558</v>
      </c>
      <c r="B1343" s="41" t="s">
        <v>4837</v>
      </c>
      <c r="D1343" s="41">
        <v>4317</v>
      </c>
      <c r="E1343" s="41" t="s">
        <v>4838</v>
      </c>
      <c r="F1343" s="41" t="s">
        <v>53</v>
      </c>
      <c r="G1343" s="41" t="s">
        <v>64</v>
      </c>
      <c r="I1343" s="41" t="s">
        <v>325</v>
      </c>
      <c r="J1343" s="41" t="s">
        <v>295</v>
      </c>
      <c r="K1343" s="42"/>
      <c r="L1343" s="41" t="s">
        <v>4839</v>
      </c>
      <c r="M1343" s="41">
        <v>110</v>
      </c>
      <c r="N1343" s="41" t="s">
        <v>67</v>
      </c>
      <c r="O1343" s="41" t="s">
        <v>747</v>
      </c>
      <c r="P1343" s="41" t="s">
        <v>78</v>
      </c>
      <c r="Q1343" s="41" t="s">
        <v>79</v>
      </c>
      <c r="R1343" s="41" t="s">
        <v>132</v>
      </c>
      <c r="S1343" s="41" t="s">
        <v>40</v>
      </c>
      <c r="T1343" s="41" t="s">
        <v>40</v>
      </c>
      <c r="U1343" s="41" t="s">
        <v>40</v>
      </c>
    </row>
    <row r="1344" spans="1:21">
      <c r="A1344" s="41">
        <v>1557</v>
      </c>
      <c r="B1344" s="41" t="s">
        <v>4840</v>
      </c>
      <c r="D1344" s="41">
        <v>4253</v>
      </c>
      <c r="E1344" s="41" t="s">
        <v>4361</v>
      </c>
      <c r="F1344" s="41" t="s">
        <v>42</v>
      </c>
      <c r="G1344" s="41" t="s">
        <v>43</v>
      </c>
      <c r="I1344" s="41" t="s">
        <v>4841</v>
      </c>
      <c r="J1344" s="41" t="s">
        <v>380</v>
      </c>
      <c r="K1344" s="42"/>
      <c r="L1344" s="41" t="s">
        <v>4842</v>
      </c>
      <c r="M1344" s="41">
        <v>33</v>
      </c>
      <c r="N1344" s="41" t="s">
        <v>35</v>
      </c>
      <c r="O1344" s="41" t="s">
        <v>36</v>
      </c>
      <c r="P1344" s="41" t="s">
        <v>37</v>
      </c>
      <c r="Q1344" s="41" t="s">
        <v>969</v>
      </c>
      <c r="R1344" s="41" t="s">
        <v>39</v>
      </c>
      <c r="S1344" s="41" t="s">
        <v>40</v>
      </c>
      <c r="T1344" s="41" t="s">
        <v>415</v>
      </c>
      <c r="U1344" s="41" t="s">
        <v>40</v>
      </c>
    </row>
    <row r="1345" spans="1:21">
      <c r="A1345" s="41">
        <v>1556</v>
      </c>
      <c r="B1345" s="41" t="s">
        <v>4843</v>
      </c>
      <c r="D1345" s="41">
        <v>4320</v>
      </c>
      <c r="E1345" s="41" t="s">
        <v>1368</v>
      </c>
      <c r="F1345" s="41" t="s">
        <v>42</v>
      </c>
      <c r="G1345" s="41" t="s">
        <v>121</v>
      </c>
      <c r="I1345" s="41" t="s">
        <v>1370</v>
      </c>
      <c r="J1345" s="41" t="s">
        <v>32</v>
      </c>
      <c r="K1345" s="42"/>
      <c r="L1345" s="41" t="s">
        <v>4844</v>
      </c>
      <c r="M1345" s="41">
        <v>220</v>
      </c>
      <c r="N1345" s="41" t="s">
        <v>4845</v>
      </c>
      <c r="O1345" s="41" t="s">
        <v>36</v>
      </c>
      <c r="P1345" s="41" t="s">
        <v>50</v>
      </c>
      <c r="Q1345" s="41" t="s">
        <v>51</v>
      </c>
      <c r="R1345" s="41" t="s">
        <v>39</v>
      </c>
      <c r="S1345" s="41" t="s">
        <v>40</v>
      </c>
      <c r="T1345" s="41" t="s">
        <v>3646</v>
      </c>
      <c r="U1345" s="41" t="s">
        <v>40</v>
      </c>
    </row>
    <row r="1346" spans="1:21">
      <c r="A1346" s="41">
        <v>1555</v>
      </c>
      <c r="B1346" s="41" t="s">
        <v>4846</v>
      </c>
      <c r="D1346" s="41">
        <v>4319</v>
      </c>
      <c r="E1346" s="41" t="s">
        <v>4746</v>
      </c>
      <c r="F1346" s="41" t="s">
        <v>28</v>
      </c>
      <c r="G1346" s="41" t="s">
        <v>64</v>
      </c>
      <c r="I1346" s="41" t="s">
        <v>1480</v>
      </c>
      <c r="J1346" s="41" t="s">
        <v>380</v>
      </c>
      <c r="K1346" s="42"/>
      <c r="L1346" s="41" t="s">
        <v>4847</v>
      </c>
      <c r="M1346" s="41">
        <v>220</v>
      </c>
      <c r="N1346" s="41" t="s">
        <v>36</v>
      </c>
      <c r="O1346" s="41" t="s">
        <v>36</v>
      </c>
      <c r="P1346" s="41" t="s">
        <v>37</v>
      </c>
      <c r="Q1346" s="41" t="s">
        <v>969</v>
      </c>
      <c r="R1346" s="41" t="s">
        <v>39</v>
      </c>
      <c r="S1346" s="41" t="s">
        <v>40</v>
      </c>
      <c r="T1346" s="41" t="s">
        <v>40</v>
      </c>
      <c r="U1346" s="41" t="s">
        <v>40</v>
      </c>
    </row>
    <row r="1347" spans="1:21">
      <c r="A1347" s="41">
        <v>1554</v>
      </c>
      <c r="B1347" s="41" t="s">
        <v>4848</v>
      </c>
      <c r="D1347" s="41">
        <v>4318</v>
      </c>
      <c r="E1347" s="41" t="s">
        <v>4849</v>
      </c>
      <c r="F1347" s="41" t="s">
        <v>53</v>
      </c>
      <c r="G1347" s="41" t="s">
        <v>141</v>
      </c>
      <c r="I1347" s="41" t="s">
        <v>194</v>
      </c>
      <c r="J1347" s="41" t="s">
        <v>380</v>
      </c>
      <c r="K1347" s="42"/>
      <c r="L1347" s="41" t="s">
        <v>4850</v>
      </c>
      <c r="M1347" s="41">
        <v>15</v>
      </c>
      <c r="N1347" s="41" t="s">
        <v>4851</v>
      </c>
      <c r="O1347" s="41" t="s">
        <v>402</v>
      </c>
      <c r="P1347" s="41" t="s">
        <v>37</v>
      </c>
      <c r="Q1347" s="41" t="s">
        <v>969</v>
      </c>
      <c r="R1347" s="41" t="s">
        <v>132</v>
      </c>
      <c r="S1347" s="41" t="s">
        <v>4852</v>
      </c>
      <c r="T1347" s="41" t="s">
        <v>2187</v>
      </c>
      <c r="U1347" s="41" t="s">
        <v>40</v>
      </c>
    </row>
    <row r="1348" spans="1:21">
      <c r="A1348" s="41">
        <v>1553</v>
      </c>
      <c r="B1348" s="41" t="s">
        <v>4853</v>
      </c>
      <c r="D1348" s="41">
        <v>4280</v>
      </c>
      <c r="E1348" s="41" t="s">
        <v>1291</v>
      </c>
      <c r="F1348" s="41" t="s">
        <v>53</v>
      </c>
      <c r="G1348" s="41" t="s">
        <v>141</v>
      </c>
      <c r="I1348" s="41" t="s">
        <v>4854</v>
      </c>
      <c r="J1348" s="41" t="s">
        <v>295</v>
      </c>
      <c r="K1348" s="42"/>
      <c r="L1348" s="41" t="s">
        <v>4855</v>
      </c>
      <c r="M1348" s="41">
        <v>500</v>
      </c>
      <c r="N1348" s="41" t="s">
        <v>1333</v>
      </c>
      <c r="O1348" s="41" t="s">
        <v>4856</v>
      </c>
      <c r="P1348" s="41" t="s">
        <v>179</v>
      </c>
      <c r="Q1348" s="41" t="s">
        <v>284</v>
      </c>
      <c r="R1348" s="41" t="s">
        <v>62</v>
      </c>
      <c r="S1348" s="41" t="s">
        <v>4857</v>
      </c>
      <c r="T1348" s="41" t="s">
        <v>2145</v>
      </c>
      <c r="U1348" s="41" t="s">
        <v>40</v>
      </c>
    </row>
    <row r="1349" spans="1:21">
      <c r="A1349" s="41">
        <v>1551</v>
      </c>
      <c r="B1349" s="41" t="s">
        <v>4858</v>
      </c>
      <c r="D1349" s="41">
        <v>4279</v>
      </c>
      <c r="E1349" s="41" t="s">
        <v>4859</v>
      </c>
      <c r="F1349" s="41" t="s">
        <v>28</v>
      </c>
      <c r="G1349" s="41" t="s">
        <v>64</v>
      </c>
      <c r="I1349" s="41" t="s">
        <v>194</v>
      </c>
      <c r="J1349" s="41" t="s">
        <v>295</v>
      </c>
      <c r="K1349" s="42"/>
      <c r="L1349" s="41" t="s">
        <v>4860</v>
      </c>
      <c r="M1349" s="41">
        <v>13</v>
      </c>
      <c r="N1349" s="41" t="s">
        <v>4861</v>
      </c>
      <c r="O1349" s="41" t="s">
        <v>4861</v>
      </c>
      <c r="P1349" s="41" t="s">
        <v>60</v>
      </c>
      <c r="Q1349" s="41" t="s">
        <v>1769</v>
      </c>
      <c r="R1349" s="41" t="s">
        <v>39</v>
      </c>
      <c r="S1349" s="41" t="s">
        <v>40</v>
      </c>
      <c r="T1349" s="41" t="s">
        <v>40</v>
      </c>
      <c r="U1349" s="41" t="s">
        <v>40</v>
      </c>
    </row>
    <row r="1350" spans="1:21">
      <c r="A1350" s="41">
        <v>1550</v>
      </c>
      <c r="B1350" s="41" t="s">
        <v>4862</v>
      </c>
      <c r="D1350" s="41">
        <v>4278</v>
      </c>
      <c r="E1350" s="41" t="s">
        <v>4746</v>
      </c>
      <c r="F1350" s="41" t="s">
        <v>28</v>
      </c>
      <c r="G1350" s="41" t="s">
        <v>64</v>
      </c>
      <c r="I1350" s="41" t="s">
        <v>4863</v>
      </c>
      <c r="J1350" s="41" t="s">
        <v>380</v>
      </c>
      <c r="K1350" s="42"/>
      <c r="L1350" s="41" t="s">
        <v>4864</v>
      </c>
      <c r="M1350" s="41">
        <v>220</v>
      </c>
      <c r="N1350" s="41" t="s">
        <v>36</v>
      </c>
      <c r="O1350" s="41" t="s">
        <v>36</v>
      </c>
      <c r="P1350" s="41" t="s">
        <v>37</v>
      </c>
      <c r="Q1350" s="41" t="s">
        <v>969</v>
      </c>
      <c r="R1350" s="41" t="s">
        <v>39</v>
      </c>
      <c r="S1350" s="41" t="s">
        <v>40</v>
      </c>
      <c r="T1350" s="41" t="s">
        <v>40</v>
      </c>
      <c r="U1350" s="41" t="s">
        <v>40</v>
      </c>
    </row>
    <row r="1351" spans="1:21">
      <c r="A1351" s="41">
        <v>1549</v>
      </c>
      <c r="B1351" s="41" t="s">
        <v>4865</v>
      </c>
      <c r="D1351" s="41">
        <v>4276</v>
      </c>
      <c r="E1351" s="41" t="s">
        <v>4866</v>
      </c>
      <c r="F1351" s="41" t="s">
        <v>42</v>
      </c>
      <c r="G1351" s="41" t="s">
        <v>121</v>
      </c>
      <c r="I1351" s="41" t="s">
        <v>392</v>
      </c>
      <c r="J1351" s="41" t="s">
        <v>32</v>
      </c>
      <c r="K1351" s="42"/>
      <c r="L1351" s="41" t="s">
        <v>4867</v>
      </c>
      <c r="M1351" s="41">
        <v>220</v>
      </c>
      <c r="N1351" s="41" t="s">
        <v>690</v>
      </c>
      <c r="O1351" s="41" t="s">
        <v>2566</v>
      </c>
      <c r="P1351" s="41" t="s">
        <v>98</v>
      </c>
      <c r="Q1351" s="41" t="s">
        <v>491</v>
      </c>
      <c r="R1351" s="41" t="s">
        <v>39</v>
      </c>
      <c r="S1351" s="41" t="s">
        <v>40</v>
      </c>
      <c r="T1351" s="41" t="s">
        <v>3646</v>
      </c>
      <c r="U1351" s="41" t="s">
        <v>40</v>
      </c>
    </row>
    <row r="1352" spans="1:21">
      <c r="A1352" s="41">
        <v>1548</v>
      </c>
      <c r="B1352" s="41" t="s">
        <v>4868</v>
      </c>
      <c r="D1352" s="41">
        <v>4275</v>
      </c>
      <c r="E1352" s="41" t="s">
        <v>1028</v>
      </c>
      <c r="F1352" s="41" t="s">
        <v>28</v>
      </c>
      <c r="G1352" s="41" t="s">
        <v>301</v>
      </c>
      <c r="I1352" s="41" t="s">
        <v>977</v>
      </c>
      <c r="J1352" s="41" t="s">
        <v>32</v>
      </c>
      <c r="K1352" s="42"/>
      <c r="L1352" s="41" t="s">
        <v>4869</v>
      </c>
      <c r="M1352" s="41">
        <v>66</v>
      </c>
      <c r="N1352" s="41" t="s">
        <v>4870</v>
      </c>
      <c r="O1352" s="41" t="s">
        <v>4871</v>
      </c>
      <c r="P1352" s="41" t="s">
        <v>153</v>
      </c>
      <c r="Q1352" s="41" t="s">
        <v>4872</v>
      </c>
      <c r="R1352" s="41" t="s">
        <v>39</v>
      </c>
      <c r="S1352" s="41" t="s">
        <v>4873</v>
      </c>
      <c r="T1352" s="41" t="s">
        <v>2539</v>
      </c>
      <c r="U1352" s="41" t="s">
        <v>40</v>
      </c>
    </row>
    <row r="1353" spans="1:21">
      <c r="A1353" s="41">
        <v>1547</v>
      </c>
      <c r="B1353" s="41" t="s">
        <v>4874</v>
      </c>
      <c r="D1353" s="41">
        <v>4273</v>
      </c>
      <c r="E1353" s="41" t="s">
        <v>4875</v>
      </c>
      <c r="F1353" s="41" t="s">
        <v>53</v>
      </c>
      <c r="G1353" s="41" t="s">
        <v>141</v>
      </c>
      <c r="I1353" s="41" t="s">
        <v>45</v>
      </c>
      <c r="J1353" s="41" t="s">
        <v>32</v>
      </c>
      <c r="K1353" s="42"/>
      <c r="L1353" s="41" t="s">
        <v>4876</v>
      </c>
      <c r="M1353" s="41">
        <v>220</v>
      </c>
      <c r="N1353" s="41" t="s">
        <v>2503</v>
      </c>
      <c r="O1353" s="41" t="s">
        <v>4877</v>
      </c>
      <c r="P1353" s="41" t="s">
        <v>68</v>
      </c>
      <c r="Q1353" s="41" t="s">
        <v>159</v>
      </c>
      <c r="R1353" s="41" t="s">
        <v>62</v>
      </c>
      <c r="S1353" s="41" t="s">
        <v>4878</v>
      </c>
      <c r="T1353" s="41" t="s">
        <v>1699</v>
      </c>
      <c r="U1353" s="41" t="s">
        <v>40</v>
      </c>
    </row>
    <row r="1354" spans="1:21">
      <c r="A1354" s="41">
        <v>1546</v>
      </c>
      <c r="B1354" s="41" t="s">
        <v>4879</v>
      </c>
      <c r="D1354" s="41">
        <v>4274</v>
      </c>
      <c r="E1354" s="41" t="s">
        <v>4880</v>
      </c>
      <c r="F1354" s="41" t="s">
        <v>53</v>
      </c>
      <c r="G1354" s="41" t="s">
        <v>141</v>
      </c>
      <c r="I1354" s="41" t="s">
        <v>45</v>
      </c>
      <c r="J1354" s="41" t="s">
        <v>32</v>
      </c>
      <c r="K1354" s="42"/>
      <c r="L1354" s="41" t="s">
        <v>4881</v>
      </c>
      <c r="M1354" s="41">
        <v>220</v>
      </c>
      <c r="N1354" s="41" t="s">
        <v>4882</v>
      </c>
      <c r="O1354" s="41" t="s">
        <v>4883</v>
      </c>
      <c r="P1354" s="41" t="s">
        <v>37</v>
      </c>
      <c r="Q1354" s="41" t="s">
        <v>38</v>
      </c>
      <c r="R1354" s="41" t="s">
        <v>62</v>
      </c>
      <c r="S1354" s="41" t="s">
        <v>4884</v>
      </c>
      <c r="T1354" s="41" t="s">
        <v>2512</v>
      </c>
      <c r="U1354" s="41" t="s">
        <v>40</v>
      </c>
    </row>
    <row r="1355" spans="1:21">
      <c r="A1355" s="41">
        <v>1545</v>
      </c>
      <c r="B1355" s="41" t="s">
        <v>4874</v>
      </c>
      <c r="E1355" s="41" t="s">
        <v>4586</v>
      </c>
      <c r="F1355" s="41" t="s">
        <v>53</v>
      </c>
      <c r="G1355" s="41" t="s">
        <v>43</v>
      </c>
      <c r="I1355" s="41" t="s">
        <v>45</v>
      </c>
      <c r="J1355" s="41" t="s">
        <v>32</v>
      </c>
      <c r="K1355" s="42"/>
      <c r="L1355" s="41" t="s">
        <v>4876</v>
      </c>
      <c r="M1355" s="41">
        <v>220</v>
      </c>
      <c r="N1355" s="41" t="s">
        <v>4885</v>
      </c>
      <c r="O1355" s="41" t="s">
        <v>4886</v>
      </c>
      <c r="P1355" s="41" t="s">
        <v>68</v>
      </c>
      <c r="Q1355" s="41" t="s">
        <v>159</v>
      </c>
      <c r="R1355" s="41" t="s">
        <v>62</v>
      </c>
      <c r="S1355" s="41" t="s">
        <v>40</v>
      </c>
      <c r="T1355" s="41" t="s">
        <v>40</v>
      </c>
      <c r="U1355" s="41" t="s">
        <v>40</v>
      </c>
    </row>
    <row r="1356" spans="1:21">
      <c r="A1356" s="41">
        <v>1544</v>
      </c>
      <c r="B1356" s="41" t="s">
        <v>4887</v>
      </c>
      <c r="D1356" s="41">
        <v>4257</v>
      </c>
      <c r="E1356" s="41" t="s">
        <v>1091</v>
      </c>
      <c r="F1356" s="41" t="s">
        <v>53</v>
      </c>
      <c r="G1356" s="41" t="s">
        <v>307</v>
      </c>
      <c r="I1356" s="41" t="s">
        <v>1092</v>
      </c>
      <c r="J1356" s="41" t="s">
        <v>672</v>
      </c>
      <c r="K1356" s="42"/>
      <c r="L1356" s="41" t="s">
        <v>1792</v>
      </c>
      <c r="M1356" s="41">
        <v>12</v>
      </c>
      <c r="N1356" s="41" t="s">
        <v>4296</v>
      </c>
      <c r="O1356" s="41" t="s">
        <v>4631</v>
      </c>
      <c r="P1356" s="41" t="s">
        <v>68</v>
      </c>
      <c r="Q1356" s="41" t="s">
        <v>1794</v>
      </c>
      <c r="R1356" s="41" t="s">
        <v>132</v>
      </c>
      <c r="S1356" s="41" t="s">
        <v>4888</v>
      </c>
      <c r="T1356" s="41" t="s">
        <v>455</v>
      </c>
      <c r="U1356" s="41" t="s">
        <v>40</v>
      </c>
    </row>
    <row r="1357" spans="1:21">
      <c r="A1357" s="41">
        <v>1543</v>
      </c>
      <c r="B1357" s="41" t="s">
        <v>4889</v>
      </c>
      <c r="D1357" s="41">
        <v>4251</v>
      </c>
      <c r="E1357" s="41" t="s">
        <v>3284</v>
      </c>
      <c r="F1357" s="41" t="s">
        <v>53</v>
      </c>
      <c r="G1357" s="41" t="s">
        <v>141</v>
      </c>
      <c r="I1357" s="41" t="s">
        <v>162</v>
      </c>
      <c r="J1357" s="41" t="s">
        <v>295</v>
      </c>
      <c r="K1357" s="42"/>
      <c r="L1357" s="41" t="s">
        <v>4890</v>
      </c>
      <c r="M1357" s="41">
        <v>220</v>
      </c>
      <c r="N1357" s="41" t="s">
        <v>4891</v>
      </c>
      <c r="O1357" s="41" t="s">
        <v>4892</v>
      </c>
      <c r="P1357" s="41" t="s">
        <v>153</v>
      </c>
      <c r="Q1357" s="41" t="s">
        <v>329</v>
      </c>
      <c r="R1357" s="41" t="s">
        <v>132</v>
      </c>
      <c r="S1357" s="41" t="s">
        <v>4893</v>
      </c>
      <c r="T1357" s="41" t="s">
        <v>1500</v>
      </c>
      <c r="U1357" s="41" t="s">
        <v>40</v>
      </c>
    </row>
    <row r="1358" spans="1:21">
      <c r="A1358" s="41">
        <v>1542</v>
      </c>
      <c r="B1358" s="41" t="s">
        <v>4894</v>
      </c>
      <c r="D1358" s="41">
        <v>4256</v>
      </c>
      <c r="E1358" s="41" t="s">
        <v>1091</v>
      </c>
      <c r="F1358" s="41" t="s">
        <v>53</v>
      </c>
      <c r="G1358" s="41" t="s">
        <v>307</v>
      </c>
      <c r="I1358" s="41" t="s">
        <v>977</v>
      </c>
      <c r="J1358" s="41" t="s">
        <v>672</v>
      </c>
      <c r="K1358" s="42"/>
      <c r="L1358" s="41" t="s">
        <v>1265</v>
      </c>
      <c r="M1358" s="41">
        <v>23</v>
      </c>
      <c r="N1358" s="41" t="s">
        <v>4350</v>
      </c>
      <c r="O1358" s="41" t="s">
        <v>4895</v>
      </c>
      <c r="P1358" s="41" t="s">
        <v>68</v>
      </c>
      <c r="Q1358" s="41" t="s">
        <v>1268</v>
      </c>
      <c r="R1358" s="41" t="s">
        <v>132</v>
      </c>
      <c r="S1358" s="41" t="s">
        <v>4896</v>
      </c>
      <c r="T1358" s="41" t="s">
        <v>706</v>
      </c>
      <c r="U1358" s="41" t="s">
        <v>40</v>
      </c>
    </row>
    <row r="1359" spans="1:21">
      <c r="A1359" s="41">
        <v>1541</v>
      </c>
      <c r="B1359" s="41" t="s">
        <v>4862</v>
      </c>
      <c r="D1359" s="41">
        <v>4255</v>
      </c>
      <c r="E1359" s="41" t="s">
        <v>4746</v>
      </c>
      <c r="F1359" s="41" t="s">
        <v>28</v>
      </c>
      <c r="G1359" s="41" t="s">
        <v>43</v>
      </c>
      <c r="I1359" s="41" t="s">
        <v>45</v>
      </c>
      <c r="J1359" s="41" t="s">
        <v>380</v>
      </c>
      <c r="K1359" s="42"/>
      <c r="L1359" s="41" t="s">
        <v>4897</v>
      </c>
      <c r="M1359" s="41">
        <v>220</v>
      </c>
      <c r="N1359" s="41" t="s">
        <v>18</v>
      </c>
      <c r="O1359" s="41" t="s">
        <v>36</v>
      </c>
      <c r="P1359" s="41" t="s">
        <v>37</v>
      </c>
      <c r="Q1359" s="41" t="s">
        <v>969</v>
      </c>
      <c r="R1359" s="41" t="s">
        <v>39</v>
      </c>
      <c r="S1359" s="41" t="s">
        <v>40</v>
      </c>
      <c r="T1359" s="41" t="s">
        <v>40</v>
      </c>
      <c r="U1359" s="41" t="s">
        <v>40</v>
      </c>
    </row>
    <row r="1360" spans="1:21">
      <c r="A1360" s="41">
        <v>1540</v>
      </c>
      <c r="B1360" s="41" t="s">
        <v>4846</v>
      </c>
      <c r="D1360" s="41">
        <v>4254</v>
      </c>
      <c r="E1360" s="41" t="s">
        <v>4746</v>
      </c>
      <c r="F1360" s="41" t="s">
        <v>28</v>
      </c>
      <c r="G1360" s="41" t="s">
        <v>43</v>
      </c>
      <c r="I1360" s="41" t="s">
        <v>45</v>
      </c>
      <c r="J1360" s="41" t="s">
        <v>380</v>
      </c>
      <c r="K1360" s="42"/>
      <c r="L1360" s="41" t="s">
        <v>4897</v>
      </c>
      <c r="M1360" s="41">
        <v>220</v>
      </c>
      <c r="N1360" s="41" t="s">
        <v>18</v>
      </c>
      <c r="O1360" s="41" t="s">
        <v>36</v>
      </c>
      <c r="P1360" s="41" t="s">
        <v>37</v>
      </c>
      <c r="Q1360" s="41" t="s">
        <v>969</v>
      </c>
      <c r="R1360" s="41" t="s">
        <v>39</v>
      </c>
      <c r="S1360" s="41" t="s">
        <v>40</v>
      </c>
      <c r="T1360" s="41" t="s">
        <v>40</v>
      </c>
      <c r="U1360" s="41" t="s">
        <v>40</v>
      </c>
    </row>
    <row r="1361" spans="1:21">
      <c r="A1361" s="41">
        <v>1539</v>
      </c>
      <c r="B1361" s="41" t="s">
        <v>4898</v>
      </c>
      <c r="D1361" s="41">
        <v>3207</v>
      </c>
      <c r="E1361" s="41" t="s">
        <v>1617</v>
      </c>
      <c r="F1361" s="41" t="s">
        <v>42</v>
      </c>
      <c r="G1361" s="41" t="s">
        <v>1197</v>
      </c>
      <c r="I1361" s="41" t="s">
        <v>2653</v>
      </c>
      <c r="J1361" s="41" t="s">
        <v>32</v>
      </c>
      <c r="K1361" s="42"/>
      <c r="L1361" s="41" t="s">
        <v>4899</v>
      </c>
      <c r="M1361" s="41">
        <v>11</v>
      </c>
      <c r="N1361" s="41" t="s">
        <v>67</v>
      </c>
      <c r="O1361" s="41" t="s">
        <v>97</v>
      </c>
      <c r="P1361" s="41" t="s">
        <v>179</v>
      </c>
      <c r="Q1361" s="41" t="s">
        <v>592</v>
      </c>
      <c r="R1361" s="41" t="s">
        <v>39</v>
      </c>
      <c r="S1361" s="41" t="s">
        <v>40</v>
      </c>
      <c r="T1361" s="41" t="s">
        <v>40</v>
      </c>
      <c r="U1361" s="41" t="s">
        <v>40</v>
      </c>
    </row>
    <row r="1362" spans="1:21">
      <c r="A1362" s="41">
        <v>1538</v>
      </c>
      <c r="B1362" s="41" t="s">
        <v>4900</v>
      </c>
      <c r="D1362" s="41">
        <v>4250</v>
      </c>
      <c r="E1362" s="41" t="s">
        <v>1091</v>
      </c>
      <c r="F1362" s="41" t="s">
        <v>53</v>
      </c>
      <c r="G1362" s="41" t="s">
        <v>307</v>
      </c>
      <c r="I1362" s="41" t="s">
        <v>977</v>
      </c>
      <c r="J1362" s="41" t="s">
        <v>672</v>
      </c>
      <c r="K1362" s="42"/>
      <c r="L1362" s="41" t="s">
        <v>1256</v>
      </c>
      <c r="M1362" s="41">
        <v>23</v>
      </c>
      <c r="N1362" s="41" t="s">
        <v>1257</v>
      </c>
      <c r="O1362" s="41" t="s">
        <v>2167</v>
      </c>
      <c r="P1362" s="41" t="s">
        <v>68</v>
      </c>
      <c r="Q1362" s="41" t="s">
        <v>677</v>
      </c>
      <c r="R1362" s="41" t="s">
        <v>132</v>
      </c>
      <c r="S1362" s="41" t="s">
        <v>4901</v>
      </c>
      <c r="T1362" s="41" t="s">
        <v>3491</v>
      </c>
      <c r="U1362" s="41" t="s">
        <v>40</v>
      </c>
    </row>
    <row r="1363" spans="1:21">
      <c r="A1363" s="41">
        <v>1537</v>
      </c>
      <c r="B1363" s="41" t="s">
        <v>4902</v>
      </c>
      <c r="D1363" s="41">
        <v>4249</v>
      </c>
      <c r="E1363" s="41" t="s">
        <v>1091</v>
      </c>
      <c r="F1363" s="41" t="s">
        <v>53</v>
      </c>
      <c r="G1363" s="41" t="s">
        <v>307</v>
      </c>
      <c r="I1363" s="41" t="s">
        <v>977</v>
      </c>
      <c r="J1363" s="41" t="s">
        <v>672</v>
      </c>
      <c r="K1363" s="42"/>
      <c r="L1363" s="41" t="s">
        <v>1674</v>
      </c>
      <c r="M1363" s="41">
        <v>23</v>
      </c>
      <c r="N1363" s="41" t="s">
        <v>2166</v>
      </c>
      <c r="O1363" s="41" t="s">
        <v>4903</v>
      </c>
      <c r="P1363" s="41" t="s">
        <v>68</v>
      </c>
      <c r="Q1363" s="41" t="s">
        <v>699</v>
      </c>
      <c r="R1363" s="41" t="s">
        <v>132</v>
      </c>
      <c r="S1363" s="41" t="s">
        <v>4904</v>
      </c>
      <c r="T1363" s="41" t="s">
        <v>770</v>
      </c>
      <c r="U1363" s="41" t="s">
        <v>40</v>
      </c>
    </row>
    <row r="1364" spans="1:21">
      <c r="A1364" s="41">
        <v>1536</v>
      </c>
      <c r="B1364" s="41" t="s">
        <v>4905</v>
      </c>
      <c r="D1364" s="41">
        <v>4235</v>
      </c>
      <c r="E1364" s="41" t="s">
        <v>4424</v>
      </c>
      <c r="F1364" s="41" t="s">
        <v>53</v>
      </c>
      <c r="G1364" s="41" t="s">
        <v>141</v>
      </c>
      <c r="I1364" s="41" t="s">
        <v>1018</v>
      </c>
      <c r="J1364" s="41" t="s">
        <v>380</v>
      </c>
      <c r="K1364" s="42"/>
      <c r="L1364" s="41" t="s">
        <v>3952</v>
      </c>
      <c r="M1364" s="41">
        <v>220</v>
      </c>
      <c r="N1364" s="41" t="s">
        <v>1629</v>
      </c>
      <c r="O1364" s="41" t="s">
        <v>345</v>
      </c>
      <c r="P1364" s="41" t="s">
        <v>382</v>
      </c>
      <c r="Q1364" s="41" t="s">
        <v>83</v>
      </c>
      <c r="R1364" s="41" t="s">
        <v>62</v>
      </c>
      <c r="S1364" s="41" t="s">
        <v>4906</v>
      </c>
      <c r="T1364" s="41" t="s">
        <v>2101</v>
      </c>
      <c r="U1364" s="41" t="s">
        <v>40</v>
      </c>
    </row>
    <row r="1365" spans="1:21">
      <c r="A1365" s="41">
        <v>1535</v>
      </c>
      <c r="B1365" s="41" t="s">
        <v>4907</v>
      </c>
      <c r="D1365" s="41">
        <v>4234</v>
      </c>
      <c r="E1365" s="41" t="s">
        <v>1091</v>
      </c>
      <c r="F1365" s="41" t="s">
        <v>53</v>
      </c>
      <c r="G1365" s="41" t="s">
        <v>307</v>
      </c>
      <c r="I1365" s="41" t="s">
        <v>1092</v>
      </c>
      <c r="J1365" s="41" t="s">
        <v>672</v>
      </c>
      <c r="K1365" s="42"/>
      <c r="L1365" s="41" t="s">
        <v>2160</v>
      </c>
      <c r="M1365" s="41">
        <v>12</v>
      </c>
      <c r="N1365" s="41" t="s">
        <v>4908</v>
      </c>
      <c r="O1365" s="41" t="s">
        <v>4302</v>
      </c>
      <c r="P1365" s="41" t="s">
        <v>68</v>
      </c>
      <c r="Q1365" s="41" t="s">
        <v>2163</v>
      </c>
      <c r="R1365" s="41" t="s">
        <v>132</v>
      </c>
      <c r="S1365" s="41" t="s">
        <v>4909</v>
      </c>
      <c r="T1365" s="41" t="s">
        <v>4822</v>
      </c>
      <c r="U1365" s="41" t="s">
        <v>40</v>
      </c>
    </row>
    <row r="1366" spans="1:21">
      <c r="A1366" s="41">
        <v>1534</v>
      </c>
      <c r="B1366" s="41" t="s">
        <v>4910</v>
      </c>
      <c r="D1366" s="41">
        <v>4233</v>
      </c>
      <c r="E1366" s="41" t="s">
        <v>4911</v>
      </c>
      <c r="F1366" s="41" t="s">
        <v>53</v>
      </c>
      <c r="G1366" s="41" t="s">
        <v>64</v>
      </c>
      <c r="I1366" s="41" t="s">
        <v>231</v>
      </c>
      <c r="J1366" s="41" t="s">
        <v>295</v>
      </c>
      <c r="K1366" s="42"/>
      <c r="L1366" s="41" t="s">
        <v>4912</v>
      </c>
      <c r="M1366" s="41">
        <v>66</v>
      </c>
      <c r="N1366" s="41" t="s">
        <v>776</v>
      </c>
      <c r="O1366" s="41" t="s">
        <v>482</v>
      </c>
      <c r="P1366" s="41" t="s">
        <v>78</v>
      </c>
      <c r="Q1366" s="41" t="s">
        <v>483</v>
      </c>
      <c r="R1366" s="41" t="s">
        <v>132</v>
      </c>
      <c r="S1366" s="41" t="s">
        <v>40</v>
      </c>
      <c r="T1366" s="41" t="s">
        <v>40</v>
      </c>
      <c r="U1366" s="41" t="s">
        <v>40</v>
      </c>
    </row>
    <row r="1367" spans="1:21">
      <c r="A1367" s="41">
        <v>1533</v>
      </c>
      <c r="B1367" s="41" t="s">
        <v>4913</v>
      </c>
      <c r="D1367" s="41">
        <v>4232</v>
      </c>
      <c r="E1367" s="41" t="s">
        <v>2639</v>
      </c>
      <c r="F1367" s="41" t="s">
        <v>53</v>
      </c>
      <c r="G1367" s="41" t="s">
        <v>141</v>
      </c>
      <c r="I1367" s="41" t="s">
        <v>135</v>
      </c>
      <c r="J1367" s="41" t="s">
        <v>380</v>
      </c>
      <c r="K1367" s="42"/>
      <c r="L1367" s="41" t="s">
        <v>4661</v>
      </c>
      <c r="M1367" s="41">
        <v>66</v>
      </c>
      <c r="N1367" s="41" t="s">
        <v>1596</v>
      </c>
      <c r="O1367" s="41" t="s">
        <v>4914</v>
      </c>
      <c r="P1367" s="41" t="s">
        <v>83</v>
      </c>
      <c r="Q1367" s="41" t="s">
        <v>467</v>
      </c>
      <c r="R1367" s="41" t="s">
        <v>132</v>
      </c>
      <c r="S1367" s="41" t="s">
        <v>4915</v>
      </c>
      <c r="T1367" s="41" t="s">
        <v>1699</v>
      </c>
      <c r="U1367" s="41" t="s">
        <v>40</v>
      </c>
    </row>
    <row r="1368" spans="1:21">
      <c r="A1368" s="41">
        <v>1532</v>
      </c>
      <c r="B1368" s="41" t="s">
        <v>4916</v>
      </c>
      <c r="D1368" s="41">
        <v>4215</v>
      </c>
      <c r="E1368" s="41" t="s">
        <v>4586</v>
      </c>
      <c r="F1368" s="41" t="s">
        <v>53</v>
      </c>
      <c r="G1368" s="41" t="s">
        <v>141</v>
      </c>
      <c r="I1368" s="41" t="s">
        <v>4583</v>
      </c>
      <c r="J1368" s="41" t="s">
        <v>32</v>
      </c>
      <c r="K1368" s="42"/>
      <c r="L1368" s="41" t="s">
        <v>1842</v>
      </c>
      <c r="M1368" s="41">
        <v>220</v>
      </c>
      <c r="N1368" s="41" t="s">
        <v>395</v>
      </c>
      <c r="O1368" s="41" t="s">
        <v>4585</v>
      </c>
      <c r="P1368" s="41" t="s">
        <v>179</v>
      </c>
      <c r="Q1368" s="41" t="s">
        <v>592</v>
      </c>
      <c r="R1368" s="41" t="s">
        <v>62</v>
      </c>
      <c r="S1368" s="41" t="s">
        <v>4917</v>
      </c>
      <c r="T1368" s="41" t="s">
        <v>779</v>
      </c>
      <c r="U1368" s="41" t="s">
        <v>40</v>
      </c>
    </row>
    <row r="1369" spans="1:21">
      <c r="A1369" s="41">
        <v>1531</v>
      </c>
      <c r="B1369" s="41" t="s">
        <v>4918</v>
      </c>
      <c r="D1369" s="41">
        <v>4214</v>
      </c>
      <c r="E1369" s="41" t="s">
        <v>1091</v>
      </c>
      <c r="F1369" s="41" t="s">
        <v>53</v>
      </c>
      <c r="G1369" s="41" t="s">
        <v>141</v>
      </c>
      <c r="I1369" s="41" t="s">
        <v>977</v>
      </c>
      <c r="J1369" s="41" t="s">
        <v>672</v>
      </c>
      <c r="K1369" s="42"/>
      <c r="L1369" s="41" t="s">
        <v>4919</v>
      </c>
      <c r="M1369" s="41">
        <v>23</v>
      </c>
      <c r="N1369" s="41" t="s">
        <v>4920</v>
      </c>
      <c r="O1369" s="41" t="s">
        <v>4921</v>
      </c>
      <c r="P1369" s="41" t="s">
        <v>68</v>
      </c>
      <c r="Q1369" s="41" t="s">
        <v>699</v>
      </c>
      <c r="R1369" s="41" t="s">
        <v>132</v>
      </c>
      <c r="S1369" s="41" t="s">
        <v>4922</v>
      </c>
      <c r="T1369" s="41" t="s">
        <v>2145</v>
      </c>
      <c r="U1369" s="41" t="s">
        <v>40</v>
      </c>
    </row>
    <row r="1370" spans="1:21">
      <c r="A1370" s="41">
        <v>1530</v>
      </c>
      <c r="B1370" s="41" t="s">
        <v>4923</v>
      </c>
      <c r="D1370" s="41">
        <v>4210</v>
      </c>
      <c r="E1370" s="41" t="s">
        <v>1091</v>
      </c>
      <c r="F1370" s="41" t="s">
        <v>53</v>
      </c>
      <c r="G1370" s="41" t="s">
        <v>141</v>
      </c>
      <c r="I1370" s="41" t="s">
        <v>977</v>
      </c>
      <c r="J1370" s="41" t="s">
        <v>672</v>
      </c>
      <c r="K1370" s="42"/>
      <c r="L1370" s="41" t="s">
        <v>4919</v>
      </c>
      <c r="M1370" s="41">
        <v>23</v>
      </c>
      <c r="N1370" s="41" t="s">
        <v>4920</v>
      </c>
      <c r="O1370" s="41" t="s">
        <v>4924</v>
      </c>
      <c r="P1370" s="41" t="s">
        <v>68</v>
      </c>
      <c r="Q1370" s="41" t="s">
        <v>699</v>
      </c>
      <c r="R1370" s="41" t="s">
        <v>132</v>
      </c>
      <c r="S1370" s="41" t="s">
        <v>4925</v>
      </c>
      <c r="T1370" s="41" t="s">
        <v>2690</v>
      </c>
      <c r="U1370" s="41" t="s">
        <v>40</v>
      </c>
    </row>
    <row r="1371" spans="1:21">
      <c r="A1371" s="41">
        <v>1529</v>
      </c>
      <c r="B1371" s="41" t="s">
        <v>4926</v>
      </c>
      <c r="D1371" s="41">
        <v>4209</v>
      </c>
      <c r="E1371" s="41" t="s">
        <v>1091</v>
      </c>
      <c r="F1371" s="41" t="s">
        <v>53</v>
      </c>
      <c r="G1371" s="41" t="s">
        <v>307</v>
      </c>
      <c r="I1371" s="41" t="s">
        <v>977</v>
      </c>
      <c r="J1371" s="41" t="s">
        <v>672</v>
      </c>
      <c r="K1371" s="42"/>
      <c r="L1371" s="41" t="s">
        <v>1256</v>
      </c>
      <c r="M1371" s="41">
        <v>23</v>
      </c>
      <c r="N1371" s="41" t="s">
        <v>4927</v>
      </c>
      <c r="O1371" s="41" t="s">
        <v>4903</v>
      </c>
      <c r="P1371" s="41" t="s">
        <v>68</v>
      </c>
      <c r="Q1371" s="41" t="s">
        <v>677</v>
      </c>
      <c r="R1371" s="41" t="s">
        <v>132</v>
      </c>
      <c r="S1371" s="41" t="s">
        <v>4928</v>
      </c>
      <c r="T1371" s="41" t="s">
        <v>770</v>
      </c>
      <c r="U1371" s="41" t="s">
        <v>40</v>
      </c>
    </row>
    <row r="1372" spans="1:21">
      <c r="A1372" s="41">
        <v>1528</v>
      </c>
      <c r="B1372" s="41" t="s">
        <v>4929</v>
      </c>
      <c r="D1372" s="41">
        <v>4208</v>
      </c>
      <c r="E1372" s="41" t="s">
        <v>3500</v>
      </c>
      <c r="F1372" s="41" t="s">
        <v>42</v>
      </c>
      <c r="G1372" s="41" t="s">
        <v>121</v>
      </c>
      <c r="I1372" s="41" t="s">
        <v>4930</v>
      </c>
      <c r="J1372" s="41" t="s">
        <v>672</v>
      </c>
      <c r="K1372" s="42"/>
      <c r="L1372" s="41" t="s">
        <v>4931</v>
      </c>
      <c r="M1372" s="41">
        <v>66</v>
      </c>
      <c r="N1372" s="41" t="s">
        <v>1052</v>
      </c>
      <c r="O1372" s="41" t="s">
        <v>482</v>
      </c>
      <c r="P1372" s="41" t="s">
        <v>50</v>
      </c>
      <c r="Q1372" s="41" t="s">
        <v>51</v>
      </c>
      <c r="R1372" s="41" t="s">
        <v>39</v>
      </c>
      <c r="S1372" s="41" t="s">
        <v>40</v>
      </c>
      <c r="T1372" s="41" t="s">
        <v>4640</v>
      </c>
      <c r="U1372" s="41" t="s">
        <v>40</v>
      </c>
    </row>
    <row r="1373" spans="1:21">
      <c r="A1373" s="41">
        <v>1527</v>
      </c>
      <c r="B1373" s="41" t="s">
        <v>4932</v>
      </c>
      <c r="D1373" s="41">
        <v>4207</v>
      </c>
      <c r="E1373" s="41" t="s">
        <v>4933</v>
      </c>
      <c r="F1373" s="41" t="s">
        <v>53</v>
      </c>
      <c r="G1373" s="41" t="s">
        <v>175</v>
      </c>
      <c r="I1373" s="41" t="s">
        <v>56</v>
      </c>
      <c r="J1373" s="41" t="s">
        <v>32</v>
      </c>
      <c r="K1373" s="42"/>
      <c r="L1373" s="41" t="s">
        <v>2013</v>
      </c>
      <c r="M1373" s="41">
        <v>110</v>
      </c>
      <c r="N1373" s="41" t="s">
        <v>1026</v>
      </c>
      <c r="O1373" s="41" t="s">
        <v>178</v>
      </c>
      <c r="P1373" s="41" t="s">
        <v>179</v>
      </c>
      <c r="Q1373" s="41" t="s">
        <v>524</v>
      </c>
      <c r="R1373" s="41" t="s">
        <v>39</v>
      </c>
      <c r="S1373" s="41" t="s">
        <v>40</v>
      </c>
      <c r="T1373" s="41" t="s">
        <v>40</v>
      </c>
      <c r="U1373" s="41" t="s">
        <v>40</v>
      </c>
    </row>
    <row r="1374" spans="1:21">
      <c r="A1374" s="41">
        <v>1526</v>
      </c>
      <c r="B1374" s="41" t="s">
        <v>4934</v>
      </c>
      <c r="D1374" s="41">
        <v>4176</v>
      </c>
      <c r="E1374" s="41" t="s">
        <v>1028</v>
      </c>
      <c r="F1374" s="41" t="s">
        <v>28</v>
      </c>
      <c r="G1374" s="41" t="s">
        <v>64</v>
      </c>
      <c r="I1374" s="41" t="s">
        <v>4930</v>
      </c>
      <c r="J1374" s="41" t="s">
        <v>32</v>
      </c>
      <c r="K1374" s="42"/>
      <c r="L1374" s="41" t="s">
        <v>4935</v>
      </c>
      <c r="M1374" s="41">
        <v>66</v>
      </c>
      <c r="N1374" s="41" t="s">
        <v>1030</v>
      </c>
      <c r="O1374" s="41" t="s">
        <v>1566</v>
      </c>
      <c r="P1374" s="41" t="s">
        <v>546</v>
      </c>
      <c r="Q1374" s="41" t="s">
        <v>2100</v>
      </c>
      <c r="R1374" s="41" t="s">
        <v>39</v>
      </c>
      <c r="S1374" s="41" t="s">
        <v>40</v>
      </c>
      <c r="T1374" s="41" t="s">
        <v>40</v>
      </c>
      <c r="U1374" s="41" t="s">
        <v>40</v>
      </c>
    </row>
    <row r="1375" spans="1:21">
      <c r="A1375" s="41">
        <v>1525</v>
      </c>
      <c r="B1375" s="41" t="s">
        <v>4936</v>
      </c>
      <c r="D1375" s="41">
        <v>4175</v>
      </c>
      <c r="E1375" s="41" t="s">
        <v>1028</v>
      </c>
      <c r="F1375" s="41" t="s">
        <v>28</v>
      </c>
      <c r="G1375" s="41" t="s">
        <v>301</v>
      </c>
      <c r="I1375" s="41" t="s">
        <v>1443</v>
      </c>
      <c r="J1375" s="41" t="s">
        <v>32</v>
      </c>
      <c r="K1375" s="42"/>
      <c r="L1375" s="41" t="s">
        <v>4937</v>
      </c>
      <c r="M1375" s="41">
        <v>110</v>
      </c>
      <c r="N1375" s="41" t="s">
        <v>1030</v>
      </c>
      <c r="O1375" s="41" t="s">
        <v>1566</v>
      </c>
      <c r="P1375" s="41" t="s">
        <v>153</v>
      </c>
      <c r="Q1375" s="41" t="s">
        <v>153</v>
      </c>
      <c r="R1375" s="41" t="s">
        <v>39</v>
      </c>
      <c r="S1375" s="41" t="s">
        <v>40</v>
      </c>
      <c r="T1375" s="41" t="s">
        <v>2539</v>
      </c>
      <c r="U1375" s="41" t="s">
        <v>40</v>
      </c>
    </row>
    <row r="1376" spans="1:21">
      <c r="A1376" s="41">
        <v>1524</v>
      </c>
      <c r="B1376" s="41" t="s">
        <v>4938</v>
      </c>
      <c r="D1376" s="41">
        <v>4174</v>
      </c>
      <c r="E1376" s="41" t="s">
        <v>1091</v>
      </c>
      <c r="F1376" s="41" t="s">
        <v>53</v>
      </c>
      <c r="G1376" s="41" t="s">
        <v>307</v>
      </c>
      <c r="I1376" s="41" t="s">
        <v>977</v>
      </c>
      <c r="J1376" s="41" t="s">
        <v>672</v>
      </c>
      <c r="K1376" s="42"/>
      <c r="L1376" s="41" t="s">
        <v>1674</v>
      </c>
      <c r="M1376" s="41">
        <v>23</v>
      </c>
      <c r="N1376" s="41" t="s">
        <v>4939</v>
      </c>
      <c r="O1376" s="41" t="s">
        <v>2167</v>
      </c>
      <c r="P1376" s="41" t="s">
        <v>68</v>
      </c>
      <c r="Q1376" s="41" t="s">
        <v>699</v>
      </c>
      <c r="R1376" s="41" t="s">
        <v>132</v>
      </c>
      <c r="S1376" s="41" t="s">
        <v>4940</v>
      </c>
      <c r="T1376" s="41" t="s">
        <v>3491</v>
      </c>
      <c r="U1376" s="41" t="s">
        <v>40</v>
      </c>
    </row>
    <row r="1377" spans="1:21">
      <c r="A1377" s="41">
        <v>1523</v>
      </c>
      <c r="B1377" s="41" t="s">
        <v>4641</v>
      </c>
      <c r="D1377" s="41">
        <v>4169</v>
      </c>
      <c r="E1377" s="41" t="s">
        <v>2735</v>
      </c>
      <c r="F1377" s="41" t="s">
        <v>53</v>
      </c>
      <c r="G1377" s="41" t="s">
        <v>64</v>
      </c>
      <c r="I1377" s="41" t="s">
        <v>1188</v>
      </c>
      <c r="J1377" s="41" t="s">
        <v>32</v>
      </c>
      <c r="K1377" s="42"/>
      <c r="L1377" s="41" t="s">
        <v>4366</v>
      </c>
      <c r="M1377" s="41">
        <v>220</v>
      </c>
      <c r="N1377" s="41" t="s">
        <v>1629</v>
      </c>
      <c r="O1377" s="41" t="s">
        <v>36</v>
      </c>
      <c r="P1377" s="41" t="s">
        <v>50</v>
      </c>
      <c r="Q1377" s="41" t="s">
        <v>51</v>
      </c>
      <c r="R1377" s="41" t="s">
        <v>62</v>
      </c>
      <c r="S1377" s="41" t="s">
        <v>40</v>
      </c>
      <c r="T1377" s="41" t="s">
        <v>40</v>
      </c>
      <c r="U1377" s="41" t="s">
        <v>40</v>
      </c>
    </row>
    <row r="1378" spans="1:21">
      <c r="A1378" s="41">
        <v>1522</v>
      </c>
      <c r="B1378" s="41" t="s">
        <v>4941</v>
      </c>
      <c r="D1378" s="41">
        <v>4173</v>
      </c>
      <c r="E1378" s="41" t="s">
        <v>1028</v>
      </c>
      <c r="F1378" s="41" t="s">
        <v>28</v>
      </c>
      <c r="G1378" s="41" t="s">
        <v>64</v>
      </c>
      <c r="I1378" s="41" t="s">
        <v>426</v>
      </c>
      <c r="J1378" s="41" t="s">
        <v>32</v>
      </c>
      <c r="K1378" s="42"/>
      <c r="L1378" s="41" t="s">
        <v>4942</v>
      </c>
      <c r="M1378" s="41">
        <v>110</v>
      </c>
      <c r="N1378" s="41" t="s">
        <v>2234</v>
      </c>
      <c r="O1378" s="41" t="s">
        <v>1566</v>
      </c>
      <c r="P1378" s="41" t="s">
        <v>179</v>
      </c>
      <c r="Q1378" s="41" t="s">
        <v>592</v>
      </c>
      <c r="R1378" s="41" t="s">
        <v>39</v>
      </c>
      <c r="S1378" s="41" t="s">
        <v>40</v>
      </c>
      <c r="T1378" s="41" t="s">
        <v>40</v>
      </c>
      <c r="U1378" s="41" t="s">
        <v>40</v>
      </c>
    </row>
    <row r="1379" spans="1:21">
      <c r="A1379" s="41">
        <v>1521</v>
      </c>
      <c r="B1379" s="41" t="s">
        <v>4941</v>
      </c>
      <c r="E1379" s="41" t="s">
        <v>4943</v>
      </c>
      <c r="F1379" s="41" t="s">
        <v>28</v>
      </c>
      <c r="G1379" s="41" t="s">
        <v>43</v>
      </c>
      <c r="I1379" s="41" t="s">
        <v>426</v>
      </c>
      <c r="J1379" s="41" t="s">
        <v>32</v>
      </c>
      <c r="K1379" s="42"/>
      <c r="L1379" s="41" t="s">
        <v>4944</v>
      </c>
      <c r="M1379" s="41">
        <v>110</v>
      </c>
      <c r="N1379" s="41" t="s">
        <v>2234</v>
      </c>
      <c r="O1379" s="41" t="s">
        <v>1566</v>
      </c>
      <c r="P1379" s="41" t="s">
        <v>179</v>
      </c>
      <c r="Q1379" s="41" t="s">
        <v>592</v>
      </c>
      <c r="R1379" s="41" t="s">
        <v>39</v>
      </c>
      <c r="S1379" s="41" t="s">
        <v>40</v>
      </c>
      <c r="T1379" s="41" t="s">
        <v>40</v>
      </c>
      <c r="U1379" s="41" t="s">
        <v>40</v>
      </c>
    </row>
    <row r="1380" spans="1:21">
      <c r="A1380" s="41">
        <v>1520</v>
      </c>
      <c r="B1380" s="41" t="s">
        <v>4945</v>
      </c>
      <c r="D1380" s="41">
        <v>4172</v>
      </c>
      <c r="E1380" s="41" t="s">
        <v>1028</v>
      </c>
      <c r="F1380" s="41" t="s">
        <v>28</v>
      </c>
      <c r="G1380" s="41" t="s">
        <v>64</v>
      </c>
      <c r="I1380" s="41" t="s">
        <v>1520</v>
      </c>
      <c r="J1380" s="41" t="s">
        <v>32</v>
      </c>
      <c r="K1380" s="42"/>
      <c r="L1380" s="41" t="s">
        <v>4946</v>
      </c>
      <c r="M1380" s="41">
        <v>110</v>
      </c>
      <c r="N1380" s="41" t="s">
        <v>1030</v>
      </c>
      <c r="O1380" s="41" t="s">
        <v>1566</v>
      </c>
      <c r="P1380" s="41" t="s">
        <v>153</v>
      </c>
      <c r="Q1380" s="41" t="s">
        <v>1280</v>
      </c>
      <c r="R1380" s="41" t="s">
        <v>39</v>
      </c>
      <c r="S1380" s="41" t="s">
        <v>40</v>
      </c>
      <c r="T1380" s="41" t="s">
        <v>40</v>
      </c>
      <c r="U1380" s="41" t="s">
        <v>40</v>
      </c>
    </row>
    <row r="1381" spans="1:21">
      <c r="A1381" s="41">
        <v>1519</v>
      </c>
      <c r="B1381" s="41" t="s">
        <v>4947</v>
      </c>
      <c r="D1381" s="41">
        <v>4171</v>
      </c>
      <c r="E1381" s="41" t="s">
        <v>1028</v>
      </c>
      <c r="F1381" s="41" t="s">
        <v>28</v>
      </c>
      <c r="G1381" s="41" t="s">
        <v>301</v>
      </c>
      <c r="I1381" s="41" t="s">
        <v>3468</v>
      </c>
      <c r="J1381" s="41" t="s">
        <v>32</v>
      </c>
      <c r="K1381" s="42"/>
      <c r="L1381" s="41" t="s">
        <v>4948</v>
      </c>
      <c r="M1381" s="41">
        <v>110</v>
      </c>
      <c r="N1381" s="41" t="s">
        <v>3440</v>
      </c>
      <c r="O1381" s="41" t="s">
        <v>1366</v>
      </c>
      <c r="P1381" s="41" t="s">
        <v>179</v>
      </c>
      <c r="Q1381" s="41" t="s">
        <v>592</v>
      </c>
      <c r="R1381" s="41" t="s">
        <v>39</v>
      </c>
      <c r="S1381" s="41" t="s">
        <v>4949</v>
      </c>
      <c r="T1381" s="41" t="s">
        <v>125</v>
      </c>
      <c r="U1381" s="41" t="s">
        <v>1699</v>
      </c>
    </row>
    <row r="1382" spans="1:21">
      <c r="A1382" s="41">
        <v>1518</v>
      </c>
      <c r="B1382" s="41" t="s">
        <v>4950</v>
      </c>
      <c r="D1382" s="41">
        <v>4170</v>
      </c>
      <c r="E1382" s="41" t="s">
        <v>1017</v>
      </c>
      <c r="F1382" s="41" t="s">
        <v>28</v>
      </c>
      <c r="G1382" s="41" t="s">
        <v>43</v>
      </c>
      <c r="I1382" s="41" t="s">
        <v>231</v>
      </c>
      <c r="J1382" s="41" t="s">
        <v>295</v>
      </c>
      <c r="K1382" s="42"/>
      <c r="L1382" s="41" t="s">
        <v>1019</v>
      </c>
      <c r="M1382" s="41">
        <v>220</v>
      </c>
      <c r="N1382" s="41" t="s">
        <v>1020</v>
      </c>
      <c r="O1382" s="41" t="s">
        <v>4951</v>
      </c>
      <c r="P1382" s="41" t="s">
        <v>334</v>
      </c>
      <c r="Q1382" s="41" t="s">
        <v>1021</v>
      </c>
      <c r="R1382" s="41" t="s">
        <v>39</v>
      </c>
      <c r="S1382" s="41" t="s">
        <v>4952</v>
      </c>
      <c r="T1382" s="41" t="s">
        <v>3646</v>
      </c>
      <c r="U1382" s="41" t="s">
        <v>40</v>
      </c>
    </row>
    <row r="1383" spans="1:21">
      <c r="A1383" s="41">
        <v>1517</v>
      </c>
      <c r="B1383" s="41" t="s">
        <v>4953</v>
      </c>
      <c r="D1383" s="41">
        <v>4168</v>
      </c>
      <c r="E1383" s="41" t="s">
        <v>1017</v>
      </c>
      <c r="F1383" s="41" t="s">
        <v>53</v>
      </c>
      <c r="G1383" s="41" t="s">
        <v>64</v>
      </c>
      <c r="I1383" s="41" t="s">
        <v>325</v>
      </c>
      <c r="J1383" s="41" t="s">
        <v>295</v>
      </c>
      <c r="K1383" s="42"/>
      <c r="L1383" s="41" t="s">
        <v>109</v>
      </c>
      <c r="M1383" s="41">
        <v>220</v>
      </c>
      <c r="N1383" s="41" t="s">
        <v>805</v>
      </c>
      <c r="O1383" s="41" t="s">
        <v>650</v>
      </c>
      <c r="P1383" s="41" t="s">
        <v>334</v>
      </c>
      <c r="Q1383" s="41" t="s">
        <v>2186</v>
      </c>
      <c r="R1383" s="41" t="s">
        <v>62</v>
      </c>
      <c r="S1383" s="41" t="s">
        <v>40</v>
      </c>
      <c r="T1383" s="41" t="s">
        <v>40</v>
      </c>
      <c r="U1383" s="41" t="s">
        <v>40</v>
      </c>
    </row>
    <row r="1384" spans="1:21">
      <c r="A1384" s="41">
        <v>1516</v>
      </c>
      <c r="B1384" s="41" t="s">
        <v>694</v>
      </c>
      <c r="C1384" s="41">
        <v>1</v>
      </c>
      <c r="D1384" s="41">
        <v>4167</v>
      </c>
      <c r="E1384" s="41" t="s">
        <v>686</v>
      </c>
      <c r="F1384" s="41" t="s">
        <v>53</v>
      </c>
      <c r="G1384" s="41" t="s">
        <v>141</v>
      </c>
      <c r="H1384" s="42">
        <v>45085</v>
      </c>
      <c r="I1384" s="41">
        <v>50</v>
      </c>
      <c r="J1384" s="41" t="s">
        <v>672</v>
      </c>
      <c r="K1384" s="42">
        <v>45843</v>
      </c>
      <c r="L1384" s="41" t="s">
        <v>696</v>
      </c>
      <c r="M1384" s="41">
        <v>220</v>
      </c>
      <c r="N1384" s="41" t="s">
        <v>756</v>
      </c>
      <c r="O1384" s="41" t="s">
        <v>757</v>
      </c>
      <c r="P1384" s="41" t="s">
        <v>68</v>
      </c>
      <c r="Q1384" s="41" t="s">
        <v>699</v>
      </c>
      <c r="R1384" s="41" t="s">
        <v>132</v>
      </c>
      <c r="S1384" s="41" t="s">
        <v>4954</v>
      </c>
      <c r="T1384" s="41" t="s">
        <v>186</v>
      </c>
      <c r="U1384" s="41" t="s">
        <v>40</v>
      </c>
    </row>
    <row r="1385" spans="1:21">
      <c r="A1385" s="41">
        <v>1515</v>
      </c>
      <c r="B1385" s="41" t="s">
        <v>4955</v>
      </c>
      <c r="D1385" s="41">
        <v>4166</v>
      </c>
      <c r="E1385" s="41" t="s">
        <v>4813</v>
      </c>
      <c r="F1385" s="41" t="s">
        <v>53</v>
      </c>
      <c r="G1385" s="41" t="s">
        <v>307</v>
      </c>
      <c r="I1385" s="41" t="s">
        <v>999</v>
      </c>
      <c r="J1385" s="41" t="s">
        <v>672</v>
      </c>
      <c r="K1385" s="42"/>
      <c r="L1385" s="41" t="s">
        <v>4956</v>
      </c>
      <c r="M1385" s="41">
        <v>13</v>
      </c>
      <c r="N1385" s="41" t="s">
        <v>4957</v>
      </c>
      <c r="O1385" s="41" t="s">
        <v>4958</v>
      </c>
      <c r="P1385" s="41" t="s">
        <v>60</v>
      </c>
      <c r="Q1385" s="41" t="s">
        <v>1348</v>
      </c>
      <c r="R1385" s="41" t="s">
        <v>132</v>
      </c>
      <c r="S1385" s="41" t="s">
        <v>4959</v>
      </c>
      <c r="T1385" s="41" t="s">
        <v>4545</v>
      </c>
      <c r="U1385" s="41" t="s">
        <v>40</v>
      </c>
    </row>
    <row r="1386" spans="1:21">
      <c r="A1386" s="41">
        <v>1514</v>
      </c>
      <c r="B1386" s="41" t="s">
        <v>4960</v>
      </c>
      <c r="D1386" s="41">
        <v>4165</v>
      </c>
      <c r="E1386" s="41" t="s">
        <v>2405</v>
      </c>
      <c r="F1386" s="41" t="s">
        <v>28</v>
      </c>
      <c r="G1386" s="41" t="s">
        <v>64</v>
      </c>
      <c r="I1386" s="41" t="s">
        <v>411</v>
      </c>
      <c r="J1386" s="41" t="s">
        <v>295</v>
      </c>
      <c r="K1386" s="42"/>
      <c r="L1386" s="41" t="s">
        <v>4961</v>
      </c>
      <c r="M1386" s="41">
        <v>110</v>
      </c>
      <c r="N1386" s="41" t="s">
        <v>962</v>
      </c>
      <c r="O1386" s="41" t="s">
        <v>77</v>
      </c>
      <c r="P1386" s="41" t="s">
        <v>78</v>
      </c>
      <c r="Q1386" s="41" t="s">
        <v>2407</v>
      </c>
      <c r="R1386" s="41" t="s">
        <v>39</v>
      </c>
      <c r="S1386" s="41" t="s">
        <v>4962</v>
      </c>
      <c r="T1386" s="41" t="s">
        <v>3646</v>
      </c>
      <c r="U1386" s="41" t="s">
        <v>40</v>
      </c>
    </row>
    <row r="1387" spans="1:21">
      <c r="A1387" s="41">
        <v>1507</v>
      </c>
      <c r="B1387" s="41" t="s">
        <v>4963</v>
      </c>
      <c r="D1387" s="41">
        <v>4150</v>
      </c>
      <c r="E1387" s="41" t="s">
        <v>2675</v>
      </c>
      <c r="F1387" s="41" t="s">
        <v>53</v>
      </c>
      <c r="G1387" s="41" t="s">
        <v>64</v>
      </c>
      <c r="I1387" s="41" t="s">
        <v>4964</v>
      </c>
      <c r="J1387" s="41" t="s">
        <v>32</v>
      </c>
      <c r="K1387" s="42"/>
      <c r="L1387" s="41" t="s">
        <v>4965</v>
      </c>
      <c r="M1387" s="41">
        <v>220</v>
      </c>
      <c r="N1387" s="41" t="s">
        <v>4966</v>
      </c>
      <c r="O1387" s="41" t="s">
        <v>452</v>
      </c>
      <c r="P1387" s="41" t="s">
        <v>50</v>
      </c>
      <c r="Q1387" s="41" t="s">
        <v>51</v>
      </c>
      <c r="R1387" s="41" t="s">
        <v>62</v>
      </c>
      <c r="S1387" s="41" t="s">
        <v>40</v>
      </c>
      <c r="T1387" s="41" t="s">
        <v>40</v>
      </c>
      <c r="U1387" s="41" t="s">
        <v>40</v>
      </c>
    </row>
    <row r="1388" spans="1:21">
      <c r="A1388" s="41">
        <v>1506</v>
      </c>
      <c r="B1388" s="41" t="s">
        <v>4967</v>
      </c>
      <c r="D1388" s="41">
        <v>4149</v>
      </c>
      <c r="E1388" s="41" t="s">
        <v>2426</v>
      </c>
      <c r="F1388" s="41" t="s">
        <v>53</v>
      </c>
      <c r="G1388" s="41" t="s">
        <v>64</v>
      </c>
      <c r="I1388" s="41" t="s">
        <v>325</v>
      </c>
      <c r="J1388" s="41" t="s">
        <v>295</v>
      </c>
      <c r="K1388" s="42"/>
      <c r="L1388" s="41" t="s">
        <v>4968</v>
      </c>
      <c r="M1388" s="41">
        <v>66</v>
      </c>
      <c r="N1388" s="41" t="s">
        <v>67</v>
      </c>
      <c r="O1388" s="41" t="s">
        <v>77</v>
      </c>
      <c r="P1388" s="41" t="s">
        <v>60</v>
      </c>
      <c r="Q1388" s="41" t="s">
        <v>419</v>
      </c>
      <c r="R1388" s="41" t="s">
        <v>62</v>
      </c>
      <c r="S1388" s="41" t="s">
        <v>40</v>
      </c>
      <c r="T1388" s="41" t="s">
        <v>40</v>
      </c>
      <c r="U1388" s="41" t="s">
        <v>40</v>
      </c>
    </row>
    <row r="1389" spans="1:21">
      <c r="A1389" s="41">
        <v>1505</v>
      </c>
      <c r="B1389" s="41" t="s">
        <v>4969</v>
      </c>
      <c r="D1389" s="41">
        <v>4148</v>
      </c>
      <c r="E1389" s="41" t="s">
        <v>1017</v>
      </c>
      <c r="F1389" s="41" t="s">
        <v>53</v>
      </c>
      <c r="G1389" s="41" t="s">
        <v>141</v>
      </c>
      <c r="I1389" s="41" t="s">
        <v>56</v>
      </c>
      <c r="J1389" s="41" t="s">
        <v>295</v>
      </c>
      <c r="K1389" s="42"/>
      <c r="L1389" s="41" t="s">
        <v>4970</v>
      </c>
      <c r="M1389" s="41">
        <v>66</v>
      </c>
      <c r="N1389" s="41" t="s">
        <v>4971</v>
      </c>
      <c r="O1389" s="41" t="s">
        <v>2721</v>
      </c>
      <c r="P1389" s="41" t="s">
        <v>60</v>
      </c>
      <c r="Q1389" s="41" t="s">
        <v>436</v>
      </c>
      <c r="R1389" s="41" t="s">
        <v>132</v>
      </c>
      <c r="S1389" s="41" t="s">
        <v>4972</v>
      </c>
      <c r="T1389" s="41" t="s">
        <v>1894</v>
      </c>
      <c r="U1389" s="41" t="s">
        <v>40</v>
      </c>
    </row>
    <row r="1390" spans="1:21">
      <c r="A1390" s="41">
        <v>1504</v>
      </c>
      <c r="B1390" s="41" t="s">
        <v>91</v>
      </c>
      <c r="D1390" s="41">
        <v>4147</v>
      </c>
      <c r="E1390" s="41" t="s">
        <v>1017</v>
      </c>
      <c r="F1390" s="41" t="s">
        <v>53</v>
      </c>
      <c r="G1390" s="41" t="s">
        <v>64</v>
      </c>
      <c r="I1390" s="41" t="s">
        <v>194</v>
      </c>
      <c r="J1390" s="41" t="s">
        <v>295</v>
      </c>
      <c r="K1390" s="42"/>
      <c r="L1390" s="41" t="s">
        <v>4973</v>
      </c>
      <c r="M1390" s="41">
        <v>13</v>
      </c>
      <c r="N1390" s="41" t="s">
        <v>4974</v>
      </c>
      <c r="O1390" s="41" t="s">
        <v>77</v>
      </c>
      <c r="P1390" s="41" t="s">
        <v>334</v>
      </c>
      <c r="Q1390" s="41" t="s">
        <v>2815</v>
      </c>
      <c r="R1390" s="41" t="s">
        <v>132</v>
      </c>
      <c r="S1390" s="41" t="s">
        <v>40</v>
      </c>
      <c r="T1390" s="41" t="s">
        <v>40</v>
      </c>
      <c r="U1390" s="41" t="s">
        <v>40</v>
      </c>
    </row>
    <row r="1391" spans="1:21">
      <c r="A1391" s="41">
        <v>1503</v>
      </c>
      <c r="B1391" s="41" t="s">
        <v>4975</v>
      </c>
      <c r="D1391" s="41">
        <v>4146</v>
      </c>
      <c r="E1391" s="41" t="s">
        <v>1555</v>
      </c>
      <c r="F1391" s="41" t="s">
        <v>28</v>
      </c>
      <c r="G1391" s="41" t="s">
        <v>43</v>
      </c>
      <c r="I1391" s="41" t="s">
        <v>3777</v>
      </c>
      <c r="J1391" s="41" t="s">
        <v>672</v>
      </c>
      <c r="K1391" s="42"/>
      <c r="L1391" s="41" t="s">
        <v>4976</v>
      </c>
      <c r="M1391" s="41">
        <v>220</v>
      </c>
      <c r="N1391" s="41" t="s">
        <v>4977</v>
      </c>
      <c r="O1391" s="41" t="s">
        <v>4978</v>
      </c>
      <c r="P1391" s="41" t="s">
        <v>179</v>
      </c>
      <c r="Q1391" s="41" t="s">
        <v>538</v>
      </c>
      <c r="R1391" s="41" t="s">
        <v>39</v>
      </c>
      <c r="S1391" s="41" t="s">
        <v>4979</v>
      </c>
      <c r="T1391" s="41" t="s">
        <v>4980</v>
      </c>
      <c r="U1391" s="41" t="s">
        <v>770</v>
      </c>
    </row>
    <row r="1392" spans="1:21">
      <c r="A1392" s="41">
        <v>1502</v>
      </c>
      <c r="B1392" s="41" t="s">
        <v>4981</v>
      </c>
      <c r="D1392" s="41">
        <v>4145</v>
      </c>
      <c r="E1392" s="41" t="s">
        <v>4982</v>
      </c>
      <c r="F1392" s="41" t="s">
        <v>53</v>
      </c>
      <c r="G1392" s="41" t="s">
        <v>307</v>
      </c>
      <c r="I1392" s="41" t="s">
        <v>1068</v>
      </c>
      <c r="J1392" s="41" t="s">
        <v>672</v>
      </c>
      <c r="K1392" s="42"/>
      <c r="L1392" s="41" t="s">
        <v>4983</v>
      </c>
      <c r="M1392" s="41">
        <v>13</v>
      </c>
      <c r="N1392" s="41" t="s">
        <v>1220</v>
      </c>
      <c r="O1392" s="41" t="s">
        <v>650</v>
      </c>
      <c r="P1392" s="41" t="s">
        <v>334</v>
      </c>
      <c r="Q1392" s="41" t="s">
        <v>4984</v>
      </c>
      <c r="R1392" s="41" t="s">
        <v>132</v>
      </c>
      <c r="S1392" s="41" t="s">
        <v>4985</v>
      </c>
      <c r="T1392" s="41" t="s">
        <v>706</v>
      </c>
      <c r="U1392" s="41" t="s">
        <v>40</v>
      </c>
    </row>
    <row r="1393" spans="1:21">
      <c r="A1393" s="41">
        <v>1501</v>
      </c>
      <c r="B1393" s="41" t="s">
        <v>4986</v>
      </c>
      <c r="D1393" s="41">
        <v>4144</v>
      </c>
      <c r="E1393" s="41" t="s">
        <v>4987</v>
      </c>
      <c r="F1393" s="41" t="s">
        <v>28</v>
      </c>
      <c r="G1393" s="41" t="s">
        <v>64</v>
      </c>
      <c r="I1393" s="41" t="s">
        <v>464</v>
      </c>
      <c r="J1393" s="41" t="s">
        <v>32</v>
      </c>
      <c r="K1393" s="42"/>
      <c r="L1393" s="41" t="s">
        <v>4988</v>
      </c>
      <c r="M1393" s="41">
        <v>110</v>
      </c>
      <c r="N1393" s="41" t="s">
        <v>1020</v>
      </c>
      <c r="O1393" s="41" t="s">
        <v>4989</v>
      </c>
      <c r="P1393" s="41" t="s">
        <v>179</v>
      </c>
      <c r="Q1393" s="41" t="s">
        <v>284</v>
      </c>
      <c r="R1393" s="41" t="s">
        <v>39</v>
      </c>
      <c r="S1393" s="41" t="s">
        <v>40</v>
      </c>
      <c r="T1393" s="41" t="s">
        <v>40</v>
      </c>
      <c r="U1393" s="41" t="s">
        <v>40</v>
      </c>
    </row>
    <row r="1394" spans="1:21">
      <c r="A1394" s="41">
        <v>1500</v>
      </c>
      <c r="B1394" s="41" t="s">
        <v>4990</v>
      </c>
      <c r="D1394" s="41">
        <v>4143</v>
      </c>
      <c r="E1394" s="41" t="s">
        <v>4991</v>
      </c>
      <c r="F1394" s="41" t="s">
        <v>28</v>
      </c>
      <c r="G1394" s="41" t="s">
        <v>43</v>
      </c>
      <c r="I1394" s="41" t="s">
        <v>4992</v>
      </c>
      <c r="J1394" s="41" t="s">
        <v>380</v>
      </c>
      <c r="K1394" s="42"/>
      <c r="L1394" s="41" t="s">
        <v>4993</v>
      </c>
      <c r="M1394" s="41">
        <v>220</v>
      </c>
      <c r="N1394" s="41" t="s">
        <v>1619</v>
      </c>
      <c r="O1394" s="41" t="s">
        <v>4994</v>
      </c>
      <c r="P1394" s="41" t="s">
        <v>179</v>
      </c>
      <c r="Q1394" s="41" t="s">
        <v>1116</v>
      </c>
      <c r="R1394" s="41" t="s">
        <v>39</v>
      </c>
      <c r="S1394" s="41" t="s">
        <v>40</v>
      </c>
      <c r="T1394" s="41" t="s">
        <v>40</v>
      </c>
      <c r="U1394" s="41" t="s">
        <v>40</v>
      </c>
    </row>
    <row r="1395" spans="1:21">
      <c r="A1395" s="41">
        <v>1487</v>
      </c>
      <c r="B1395" s="41" t="s">
        <v>4995</v>
      </c>
      <c r="D1395" s="41">
        <v>4142</v>
      </c>
      <c r="E1395" s="41" t="s">
        <v>1028</v>
      </c>
      <c r="F1395" s="41" t="s">
        <v>28</v>
      </c>
      <c r="G1395" s="41" t="s">
        <v>301</v>
      </c>
      <c r="I1395" s="41" t="s">
        <v>4996</v>
      </c>
      <c r="J1395" s="41" t="s">
        <v>32</v>
      </c>
      <c r="K1395" s="42"/>
      <c r="L1395" s="41" t="s">
        <v>2406</v>
      </c>
      <c r="M1395" s="41">
        <v>110</v>
      </c>
      <c r="N1395" s="41" t="s">
        <v>962</v>
      </c>
      <c r="O1395" s="41" t="s">
        <v>1366</v>
      </c>
      <c r="P1395" s="41" t="s">
        <v>78</v>
      </c>
      <c r="Q1395" s="41" t="s">
        <v>2407</v>
      </c>
      <c r="R1395" s="41" t="s">
        <v>39</v>
      </c>
      <c r="S1395" s="41" t="s">
        <v>4997</v>
      </c>
      <c r="T1395" s="41" t="s">
        <v>1773</v>
      </c>
      <c r="U1395" s="41" t="s">
        <v>266</v>
      </c>
    </row>
    <row r="1396" spans="1:21">
      <c r="A1396" s="41">
        <v>1486</v>
      </c>
      <c r="B1396" s="41" t="s">
        <v>4998</v>
      </c>
      <c r="D1396" s="41">
        <v>4140</v>
      </c>
      <c r="E1396" s="41" t="s">
        <v>1435</v>
      </c>
      <c r="F1396" s="41" t="s">
        <v>28</v>
      </c>
      <c r="G1396" s="41" t="s">
        <v>1162</v>
      </c>
      <c r="I1396" s="41" t="s">
        <v>194</v>
      </c>
      <c r="J1396" s="41" t="s">
        <v>32</v>
      </c>
      <c r="K1396" s="42"/>
      <c r="L1396" s="41" t="s">
        <v>4999</v>
      </c>
      <c r="M1396" s="41">
        <v>13</v>
      </c>
      <c r="N1396" s="41" t="s">
        <v>5000</v>
      </c>
      <c r="O1396" s="41" t="s">
        <v>5001</v>
      </c>
      <c r="P1396" s="41" t="s">
        <v>98</v>
      </c>
      <c r="Q1396" s="41" t="s">
        <v>98</v>
      </c>
      <c r="R1396" s="41" t="s">
        <v>39</v>
      </c>
      <c r="S1396" s="41" t="s">
        <v>40</v>
      </c>
      <c r="T1396" s="41" t="s">
        <v>40</v>
      </c>
      <c r="U1396" s="41" t="s">
        <v>40</v>
      </c>
    </row>
    <row r="1397" spans="1:21">
      <c r="A1397" s="41">
        <v>2098</v>
      </c>
      <c r="B1397" s="41" t="s">
        <v>5002</v>
      </c>
      <c r="D1397" s="41">
        <v>4141</v>
      </c>
      <c r="E1397" s="41" t="s">
        <v>4746</v>
      </c>
      <c r="F1397" s="41" t="s">
        <v>28</v>
      </c>
      <c r="G1397" s="41" t="s">
        <v>301</v>
      </c>
      <c r="I1397" s="41" t="s">
        <v>5003</v>
      </c>
      <c r="J1397" s="41" t="s">
        <v>380</v>
      </c>
      <c r="K1397" s="42"/>
      <c r="L1397" s="41" t="s">
        <v>5004</v>
      </c>
      <c r="M1397" s="41">
        <v>220</v>
      </c>
      <c r="N1397" s="41" t="s">
        <v>579</v>
      </c>
      <c r="O1397" s="41" t="s">
        <v>2566</v>
      </c>
      <c r="P1397" s="41" t="s">
        <v>37</v>
      </c>
      <c r="Q1397" s="41" t="s">
        <v>1661</v>
      </c>
      <c r="R1397" s="41" t="s">
        <v>39</v>
      </c>
      <c r="S1397" s="41" t="s">
        <v>5005</v>
      </c>
      <c r="T1397" s="41" t="s">
        <v>146</v>
      </c>
      <c r="U1397" s="41" t="s">
        <v>40</v>
      </c>
    </row>
    <row r="1398" spans="1:21">
      <c r="A1398" s="41">
        <v>1484</v>
      </c>
      <c r="B1398" s="41" t="s">
        <v>5006</v>
      </c>
      <c r="D1398" s="41">
        <v>4125</v>
      </c>
      <c r="E1398" s="41" t="s">
        <v>5007</v>
      </c>
      <c r="F1398" s="41" t="s">
        <v>28</v>
      </c>
      <c r="G1398" s="41" t="s">
        <v>307</v>
      </c>
      <c r="I1398" s="41" t="s">
        <v>2649</v>
      </c>
      <c r="J1398" s="41" t="s">
        <v>32</v>
      </c>
      <c r="K1398" s="42"/>
      <c r="L1398" s="41" t="s">
        <v>5008</v>
      </c>
      <c r="M1398" s="41">
        <v>220</v>
      </c>
      <c r="N1398" s="41" t="s">
        <v>5009</v>
      </c>
      <c r="O1398" s="41" t="s">
        <v>1498</v>
      </c>
      <c r="P1398" s="41" t="s">
        <v>153</v>
      </c>
      <c r="Q1398" s="41" t="s">
        <v>329</v>
      </c>
      <c r="R1398" s="41" t="s">
        <v>39</v>
      </c>
      <c r="S1398" s="41" t="s">
        <v>5010</v>
      </c>
      <c r="T1398" s="41" t="s">
        <v>770</v>
      </c>
      <c r="U1398" s="41" t="s">
        <v>1433</v>
      </c>
    </row>
    <row r="1399" spans="1:21">
      <c r="A1399" s="41">
        <v>1483</v>
      </c>
      <c r="B1399" s="41" t="s">
        <v>5011</v>
      </c>
      <c r="D1399" s="41">
        <v>4124</v>
      </c>
      <c r="E1399" s="41" t="s">
        <v>3484</v>
      </c>
      <c r="F1399" s="41" t="s">
        <v>53</v>
      </c>
      <c r="G1399" s="41" t="s">
        <v>43</v>
      </c>
      <c r="I1399" s="41" t="s">
        <v>2572</v>
      </c>
      <c r="J1399" s="41" t="s">
        <v>380</v>
      </c>
      <c r="K1399" s="42"/>
      <c r="L1399" s="41" t="s">
        <v>3485</v>
      </c>
      <c r="M1399" s="41">
        <v>220</v>
      </c>
      <c r="N1399" s="41" t="s">
        <v>67</v>
      </c>
      <c r="O1399" s="41" t="s">
        <v>1615</v>
      </c>
      <c r="P1399" s="41" t="s">
        <v>37</v>
      </c>
      <c r="Q1399" s="41" t="s">
        <v>2111</v>
      </c>
      <c r="R1399" s="41" t="s">
        <v>132</v>
      </c>
      <c r="S1399" s="41" t="s">
        <v>5012</v>
      </c>
      <c r="T1399" s="41" t="s">
        <v>2101</v>
      </c>
      <c r="U1399" s="41" t="s">
        <v>40</v>
      </c>
    </row>
    <row r="1400" spans="1:21">
      <c r="A1400" s="41">
        <v>1482</v>
      </c>
      <c r="B1400" s="41" t="s">
        <v>2946</v>
      </c>
      <c r="D1400" s="41">
        <v>4123</v>
      </c>
      <c r="E1400" s="41" t="s">
        <v>2735</v>
      </c>
      <c r="F1400" s="41" t="s">
        <v>53</v>
      </c>
      <c r="G1400" s="41" t="s">
        <v>64</v>
      </c>
      <c r="I1400" s="41" t="s">
        <v>94</v>
      </c>
      <c r="J1400" s="41" t="s">
        <v>32</v>
      </c>
      <c r="K1400" s="42"/>
      <c r="L1400" s="41" t="s">
        <v>2950</v>
      </c>
      <c r="M1400" s="41">
        <v>500</v>
      </c>
      <c r="N1400" s="41" t="s">
        <v>805</v>
      </c>
      <c r="O1400" s="41" t="s">
        <v>36</v>
      </c>
      <c r="P1400" s="41" t="s">
        <v>98</v>
      </c>
      <c r="Q1400" s="41" t="s">
        <v>99</v>
      </c>
      <c r="R1400" s="41" t="s">
        <v>62</v>
      </c>
      <c r="S1400" s="41" t="s">
        <v>40</v>
      </c>
      <c r="T1400" s="41" t="s">
        <v>40</v>
      </c>
      <c r="U1400" s="41" t="s">
        <v>40</v>
      </c>
    </row>
    <row r="1401" spans="1:21">
      <c r="A1401" s="41">
        <v>1481</v>
      </c>
      <c r="B1401" s="41" t="s">
        <v>335</v>
      </c>
      <c r="D1401" s="41">
        <v>4122</v>
      </c>
      <c r="E1401" s="41" t="s">
        <v>2735</v>
      </c>
      <c r="F1401" s="41" t="s">
        <v>53</v>
      </c>
      <c r="G1401" s="41" t="s">
        <v>64</v>
      </c>
      <c r="I1401" s="41" t="s">
        <v>94</v>
      </c>
      <c r="J1401" s="41" t="s">
        <v>32</v>
      </c>
      <c r="K1401" s="42"/>
      <c r="L1401" s="41" t="s">
        <v>107</v>
      </c>
      <c r="M1401" s="41">
        <v>220</v>
      </c>
      <c r="N1401" s="41" t="s">
        <v>1014</v>
      </c>
      <c r="O1401" s="41" t="s">
        <v>77</v>
      </c>
      <c r="P1401" s="41" t="s">
        <v>98</v>
      </c>
      <c r="Q1401" s="41" t="s">
        <v>98</v>
      </c>
      <c r="R1401" s="41" t="s">
        <v>62</v>
      </c>
      <c r="S1401" s="41" t="s">
        <v>40</v>
      </c>
      <c r="T1401" s="41" t="s">
        <v>40</v>
      </c>
      <c r="U1401" s="41" t="s">
        <v>40</v>
      </c>
    </row>
    <row r="1402" spans="1:21">
      <c r="A1402" s="41">
        <v>1480</v>
      </c>
      <c r="B1402" s="41" t="s">
        <v>5013</v>
      </c>
      <c r="D1402" s="41">
        <v>4121</v>
      </c>
      <c r="E1402" s="41" t="s">
        <v>2735</v>
      </c>
      <c r="F1402" s="41" t="s">
        <v>53</v>
      </c>
      <c r="G1402" s="41" t="s">
        <v>141</v>
      </c>
      <c r="I1402" s="41" t="s">
        <v>102</v>
      </c>
      <c r="J1402" s="41" t="s">
        <v>32</v>
      </c>
      <c r="K1402" s="42"/>
      <c r="L1402" s="41" t="s">
        <v>5014</v>
      </c>
      <c r="M1402" s="41">
        <v>220</v>
      </c>
      <c r="N1402" s="41" t="s">
        <v>1014</v>
      </c>
      <c r="O1402" s="41" t="s">
        <v>1615</v>
      </c>
      <c r="P1402" s="41" t="s">
        <v>50</v>
      </c>
      <c r="Q1402" s="41" t="s">
        <v>51</v>
      </c>
      <c r="R1402" s="41" t="s">
        <v>62</v>
      </c>
      <c r="S1402" s="41" t="s">
        <v>5015</v>
      </c>
      <c r="T1402" s="41" t="s">
        <v>2101</v>
      </c>
      <c r="U1402" s="41" t="s">
        <v>40</v>
      </c>
    </row>
    <row r="1403" spans="1:21">
      <c r="A1403" s="41">
        <v>1479</v>
      </c>
      <c r="B1403" s="41" t="s">
        <v>5016</v>
      </c>
      <c r="D1403" s="41">
        <v>4120</v>
      </c>
      <c r="E1403" s="41" t="s">
        <v>2735</v>
      </c>
      <c r="F1403" s="41" t="s">
        <v>53</v>
      </c>
      <c r="G1403" s="41" t="s">
        <v>141</v>
      </c>
      <c r="I1403" s="41" t="s">
        <v>102</v>
      </c>
      <c r="J1403" s="41" t="s">
        <v>32</v>
      </c>
      <c r="K1403" s="42"/>
      <c r="L1403" s="41" t="s">
        <v>5017</v>
      </c>
      <c r="M1403" s="41">
        <v>220</v>
      </c>
      <c r="N1403" s="41" t="s">
        <v>67</v>
      </c>
      <c r="O1403" s="41" t="s">
        <v>1225</v>
      </c>
      <c r="P1403" s="41" t="s">
        <v>153</v>
      </c>
      <c r="Q1403" s="41" t="s">
        <v>329</v>
      </c>
      <c r="R1403" s="41" t="s">
        <v>62</v>
      </c>
      <c r="S1403" s="41" t="s">
        <v>5018</v>
      </c>
      <c r="T1403" s="41" t="s">
        <v>2101</v>
      </c>
      <c r="U1403" s="41" t="s">
        <v>40</v>
      </c>
    </row>
    <row r="1404" spans="1:21">
      <c r="A1404" s="41">
        <v>1478</v>
      </c>
      <c r="B1404" s="41" t="s">
        <v>5019</v>
      </c>
      <c r="D1404" s="41">
        <v>4119</v>
      </c>
      <c r="E1404" s="41" t="s">
        <v>1076</v>
      </c>
      <c r="F1404" s="41" t="s">
        <v>53</v>
      </c>
      <c r="G1404" s="41" t="s">
        <v>141</v>
      </c>
      <c r="I1404" s="41" t="s">
        <v>406</v>
      </c>
      <c r="J1404" s="41" t="s">
        <v>295</v>
      </c>
      <c r="K1404" s="42"/>
      <c r="L1404" s="41" t="s">
        <v>5020</v>
      </c>
      <c r="M1404" s="41">
        <v>66</v>
      </c>
      <c r="N1404" s="41" t="s">
        <v>4371</v>
      </c>
      <c r="O1404" s="41" t="s">
        <v>388</v>
      </c>
      <c r="P1404" s="41" t="s">
        <v>334</v>
      </c>
      <c r="Q1404" s="41" t="s">
        <v>423</v>
      </c>
      <c r="R1404" s="41" t="s">
        <v>132</v>
      </c>
      <c r="S1404" s="41" t="s">
        <v>5021</v>
      </c>
      <c r="T1404" s="41" t="s">
        <v>1846</v>
      </c>
      <c r="U1404" s="41" t="s">
        <v>40</v>
      </c>
    </row>
    <row r="1405" spans="1:21">
      <c r="A1405" s="41">
        <v>1477</v>
      </c>
      <c r="B1405" s="41" t="s">
        <v>5022</v>
      </c>
      <c r="D1405" s="41">
        <v>4118</v>
      </c>
      <c r="E1405" s="41" t="s">
        <v>4424</v>
      </c>
      <c r="F1405" s="41" t="s">
        <v>53</v>
      </c>
      <c r="G1405" s="41" t="s">
        <v>141</v>
      </c>
      <c r="I1405" s="41" t="s">
        <v>1018</v>
      </c>
      <c r="J1405" s="41" t="s">
        <v>380</v>
      </c>
      <c r="K1405" s="42"/>
      <c r="L1405" s="41" t="s">
        <v>3952</v>
      </c>
      <c r="M1405" s="41">
        <v>220</v>
      </c>
      <c r="N1405" s="41" t="s">
        <v>1629</v>
      </c>
      <c r="O1405" s="41" t="s">
        <v>271</v>
      </c>
      <c r="P1405" s="41" t="s">
        <v>382</v>
      </c>
      <c r="Q1405" s="41" t="s">
        <v>83</v>
      </c>
      <c r="R1405" s="41" t="s">
        <v>62</v>
      </c>
      <c r="S1405" s="41" t="s">
        <v>5023</v>
      </c>
      <c r="T1405" s="41" t="s">
        <v>2101</v>
      </c>
      <c r="U1405" s="41" t="s">
        <v>40</v>
      </c>
    </row>
    <row r="1406" spans="1:21">
      <c r="A1406" s="41">
        <v>1476</v>
      </c>
      <c r="B1406" s="41" t="s">
        <v>5024</v>
      </c>
      <c r="D1406" s="41">
        <v>4117</v>
      </c>
      <c r="E1406" s="41" t="s">
        <v>5025</v>
      </c>
      <c r="F1406" s="41" t="s">
        <v>53</v>
      </c>
      <c r="G1406" s="41" t="s">
        <v>64</v>
      </c>
      <c r="I1406" s="41" t="s">
        <v>102</v>
      </c>
      <c r="J1406" s="41" t="s">
        <v>32</v>
      </c>
      <c r="K1406" s="42"/>
      <c r="L1406" s="41" t="s">
        <v>5026</v>
      </c>
      <c r="M1406" s="41">
        <v>220</v>
      </c>
      <c r="N1406" s="41" t="s">
        <v>5027</v>
      </c>
      <c r="O1406" s="41" t="s">
        <v>36</v>
      </c>
      <c r="P1406" s="41" t="s">
        <v>334</v>
      </c>
      <c r="Q1406" s="41" t="s">
        <v>5028</v>
      </c>
      <c r="R1406" s="41" t="s">
        <v>132</v>
      </c>
      <c r="S1406" s="41" t="s">
        <v>40</v>
      </c>
      <c r="T1406" s="41" t="s">
        <v>40</v>
      </c>
      <c r="U1406" s="41" t="s">
        <v>40</v>
      </c>
    </row>
    <row r="1407" spans="1:21">
      <c r="A1407" s="41">
        <v>1475</v>
      </c>
      <c r="B1407" s="41" t="s">
        <v>5029</v>
      </c>
      <c r="D1407" s="41">
        <v>4116</v>
      </c>
      <c r="E1407" s="41" t="s">
        <v>2487</v>
      </c>
      <c r="F1407" s="41" t="s">
        <v>53</v>
      </c>
      <c r="G1407" s="41" t="s">
        <v>43</v>
      </c>
      <c r="I1407" s="41" t="s">
        <v>1480</v>
      </c>
      <c r="J1407" s="41" t="s">
        <v>32</v>
      </c>
      <c r="K1407" s="42"/>
      <c r="L1407" s="41" t="s">
        <v>5030</v>
      </c>
      <c r="M1407" s="41">
        <v>154</v>
      </c>
      <c r="N1407" s="41" t="s">
        <v>5031</v>
      </c>
      <c r="O1407" s="41" t="s">
        <v>5032</v>
      </c>
      <c r="P1407" s="41" t="s">
        <v>68</v>
      </c>
      <c r="Q1407" s="41" t="s">
        <v>159</v>
      </c>
      <c r="R1407" s="41" t="s">
        <v>62</v>
      </c>
      <c r="S1407" s="41" t="s">
        <v>40</v>
      </c>
      <c r="T1407" s="41" t="s">
        <v>40</v>
      </c>
      <c r="U1407" s="41" t="s">
        <v>40</v>
      </c>
    </row>
    <row r="1408" spans="1:21">
      <c r="A1408" s="41">
        <v>1474</v>
      </c>
      <c r="B1408" s="41" t="s">
        <v>5033</v>
      </c>
      <c r="D1408" s="41">
        <v>4115</v>
      </c>
      <c r="E1408" s="41" t="s">
        <v>1708</v>
      </c>
      <c r="F1408" s="41" t="s">
        <v>53</v>
      </c>
      <c r="G1408" s="41" t="s">
        <v>64</v>
      </c>
      <c r="I1408" s="41" t="s">
        <v>45</v>
      </c>
      <c r="J1408" s="41" t="s">
        <v>32</v>
      </c>
      <c r="K1408" s="42"/>
      <c r="L1408" s="41" t="s">
        <v>5034</v>
      </c>
      <c r="M1408" s="41">
        <v>220</v>
      </c>
      <c r="N1408" s="41" t="s">
        <v>67</v>
      </c>
      <c r="O1408" s="41" t="s">
        <v>36</v>
      </c>
      <c r="P1408" s="41" t="s">
        <v>37</v>
      </c>
      <c r="Q1408" s="41" t="s">
        <v>38</v>
      </c>
      <c r="R1408" s="41" t="s">
        <v>62</v>
      </c>
      <c r="S1408" s="41" t="s">
        <v>40</v>
      </c>
      <c r="T1408" s="41" t="s">
        <v>40</v>
      </c>
      <c r="U1408" s="41" t="s">
        <v>40</v>
      </c>
    </row>
    <row r="1409" spans="1:21">
      <c r="A1409" s="41">
        <v>1473</v>
      </c>
      <c r="B1409" s="41" t="s">
        <v>5035</v>
      </c>
      <c r="D1409" s="41">
        <v>4103</v>
      </c>
      <c r="E1409" s="41" t="s">
        <v>4866</v>
      </c>
      <c r="F1409" s="41" t="s">
        <v>53</v>
      </c>
      <c r="G1409" s="41" t="s">
        <v>64</v>
      </c>
      <c r="I1409" s="41" t="s">
        <v>102</v>
      </c>
      <c r="J1409" s="41" t="s">
        <v>32</v>
      </c>
      <c r="K1409" s="42"/>
      <c r="L1409" s="41" t="s">
        <v>5036</v>
      </c>
      <c r="M1409" s="41">
        <v>220</v>
      </c>
      <c r="N1409" s="41" t="s">
        <v>805</v>
      </c>
      <c r="O1409" s="41" t="s">
        <v>36</v>
      </c>
      <c r="P1409" s="41" t="s">
        <v>172</v>
      </c>
      <c r="Q1409" s="41" t="s">
        <v>253</v>
      </c>
      <c r="R1409" s="41" t="s">
        <v>62</v>
      </c>
      <c r="S1409" s="41" t="s">
        <v>40</v>
      </c>
      <c r="T1409" s="41" t="s">
        <v>40</v>
      </c>
      <c r="U1409" s="41" t="s">
        <v>40</v>
      </c>
    </row>
    <row r="1410" spans="1:21">
      <c r="A1410" s="41">
        <v>1472</v>
      </c>
      <c r="B1410" s="41" t="s">
        <v>5037</v>
      </c>
      <c r="D1410" s="41">
        <v>4102</v>
      </c>
      <c r="E1410" s="41" t="s">
        <v>1091</v>
      </c>
      <c r="F1410" s="41" t="s">
        <v>53</v>
      </c>
      <c r="G1410" s="41" t="s">
        <v>307</v>
      </c>
      <c r="I1410" s="41" t="s">
        <v>1092</v>
      </c>
      <c r="J1410" s="41" t="s">
        <v>672</v>
      </c>
      <c r="K1410" s="42"/>
      <c r="L1410" s="41" t="s">
        <v>3244</v>
      </c>
      <c r="M1410" s="41">
        <v>12</v>
      </c>
      <c r="N1410" s="41" t="s">
        <v>1741</v>
      </c>
      <c r="O1410" s="41" t="s">
        <v>2085</v>
      </c>
      <c r="P1410" s="41" t="s">
        <v>68</v>
      </c>
      <c r="Q1410" s="41" t="s">
        <v>3247</v>
      </c>
      <c r="R1410" s="41" t="s">
        <v>132</v>
      </c>
      <c r="S1410" s="41" t="s">
        <v>5038</v>
      </c>
      <c r="T1410" s="41" t="s">
        <v>4640</v>
      </c>
      <c r="U1410" s="41" t="s">
        <v>40</v>
      </c>
    </row>
    <row r="1411" spans="1:21">
      <c r="A1411" s="41">
        <v>1471</v>
      </c>
      <c r="B1411" s="41" t="s">
        <v>5039</v>
      </c>
      <c r="D1411" s="41">
        <v>4101</v>
      </c>
      <c r="E1411" s="41" t="s">
        <v>1435</v>
      </c>
      <c r="F1411" s="41" t="s">
        <v>28</v>
      </c>
      <c r="G1411" s="41" t="s">
        <v>64</v>
      </c>
      <c r="I1411" s="41" t="s">
        <v>3473</v>
      </c>
      <c r="J1411" s="41" t="s">
        <v>32</v>
      </c>
      <c r="K1411" s="42"/>
      <c r="L1411" s="41" t="s">
        <v>5040</v>
      </c>
      <c r="M1411" s="41">
        <v>23</v>
      </c>
      <c r="N1411" s="41" t="s">
        <v>2742</v>
      </c>
      <c r="O1411" s="41" t="s">
        <v>5041</v>
      </c>
      <c r="P1411" s="41" t="s">
        <v>98</v>
      </c>
      <c r="Q1411" s="41" t="s">
        <v>491</v>
      </c>
      <c r="R1411" s="41" t="s">
        <v>39</v>
      </c>
      <c r="S1411" s="41" t="s">
        <v>40</v>
      </c>
      <c r="T1411" s="41" t="s">
        <v>40</v>
      </c>
      <c r="U1411" s="41" t="s">
        <v>40</v>
      </c>
    </row>
    <row r="1412" spans="1:21">
      <c r="A1412" s="41">
        <v>1470</v>
      </c>
      <c r="B1412" s="41" t="s">
        <v>285</v>
      </c>
      <c r="D1412" s="41">
        <v>4100</v>
      </c>
      <c r="E1412" s="41" t="s">
        <v>27</v>
      </c>
      <c r="F1412" s="41" t="s">
        <v>28</v>
      </c>
      <c r="G1412" s="41" t="s">
        <v>64</v>
      </c>
      <c r="I1412" s="41" t="s">
        <v>194</v>
      </c>
      <c r="J1412" s="41" t="s">
        <v>32</v>
      </c>
      <c r="K1412" s="42"/>
      <c r="L1412" s="41" t="s">
        <v>289</v>
      </c>
      <c r="M1412" s="41">
        <v>23</v>
      </c>
      <c r="N1412" s="41" t="s">
        <v>290</v>
      </c>
      <c r="O1412" s="41" t="s">
        <v>291</v>
      </c>
      <c r="P1412" s="41" t="s">
        <v>98</v>
      </c>
      <c r="Q1412" s="41" t="s">
        <v>116</v>
      </c>
      <c r="R1412" s="41" t="s">
        <v>39</v>
      </c>
      <c r="S1412" s="41" t="s">
        <v>40</v>
      </c>
      <c r="T1412" s="41" t="s">
        <v>40</v>
      </c>
      <c r="U1412" s="41" t="s">
        <v>40</v>
      </c>
    </row>
    <row r="1413" spans="1:21">
      <c r="A1413" s="41">
        <v>1469</v>
      </c>
      <c r="B1413" s="41" t="s">
        <v>292</v>
      </c>
      <c r="D1413" s="41">
        <v>4099</v>
      </c>
      <c r="E1413" s="41" t="s">
        <v>27</v>
      </c>
      <c r="F1413" s="41" t="s">
        <v>28</v>
      </c>
      <c r="G1413" s="41" t="s">
        <v>64</v>
      </c>
      <c r="I1413" s="41" t="s">
        <v>194</v>
      </c>
      <c r="J1413" s="41" t="s">
        <v>295</v>
      </c>
      <c r="K1413" s="42"/>
      <c r="L1413" s="41" t="s">
        <v>297</v>
      </c>
      <c r="M1413" s="41">
        <v>23</v>
      </c>
      <c r="N1413" s="41" t="s">
        <v>298</v>
      </c>
      <c r="O1413" s="41" t="s">
        <v>299</v>
      </c>
      <c r="P1413" s="41" t="s">
        <v>98</v>
      </c>
      <c r="Q1413" s="41" t="s">
        <v>99</v>
      </c>
      <c r="R1413" s="41" t="s">
        <v>39</v>
      </c>
      <c r="S1413" s="41" t="s">
        <v>40</v>
      </c>
      <c r="T1413" s="41" t="s">
        <v>40</v>
      </c>
      <c r="U1413" s="41" t="s">
        <v>40</v>
      </c>
    </row>
    <row r="1414" spans="1:21">
      <c r="A1414" s="41">
        <v>1468</v>
      </c>
      <c r="B1414" s="41" t="s">
        <v>5042</v>
      </c>
      <c r="D1414" s="41">
        <v>4098</v>
      </c>
      <c r="E1414" s="41" t="s">
        <v>1028</v>
      </c>
      <c r="F1414" s="41" t="s">
        <v>53</v>
      </c>
      <c r="G1414" s="41" t="s">
        <v>141</v>
      </c>
      <c r="I1414" s="41" t="s">
        <v>5043</v>
      </c>
      <c r="J1414" s="41" t="s">
        <v>32</v>
      </c>
      <c r="K1414" s="42"/>
      <c r="L1414" s="41" t="s">
        <v>5044</v>
      </c>
      <c r="M1414" s="41">
        <v>15</v>
      </c>
      <c r="N1414" s="41" t="s">
        <v>67</v>
      </c>
      <c r="O1414" s="41" t="s">
        <v>1261</v>
      </c>
      <c r="P1414" s="41" t="s">
        <v>60</v>
      </c>
      <c r="Q1414" s="41" t="s">
        <v>61</v>
      </c>
      <c r="R1414" s="41" t="s">
        <v>132</v>
      </c>
      <c r="S1414" s="41" t="s">
        <v>5045</v>
      </c>
      <c r="T1414" s="41" t="s">
        <v>604</v>
      </c>
      <c r="U1414" s="41" t="s">
        <v>2169</v>
      </c>
    </row>
    <row r="1415" spans="1:21">
      <c r="A1415" s="41">
        <v>1464</v>
      </c>
      <c r="B1415" s="41" t="s">
        <v>5046</v>
      </c>
      <c r="D1415" s="41">
        <v>4089</v>
      </c>
      <c r="E1415" s="41" t="s">
        <v>1248</v>
      </c>
      <c r="F1415" s="41" t="s">
        <v>53</v>
      </c>
      <c r="G1415" s="41" t="s">
        <v>307</v>
      </c>
      <c r="I1415" s="41" t="s">
        <v>1966</v>
      </c>
      <c r="J1415" s="41" t="s">
        <v>672</v>
      </c>
      <c r="K1415" s="42"/>
      <c r="L1415" s="41" t="s">
        <v>5047</v>
      </c>
      <c r="M1415" s="41">
        <v>23</v>
      </c>
      <c r="N1415" s="41" t="s">
        <v>1241</v>
      </c>
      <c r="O1415" s="41" t="s">
        <v>553</v>
      </c>
      <c r="P1415" s="41" t="s">
        <v>382</v>
      </c>
      <c r="Q1415" s="41" t="s">
        <v>446</v>
      </c>
      <c r="R1415" s="41" t="s">
        <v>132</v>
      </c>
      <c r="S1415" s="41" t="s">
        <v>5048</v>
      </c>
      <c r="T1415" s="41" t="s">
        <v>4720</v>
      </c>
      <c r="U1415" s="41" t="s">
        <v>40</v>
      </c>
    </row>
    <row r="1416" spans="1:21">
      <c r="A1416" s="41">
        <v>1463</v>
      </c>
      <c r="B1416" s="41" t="s">
        <v>5049</v>
      </c>
      <c r="D1416" s="41">
        <v>4088</v>
      </c>
      <c r="E1416" s="41" t="s">
        <v>1248</v>
      </c>
      <c r="F1416" s="41" t="s">
        <v>53</v>
      </c>
      <c r="G1416" s="41" t="s">
        <v>307</v>
      </c>
      <c r="I1416" s="41" t="s">
        <v>1966</v>
      </c>
      <c r="J1416" s="41" t="s">
        <v>672</v>
      </c>
      <c r="K1416" s="42"/>
      <c r="L1416" s="41" t="s">
        <v>5047</v>
      </c>
      <c r="M1416" s="41">
        <v>23</v>
      </c>
      <c r="N1416" s="41" t="s">
        <v>1241</v>
      </c>
      <c r="O1416" s="41" t="s">
        <v>299</v>
      </c>
      <c r="P1416" s="41" t="s">
        <v>382</v>
      </c>
      <c r="Q1416" s="41" t="s">
        <v>446</v>
      </c>
      <c r="R1416" s="41" t="s">
        <v>132</v>
      </c>
      <c r="S1416" s="41" t="s">
        <v>5050</v>
      </c>
      <c r="T1416" s="41" t="s">
        <v>4720</v>
      </c>
      <c r="U1416" s="41" t="s">
        <v>40</v>
      </c>
    </row>
    <row r="1417" spans="1:21">
      <c r="A1417" s="41">
        <v>1462</v>
      </c>
      <c r="B1417" s="41" t="s">
        <v>5051</v>
      </c>
      <c r="D1417" s="41">
        <v>4087</v>
      </c>
      <c r="E1417" s="41" t="s">
        <v>1248</v>
      </c>
      <c r="F1417" s="41" t="s">
        <v>53</v>
      </c>
      <c r="G1417" s="41" t="s">
        <v>307</v>
      </c>
      <c r="I1417" s="41" t="s">
        <v>1966</v>
      </c>
      <c r="J1417" s="41" t="s">
        <v>672</v>
      </c>
      <c r="K1417" s="42"/>
      <c r="L1417" s="41" t="s">
        <v>5047</v>
      </c>
      <c r="M1417" s="41">
        <v>23</v>
      </c>
      <c r="N1417" s="41" t="s">
        <v>1241</v>
      </c>
      <c r="O1417" s="41" t="s">
        <v>3296</v>
      </c>
      <c r="P1417" s="41" t="s">
        <v>382</v>
      </c>
      <c r="Q1417" s="41" t="s">
        <v>446</v>
      </c>
      <c r="R1417" s="41" t="s">
        <v>132</v>
      </c>
      <c r="S1417" s="41" t="s">
        <v>5052</v>
      </c>
      <c r="T1417" s="41" t="s">
        <v>4720</v>
      </c>
      <c r="U1417" s="41" t="s">
        <v>40</v>
      </c>
    </row>
    <row r="1418" spans="1:21">
      <c r="A1418" s="41">
        <v>1461</v>
      </c>
      <c r="B1418" s="41" t="s">
        <v>5053</v>
      </c>
      <c r="D1418" s="41">
        <v>4086</v>
      </c>
      <c r="E1418" s="41" t="s">
        <v>1248</v>
      </c>
      <c r="F1418" s="41" t="s">
        <v>53</v>
      </c>
      <c r="G1418" s="41" t="s">
        <v>307</v>
      </c>
      <c r="I1418" s="41" t="s">
        <v>1966</v>
      </c>
      <c r="J1418" s="41" t="s">
        <v>672</v>
      </c>
      <c r="K1418" s="42"/>
      <c r="L1418" s="41" t="s">
        <v>5047</v>
      </c>
      <c r="M1418" s="41">
        <v>23</v>
      </c>
      <c r="N1418" s="41" t="s">
        <v>1241</v>
      </c>
      <c r="O1418" s="41" t="s">
        <v>989</v>
      </c>
      <c r="P1418" s="41" t="s">
        <v>382</v>
      </c>
      <c r="Q1418" s="41" t="s">
        <v>446</v>
      </c>
      <c r="R1418" s="41" t="s">
        <v>132</v>
      </c>
      <c r="S1418" s="41" t="s">
        <v>5054</v>
      </c>
      <c r="T1418" s="41" t="s">
        <v>4720</v>
      </c>
      <c r="U1418" s="41" t="s">
        <v>40</v>
      </c>
    </row>
    <row r="1419" spans="1:21">
      <c r="A1419" s="41">
        <v>1460</v>
      </c>
      <c r="B1419" s="41" t="s">
        <v>5055</v>
      </c>
      <c r="D1419" s="41">
        <v>4085</v>
      </c>
      <c r="E1419" s="41" t="s">
        <v>1248</v>
      </c>
      <c r="F1419" s="41" t="s">
        <v>53</v>
      </c>
      <c r="G1419" s="41" t="s">
        <v>307</v>
      </c>
      <c r="I1419" s="41" t="s">
        <v>1966</v>
      </c>
      <c r="J1419" s="41" t="s">
        <v>672</v>
      </c>
      <c r="K1419" s="42"/>
      <c r="L1419" s="41" t="s">
        <v>5047</v>
      </c>
      <c r="M1419" s="41">
        <v>23</v>
      </c>
      <c r="N1419" s="41" t="s">
        <v>5056</v>
      </c>
      <c r="O1419" s="41" t="s">
        <v>565</v>
      </c>
      <c r="P1419" s="41" t="s">
        <v>382</v>
      </c>
      <c r="Q1419" s="41" t="s">
        <v>446</v>
      </c>
      <c r="R1419" s="41" t="s">
        <v>132</v>
      </c>
      <c r="S1419" s="41" t="s">
        <v>5057</v>
      </c>
      <c r="T1419" s="41" t="s">
        <v>4720</v>
      </c>
      <c r="U1419" s="41" t="s">
        <v>40</v>
      </c>
    </row>
    <row r="1420" spans="1:21">
      <c r="A1420" s="41">
        <v>1453</v>
      </c>
      <c r="B1420" s="41" t="s">
        <v>5058</v>
      </c>
      <c r="D1420" s="41">
        <v>4083</v>
      </c>
      <c r="E1420" s="41" t="s">
        <v>1248</v>
      </c>
      <c r="F1420" s="41" t="s">
        <v>53</v>
      </c>
      <c r="G1420" s="41" t="s">
        <v>307</v>
      </c>
      <c r="I1420" s="41" t="s">
        <v>4594</v>
      </c>
      <c r="J1420" s="41" t="s">
        <v>672</v>
      </c>
      <c r="K1420" s="42"/>
      <c r="L1420" s="41" t="s">
        <v>5059</v>
      </c>
      <c r="M1420" s="41">
        <v>13.2</v>
      </c>
      <c r="N1420" s="41" t="s">
        <v>2517</v>
      </c>
      <c r="O1420" s="41" t="s">
        <v>650</v>
      </c>
      <c r="P1420" s="41" t="s">
        <v>37</v>
      </c>
      <c r="Q1420" s="41" t="s">
        <v>5060</v>
      </c>
      <c r="R1420" s="41" t="s">
        <v>132</v>
      </c>
      <c r="S1420" s="41" t="s">
        <v>5061</v>
      </c>
      <c r="T1420" s="41" t="s">
        <v>604</v>
      </c>
      <c r="U1420" s="41" t="s">
        <v>40</v>
      </c>
    </row>
    <row r="1421" spans="1:21">
      <c r="A1421" s="41">
        <v>1452</v>
      </c>
      <c r="B1421" s="41" t="s">
        <v>3196</v>
      </c>
      <c r="D1421" s="41">
        <v>4084</v>
      </c>
      <c r="E1421" s="41" t="s">
        <v>1286</v>
      </c>
      <c r="F1421" s="41" t="s">
        <v>42</v>
      </c>
      <c r="G1421" s="41" t="s">
        <v>121</v>
      </c>
      <c r="I1421" s="41" t="s">
        <v>464</v>
      </c>
      <c r="J1421" s="41" t="s">
        <v>32</v>
      </c>
      <c r="K1421" s="42"/>
      <c r="L1421" s="41" t="s">
        <v>5062</v>
      </c>
      <c r="M1421" s="41">
        <v>33</v>
      </c>
      <c r="N1421" s="41" t="s">
        <v>5063</v>
      </c>
      <c r="O1421" s="41" t="s">
        <v>5064</v>
      </c>
      <c r="P1421" s="41" t="s">
        <v>68</v>
      </c>
      <c r="Q1421" s="41" t="s">
        <v>69</v>
      </c>
      <c r="R1421" s="41" t="s">
        <v>39</v>
      </c>
      <c r="S1421" s="41" t="s">
        <v>40</v>
      </c>
      <c r="T1421" s="41" t="s">
        <v>454</v>
      </c>
      <c r="U1421" s="41" t="s">
        <v>40</v>
      </c>
    </row>
    <row r="1422" spans="1:21">
      <c r="A1422" s="41">
        <v>1451</v>
      </c>
      <c r="B1422" s="41" t="s">
        <v>4936</v>
      </c>
      <c r="D1422" s="41">
        <v>4082</v>
      </c>
      <c r="E1422" s="41" t="s">
        <v>1028</v>
      </c>
      <c r="F1422" s="41" t="s">
        <v>28</v>
      </c>
      <c r="G1422" s="41" t="s">
        <v>43</v>
      </c>
      <c r="I1422" s="41" t="s">
        <v>1443</v>
      </c>
      <c r="J1422" s="41" t="s">
        <v>32</v>
      </c>
      <c r="K1422" s="42"/>
      <c r="L1422" s="41" t="s">
        <v>5065</v>
      </c>
      <c r="M1422" s="41">
        <v>110</v>
      </c>
      <c r="N1422" s="41" t="s">
        <v>2791</v>
      </c>
      <c r="O1422" s="41" t="s">
        <v>1566</v>
      </c>
      <c r="P1422" s="41" t="s">
        <v>153</v>
      </c>
      <c r="Q1422" s="41" t="s">
        <v>153</v>
      </c>
      <c r="R1422" s="41" t="s">
        <v>39</v>
      </c>
      <c r="S1422" s="41" t="s">
        <v>40</v>
      </c>
      <c r="T1422" s="41" t="s">
        <v>40</v>
      </c>
      <c r="U1422" s="41" t="s">
        <v>40</v>
      </c>
    </row>
    <row r="1423" spans="1:21">
      <c r="A1423" s="41">
        <v>1450</v>
      </c>
      <c r="B1423" s="41" t="s">
        <v>5066</v>
      </c>
      <c r="D1423" s="41">
        <v>4081</v>
      </c>
      <c r="E1423" s="41" t="s">
        <v>1028</v>
      </c>
      <c r="F1423" s="41" t="s">
        <v>28</v>
      </c>
      <c r="G1423" s="41" t="s">
        <v>1300</v>
      </c>
      <c r="I1423" s="41" t="s">
        <v>4556</v>
      </c>
      <c r="J1423" s="41" t="s">
        <v>32</v>
      </c>
      <c r="K1423" s="42"/>
      <c r="L1423" s="41" t="s">
        <v>5067</v>
      </c>
      <c r="M1423" s="41">
        <v>110</v>
      </c>
      <c r="N1423" s="41" t="s">
        <v>1030</v>
      </c>
      <c r="O1423" s="41" t="s">
        <v>1566</v>
      </c>
      <c r="P1423" s="41" t="s">
        <v>179</v>
      </c>
      <c r="Q1423" s="41" t="s">
        <v>524</v>
      </c>
      <c r="R1423" s="41" t="s">
        <v>39</v>
      </c>
      <c r="S1423" s="41" t="s">
        <v>40</v>
      </c>
      <c r="T1423" s="41" t="s">
        <v>40</v>
      </c>
      <c r="U1423" s="41" t="s">
        <v>40</v>
      </c>
    </row>
    <row r="1424" spans="1:21">
      <c r="A1424" s="41">
        <v>1449</v>
      </c>
      <c r="B1424" s="41" t="s">
        <v>5068</v>
      </c>
      <c r="D1424" s="41">
        <v>4080</v>
      </c>
      <c r="E1424" s="41" t="s">
        <v>1028</v>
      </c>
      <c r="F1424" s="41" t="s">
        <v>53</v>
      </c>
      <c r="G1424" s="41" t="s">
        <v>141</v>
      </c>
      <c r="I1424" s="41" t="s">
        <v>2653</v>
      </c>
      <c r="J1424" s="41" t="s">
        <v>32</v>
      </c>
      <c r="K1424" s="42"/>
      <c r="L1424" s="41" t="s">
        <v>5069</v>
      </c>
      <c r="M1424" s="41">
        <v>110</v>
      </c>
      <c r="N1424" s="41" t="s">
        <v>4118</v>
      </c>
      <c r="O1424" s="41" t="s">
        <v>178</v>
      </c>
      <c r="P1424" s="41" t="s">
        <v>179</v>
      </c>
      <c r="Q1424" s="41" t="s">
        <v>524</v>
      </c>
      <c r="R1424" s="41" t="s">
        <v>132</v>
      </c>
      <c r="S1424" s="41" t="s">
        <v>5070</v>
      </c>
      <c r="T1424" s="41" t="s">
        <v>2169</v>
      </c>
      <c r="U1424" s="41" t="s">
        <v>40</v>
      </c>
    </row>
    <row r="1425" spans="1:21">
      <c r="A1425" s="41">
        <v>1448</v>
      </c>
      <c r="B1425" s="41" t="s">
        <v>4014</v>
      </c>
      <c r="D1425" s="41">
        <v>4079</v>
      </c>
      <c r="E1425" s="41" t="s">
        <v>1028</v>
      </c>
      <c r="F1425" s="41" t="s">
        <v>28</v>
      </c>
      <c r="G1425" s="41" t="s">
        <v>64</v>
      </c>
      <c r="I1425" s="41" t="s">
        <v>231</v>
      </c>
      <c r="J1425" s="41" t="s">
        <v>32</v>
      </c>
      <c r="K1425" s="42"/>
      <c r="L1425" s="41" t="s">
        <v>5071</v>
      </c>
      <c r="M1425" s="41">
        <v>110</v>
      </c>
      <c r="N1425" s="41" t="s">
        <v>1030</v>
      </c>
      <c r="O1425" s="41" t="s">
        <v>1566</v>
      </c>
      <c r="P1425" s="41" t="s">
        <v>153</v>
      </c>
      <c r="Q1425" s="41" t="s">
        <v>329</v>
      </c>
      <c r="R1425" s="41" t="s">
        <v>39</v>
      </c>
      <c r="S1425" s="41" t="s">
        <v>5072</v>
      </c>
      <c r="T1425" s="41" t="s">
        <v>4980</v>
      </c>
      <c r="U1425" s="41" t="s">
        <v>40</v>
      </c>
    </row>
    <row r="1426" spans="1:21">
      <c r="A1426" s="41">
        <v>1447</v>
      </c>
      <c r="B1426" s="41" t="s">
        <v>5073</v>
      </c>
      <c r="D1426" s="41">
        <v>4068</v>
      </c>
      <c r="E1426" s="41" t="s">
        <v>2405</v>
      </c>
      <c r="F1426" s="41" t="s">
        <v>53</v>
      </c>
      <c r="G1426" s="41" t="s">
        <v>64</v>
      </c>
      <c r="I1426" s="41" t="s">
        <v>5074</v>
      </c>
      <c r="J1426" s="41" t="s">
        <v>295</v>
      </c>
      <c r="K1426" s="42"/>
      <c r="L1426" s="41" t="s">
        <v>4670</v>
      </c>
      <c r="M1426" s="41">
        <v>66</v>
      </c>
      <c r="N1426" s="41" t="s">
        <v>59</v>
      </c>
      <c r="O1426" s="41" t="s">
        <v>482</v>
      </c>
      <c r="P1426" s="41" t="s">
        <v>60</v>
      </c>
      <c r="Q1426" s="41" t="s">
        <v>436</v>
      </c>
      <c r="R1426" s="41" t="s">
        <v>132</v>
      </c>
      <c r="S1426" s="41" t="s">
        <v>40</v>
      </c>
      <c r="T1426" s="41" t="s">
        <v>40</v>
      </c>
      <c r="U1426" s="41" t="s">
        <v>40</v>
      </c>
    </row>
    <row r="1427" spans="1:21">
      <c r="A1427" s="41">
        <v>1446</v>
      </c>
      <c r="B1427" s="41" t="s">
        <v>5075</v>
      </c>
      <c r="D1427" s="41">
        <v>4067</v>
      </c>
      <c r="E1427" s="41" t="s">
        <v>5076</v>
      </c>
      <c r="F1427" s="41" t="s">
        <v>53</v>
      </c>
      <c r="G1427" s="41" t="s">
        <v>307</v>
      </c>
      <c r="I1427" s="41" t="s">
        <v>1092</v>
      </c>
      <c r="J1427" s="41" t="s">
        <v>672</v>
      </c>
      <c r="K1427" s="42"/>
      <c r="L1427" s="41" t="s">
        <v>3244</v>
      </c>
      <c r="M1427" s="41">
        <v>12</v>
      </c>
      <c r="N1427" s="41" t="s">
        <v>151</v>
      </c>
      <c r="O1427" s="41" t="s">
        <v>1925</v>
      </c>
      <c r="P1427" s="41" t="s">
        <v>68</v>
      </c>
      <c r="Q1427" s="41" t="s">
        <v>3247</v>
      </c>
      <c r="R1427" s="41" t="s">
        <v>132</v>
      </c>
      <c r="S1427" s="41" t="s">
        <v>5077</v>
      </c>
      <c r="T1427" s="41" t="s">
        <v>205</v>
      </c>
      <c r="U1427" s="41" t="s">
        <v>40</v>
      </c>
    </row>
    <row r="1428" spans="1:21">
      <c r="A1428" s="41">
        <v>1445</v>
      </c>
      <c r="B1428" s="41" t="s">
        <v>5078</v>
      </c>
      <c r="D1428" s="41">
        <v>4066</v>
      </c>
      <c r="E1428" s="41" t="s">
        <v>5079</v>
      </c>
      <c r="F1428" s="41" t="s">
        <v>53</v>
      </c>
      <c r="G1428" s="41" t="s">
        <v>141</v>
      </c>
      <c r="I1428" s="41" t="s">
        <v>1137</v>
      </c>
      <c r="J1428" s="41" t="s">
        <v>380</v>
      </c>
      <c r="K1428" s="42"/>
      <c r="L1428" s="41" t="s">
        <v>5080</v>
      </c>
      <c r="M1428" s="41">
        <v>110</v>
      </c>
      <c r="N1428" s="41" t="s">
        <v>59</v>
      </c>
      <c r="O1428" s="41" t="s">
        <v>178</v>
      </c>
      <c r="P1428" s="41" t="s">
        <v>83</v>
      </c>
      <c r="Q1428" s="41" t="s">
        <v>1206</v>
      </c>
      <c r="R1428" s="41" t="s">
        <v>132</v>
      </c>
      <c r="S1428" s="41" t="s">
        <v>5081</v>
      </c>
      <c r="T1428" s="41" t="s">
        <v>1402</v>
      </c>
      <c r="U1428" s="41" t="s">
        <v>40</v>
      </c>
    </row>
    <row r="1429" spans="1:21">
      <c r="A1429" s="41">
        <v>1443</v>
      </c>
      <c r="B1429" s="41" t="s">
        <v>5082</v>
      </c>
      <c r="D1429" s="41">
        <v>4065</v>
      </c>
      <c r="E1429" s="41" t="s">
        <v>5083</v>
      </c>
      <c r="F1429" s="41" t="s">
        <v>28</v>
      </c>
      <c r="G1429" s="41" t="s">
        <v>64</v>
      </c>
      <c r="I1429" s="41" t="s">
        <v>966</v>
      </c>
      <c r="J1429" s="41" t="s">
        <v>380</v>
      </c>
      <c r="K1429" s="42"/>
      <c r="L1429" s="41" t="s">
        <v>5084</v>
      </c>
      <c r="M1429" s="41">
        <v>220</v>
      </c>
      <c r="N1429" s="41" t="s">
        <v>1619</v>
      </c>
      <c r="O1429" s="41" t="s">
        <v>2061</v>
      </c>
      <c r="P1429" s="41" t="s">
        <v>37</v>
      </c>
      <c r="Q1429" s="41" t="s">
        <v>272</v>
      </c>
      <c r="R1429" s="41" t="s">
        <v>39</v>
      </c>
      <c r="S1429" s="41" t="s">
        <v>40</v>
      </c>
      <c r="T1429" s="41" t="s">
        <v>40</v>
      </c>
      <c r="U1429" s="41" t="s">
        <v>40</v>
      </c>
    </row>
    <row r="1430" spans="1:21">
      <c r="A1430" s="41">
        <v>1442</v>
      </c>
      <c r="B1430" s="41" t="s">
        <v>3700</v>
      </c>
      <c r="D1430" s="41">
        <v>4056</v>
      </c>
      <c r="E1430" s="41" t="s">
        <v>1028</v>
      </c>
      <c r="F1430" s="41" t="s">
        <v>28</v>
      </c>
      <c r="G1430" s="41" t="s">
        <v>64</v>
      </c>
      <c r="I1430" s="41" t="s">
        <v>977</v>
      </c>
      <c r="J1430" s="41" t="s">
        <v>32</v>
      </c>
      <c r="K1430" s="42"/>
      <c r="L1430" s="41" t="s">
        <v>5085</v>
      </c>
      <c r="M1430" s="41">
        <v>110</v>
      </c>
      <c r="N1430" s="41" t="s">
        <v>4235</v>
      </c>
      <c r="O1430" s="41" t="s">
        <v>1566</v>
      </c>
      <c r="P1430" s="41" t="s">
        <v>179</v>
      </c>
      <c r="Q1430" s="41" t="s">
        <v>524</v>
      </c>
      <c r="R1430" s="41" t="s">
        <v>39</v>
      </c>
      <c r="S1430" s="41" t="s">
        <v>5086</v>
      </c>
      <c r="T1430" s="41" t="s">
        <v>5087</v>
      </c>
      <c r="U1430" s="41" t="s">
        <v>40</v>
      </c>
    </row>
    <row r="1431" spans="1:21">
      <c r="A1431" s="41">
        <v>1441</v>
      </c>
      <c r="B1431" s="41" t="s">
        <v>5088</v>
      </c>
      <c r="D1431" s="41">
        <v>4054</v>
      </c>
      <c r="E1431" s="41" t="s">
        <v>1028</v>
      </c>
      <c r="F1431" s="41" t="s">
        <v>28</v>
      </c>
      <c r="G1431" s="41" t="s">
        <v>43</v>
      </c>
      <c r="I1431" s="41" t="s">
        <v>231</v>
      </c>
      <c r="J1431" s="41" t="s">
        <v>32</v>
      </c>
      <c r="K1431" s="42"/>
      <c r="L1431" s="41" t="s">
        <v>5089</v>
      </c>
      <c r="M1431" s="41">
        <v>110</v>
      </c>
      <c r="N1431" s="41" t="s">
        <v>2791</v>
      </c>
      <c r="O1431" s="41" t="s">
        <v>1566</v>
      </c>
      <c r="P1431" s="41" t="s">
        <v>50</v>
      </c>
      <c r="Q1431" s="41" t="s">
        <v>51</v>
      </c>
      <c r="R1431" s="41" t="s">
        <v>39</v>
      </c>
      <c r="S1431" s="41" t="s">
        <v>5090</v>
      </c>
      <c r="T1431" s="41" t="s">
        <v>604</v>
      </c>
      <c r="U1431" s="41" t="s">
        <v>2101</v>
      </c>
    </row>
    <row r="1432" spans="1:21">
      <c r="A1432" s="41">
        <v>1440</v>
      </c>
      <c r="B1432" s="41" t="s">
        <v>5091</v>
      </c>
      <c r="D1432" s="41">
        <v>4053</v>
      </c>
      <c r="E1432" s="41" t="s">
        <v>1617</v>
      </c>
      <c r="F1432" s="41" t="s">
        <v>42</v>
      </c>
      <c r="G1432" s="41" t="s">
        <v>43</v>
      </c>
      <c r="I1432" s="41" t="s">
        <v>5092</v>
      </c>
      <c r="J1432" s="41" t="s">
        <v>32</v>
      </c>
      <c r="K1432" s="42"/>
      <c r="L1432" s="41" t="s">
        <v>5093</v>
      </c>
      <c r="M1432" s="41">
        <v>11</v>
      </c>
      <c r="N1432" s="41" t="s">
        <v>67</v>
      </c>
      <c r="O1432" s="41" t="s">
        <v>36</v>
      </c>
      <c r="P1432" s="41" t="s">
        <v>179</v>
      </c>
      <c r="Q1432" s="41" t="s">
        <v>592</v>
      </c>
      <c r="R1432" s="41" t="s">
        <v>39</v>
      </c>
      <c r="S1432" s="41" t="s">
        <v>40</v>
      </c>
      <c r="T1432" s="41" t="s">
        <v>5087</v>
      </c>
      <c r="U1432" s="41" t="s">
        <v>40</v>
      </c>
    </row>
    <row r="1433" spans="1:21">
      <c r="A1433" s="41">
        <v>1439</v>
      </c>
      <c r="B1433" s="41" t="s">
        <v>5094</v>
      </c>
      <c r="D1433" s="41">
        <v>4048</v>
      </c>
      <c r="E1433" s="41" t="s">
        <v>1227</v>
      </c>
      <c r="F1433" s="41" t="s">
        <v>42</v>
      </c>
      <c r="G1433" s="41" t="s">
        <v>43</v>
      </c>
      <c r="I1433" s="41" t="s">
        <v>1033</v>
      </c>
      <c r="J1433" s="41" t="s">
        <v>295</v>
      </c>
      <c r="K1433" s="42"/>
      <c r="L1433" s="41" t="s">
        <v>5095</v>
      </c>
      <c r="M1433" s="41">
        <v>33</v>
      </c>
      <c r="N1433" s="41" t="s">
        <v>5096</v>
      </c>
      <c r="O1433" s="41" t="s">
        <v>5096</v>
      </c>
      <c r="P1433" s="41" t="s">
        <v>98</v>
      </c>
      <c r="Q1433" s="41" t="s">
        <v>99</v>
      </c>
      <c r="R1433" s="41" t="s">
        <v>39</v>
      </c>
      <c r="S1433" s="41" t="s">
        <v>40</v>
      </c>
      <c r="T1433" s="41" t="s">
        <v>3491</v>
      </c>
      <c r="U1433" s="41" t="s">
        <v>40</v>
      </c>
    </row>
    <row r="1434" spans="1:21">
      <c r="A1434" s="41">
        <v>1438</v>
      </c>
      <c r="B1434" s="41" t="s">
        <v>5097</v>
      </c>
      <c r="D1434" s="41">
        <v>4047</v>
      </c>
      <c r="E1434" s="41" t="s">
        <v>1227</v>
      </c>
      <c r="F1434" s="41" t="s">
        <v>42</v>
      </c>
      <c r="G1434" s="41" t="s">
        <v>43</v>
      </c>
      <c r="I1434" s="41" t="s">
        <v>102</v>
      </c>
      <c r="J1434" s="41" t="s">
        <v>32</v>
      </c>
      <c r="K1434" s="42"/>
      <c r="L1434" s="41" t="s">
        <v>5098</v>
      </c>
      <c r="M1434" s="41">
        <v>220</v>
      </c>
      <c r="N1434" s="41" t="s">
        <v>5099</v>
      </c>
      <c r="O1434" s="41" t="s">
        <v>5099</v>
      </c>
      <c r="P1434" s="41" t="s">
        <v>98</v>
      </c>
      <c r="Q1434" s="41" t="s">
        <v>99</v>
      </c>
      <c r="R1434" s="41" t="s">
        <v>39</v>
      </c>
      <c r="S1434" s="41" t="s">
        <v>40</v>
      </c>
      <c r="T1434" s="41" t="s">
        <v>3429</v>
      </c>
      <c r="U1434" s="41" t="s">
        <v>40</v>
      </c>
    </row>
    <row r="1435" spans="1:21">
      <c r="A1435" s="41">
        <v>1436</v>
      </c>
      <c r="B1435" s="41" t="s">
        <v>5100</v>
      </c>
      <c r="D1435" s="41">
        <v>4051</v>
      </c>
      <c r="E1435" s="41" t="s">
        <v>5101</v>
      </c>
      <c r="F1435" s="41" t="s">
        <v>53</v>
      </c>
      <c r="G1435" s="41" t="s">
        <v>64</v>
      </c>
      <c r="I1435" s="41" t="s">
        <v>1168</v>
      </c>
      <c r="J1435" s="41" t="s">
        <v>32</v>
      </c>
      <c r="K1435" s="42"/>
      <c r="L1435" s="41" t="s">
        <v>5102</v>
      </c>
      <c r="M1435" s="41">
        <v>220</v>
      </c>
      <c r="N1435" s="41" t="s">
        <v>59</v>
      </c>
      <c r="O1435" s="41" t="s">
        <v>36</v>
      </c>
      <c r="P1435" s="41" t="s">
        <v>172</v>
      </c>
      <c r="Q1435" s="41" t="s">
        <v>197</v>
      </c>
      <c r="R1435" s="41" t="s">
        <v>132</v>
      </c>
      <c r="S1435" s="41" t="s">
        <v>40</v>
      </c>
      <c r="T1435" s="41" t="s">
        <v>40</v>
      </c>
      <c r="U1435" s="41" t="s">
        <v>40</v>
      </c>
    </row>
    <row r="1436" spans="1:21">
      <c r="A1436" s="41">
        <v>1435</v>
      </c>
      <c r="B1436" s="41" t="s">
        <v>5103</v>
      </c>
      <c r="D1436" s="41">
        <v>4055</v>
      </c>
      <c r="E1436" s="41" t="s">
        <v>1887</v>
      </c>
      <c r="F1436" s="41" t="s">
        <v>28</v>
      </c>
      <c r="G1436" s="41" t="s">
        <v>307</v>
      </c>
      <c r="I1436" s="41" t="s">
        <v>149</v>
      </c>
      <c r="J1436" s="41" t="s">
        <v>672</v>
      </c>
      <c r="K1436" s="42"/>
      <c r="L1436" s="41" t="s">
        <v>5104</v>
      </c>
      <c r="M1436" s="41">
        <v>220</v>
      </c>
      <c r="N1436" s="41" t="s">
        <v>5105</v>
      </c>
      <c r="O1436" s="41" t="s">
        <v>138</v>
      </c>
      <c r="P1436" s="41" t="s">
        <v>78</v>
      </c>
      <c r="Q1436" s="41" t="s">
        <v>144</v>
      </c>
      <c r="R1436" s="41" t="s">
        <v>39</v>
      </c>
      <c r="S1436" s="41" t="s">
        <v>5106</v>
      </c>
      <c r="T1436" s="41" t="s">
        <v>604</v>
      </c>
      <c r="U1436" s="41" t="s">
        <v>3491</v>
      </c>
    </row>
    <row r="1437" spans="1:21">
      <c r="A1437" s="41">
        <v>1434</v>
      </c>
      <c r="B1437" s="41" t="s">
        <v>5107</v>
      </c>
      <c r="D1437" s="41">
        <v>4050</v>
      </c>
      <c r="E1437" s="41" t="s">
        <v>2675</v>
      </c>
      <c r="F1437" s="41" t="s">
        <v>53</v>
      </c>
      <c r="G1437" s="41" t="s">
        <v>43</v>
      </c>
      <c r="I1437" s="41" t="s">
        <v>5108</v>
      </c>
      <c r="J1437" s="41" t="s">
        <v>380</v>
      </c>
      <c r="K1437" s="42"/>
      <c r="L1437" s="41" t="s">
        <v>3943</v>
      </c>
      <c r="M1437" s="41">
        <v>220</v>
      </c>
      <c r="N1437" s="41" t="s">
        <v>5109</v>
      </c>
      <c r="O1437" s="41" t="s">
        <v>5110</v>
      </c>
      <c r="P1437" s="41" t="s">
        <v>37</v>
      </c>
      <c r="Q1437" s="41" t="s">
        <v>5111</v>
      </c>
      <c r="R1437" s="41" t="s">
        <v>132</v>
      </c>
      <c r="S1437" s="41" t="s">
        <v>40</v>
      </c>
      <c r="T1437" s="41" t="s">
        <v>40</v>
      </c>
      <c r="U1437" s="41" t="s">
        <v>40</v>
      </c>
    </row>
    <row r="1438" spans="1:21">
      <c r="A1438" s="41">
        <v>1433</v>
      </c>
      <c r="B1438" s="41" t="s">
        <v>5112</v>
      </c>
      <c r="D1438" s="41">
        <v>4049</v>
      </c>
      <c r="E1438" s="41" t="s">
        <v>2675</v>
      </c>
      <c r="F1438" s="41" t="s">
        <v>53</v>
      </c>
      <c r="G1438" s="41" t="s">
        <v>43</v>
      </c>
      <c r="I1438" s="41" t="s">
        <v>5113</v>
      </c>
      <c r="J1438" s="41" t="s">
        <v>380</v>
      </c>
      <c r="K1438" s="42"/>
      <c r="L1438" s="41" t="s">
        <v>3943</v>
      </c>
      <c r="M1438" s="41">
        <v>220</v>
      </c>
      <c r="N1438" s="41" t="s">
        <v>5109</v>
      </c>
      <c r="O1438" s="41" t="s">
        <v>5114</v>
      </c>
      <c r="P1438" s="41" t="s">
        <v>37</v>
      </c>
      <c r="Q1438" s="41" t="s">
        <v>5111</v>
      </c>
      <c r="R1438" s="41" t="s">
        <v>62</v>
      </c>
      <c r="S1438" s="41" t="s">
        <v>40</v>
      </c>
      <c r="T1438" s="41" t="s">
        <v>40</v>
      </c>
      <c r="U1438" s="41" t="s">
        <v>40</v>
      </c>
    </row>
    <row r="1439" spans="1:21">
      <c r="A1439" s="41">
        <v>1431</v>
      </c>
      <c r="B1439" s="41" t="s">
        <v>5115</v>
      </c>
      <c r="D1439" s="41">
        <v>4052</v>
      </c>
      <c r="E1439" s="41" t="s">
        <v>5116</v>
      </c>
      <c r="F1439" s="41" t="s">
        <v>28</v>
      </c>
      <c r="G1439" s="41" t="s">
        <v>43</v>
      </c>
      <c r="I1439" s="41" t="s">
        <v>5117</v>
      </c>
      <c r="J1439" s="41" t="s">
        <v>295</v>
      </c>
      <c r="K1439" s="42"/>
      <c r="L1439" s="41" t="s">
        <v>527</v>
      </c>
      <c r="M1439" s="41">
        <v>13.2</v>
      </c>
      <c r="N1439" s="41" t="s">
        <v>67</v>
      </c>
      <c r="O1439" s="41" t="s">
        <v>2275</v>
      </c>
      <c r="P1439" s="41" t="s">
        <v>98</v>
      </c>
      <c r="Q1439" s="41" t="s">
        <v>98</v>
      </c>
      <c r="R1439" s="41" t="s">
        <v>39</v>
      </c>
      <c r="S1439" s="41" t="s">
        <v>5118</v>
      </c>
      <c r="T1439" s="41" t="s">
        <v>5087</v>
      </c>
      <c r="U1439" s="41" t="s">
        <v>125</v>
      </c>
    </row>
    <row r="1440" spans="1:21">
      <c r="A1440" s="41">
        <v>1427</v>
      </c>
      <c r="B1440" s="41" t="s">
        <v>5058</v>
      </c>
      <c r="D1440" s="41">
        <v>4034</v>
      </c>
      <c r="E1440" s="41" t="s">
        <v>1248</v>
      </c>
      <c r="F1440" s="41" t="s">
        <v>53</v>
      </c>
      <c r="G1440" s="41" t="s">
        <v>64</v>
      </c>
      <c r="I1440" s="41" t="s">
        <v>4594</v>
      </c>
      <c r="J1440" s="41" t="s">
        <v>672</v>
      </c>
      <c r="K1440" s="42"/>
      <c r="L1440" s="41" t="s">
        <v>5059</v>
      </c>
      <c r="M1440" s="41">
        <v>13</v>
      </c>
      <c r="N1440" s="41" t="s">
        <v>395</v>
      </c>
      <c r="O1440" s="41" t="s">
        <v>650</v>
      </c>
      <c r="P1440" s="41" t="s">
        <v>37</v>
      </c>
      <c r="Q1440" s="41" t="s">
        <v>5060</v>
      </c>
      <c r="R1440" s="41" t="s">
        <v>132</v>
      </c>
      <c r="S1440" s="41" t="s">
        <v>40</v>
      </c>
      <c r="T1440" s="41" t="s">
        <v>40</v>
      </c>
      <c r="U1440" s="41" t="s">
        <v>40</v>
      </c>
    </row>
    <row r="1441" spans="1:21">
      <c r="A1441" s="41">
        <v>1421</v>
      </c>
      <c r="B1441" s="41" t="s">
        <v>5119</v>
      </c>
      <c r="D1441" s="41">
        <v>4033</v>
      </c>
      <c r="E1441" s="41" t="s">
        <v>1028</v>
      </c>
      <c r="F1441" s="41" t="s">
        <v>28</v>
      </c>
      <c r="G1441" s="41" t="s">
        <v>301</v>
      </c>
      <c r="I1441" s="41" t="s">
        <v>1068</v>
      </c>
      <c r="J1441" s="41" t="s">
        <v>32</v>
      </c>
      <c r="K1441" s="42"/>
      <c r="L1441" s="41" t="s">
        <v>5120</v>
      </c>
      <c r="M1441" s="41">
        <v>66</v>
      </c>
      <c r="N1441" s="41" t="s">
        <v>2791</v>
      </c>
      <c r="O1441" s="41" t="s">
        <v>1566</v>
      </c>
      <c r="P1441" s="41" t="s">
        <v>546</v>
      </c>
      <c r="Q1441" s="41" t="s">
        <v>2100</v>
      </c>
      <c r="R1441" s="41" t="s">
        <v>39</v>
      </c>
      <c r="S1441" s="41" t="s">
        <v>5121</v>
      </c>
      <c r="T1441" s="41" t="s">
        <v>604</v>
      </c>
      <c r="U1441" s="41" t="s">
        <v>1894</v>
      </c>
    </row>
    <row r="1442" spans="1:21">
      <c r="A1442" s="41">
        <v>1420</v>
      </c>
      <c r="B1442" s="41" t="s">
        <v>5122</v>
      </c>
      <c r="D1442" s="41">
        <v>4032</v>
      </c>
      <c r="E1442" s="41" t="s">
        <v>1028</v>
      </c>
      <c r="F1442" s="41" t="s">
        <v>28</v>
      </c>
      <c r="G1442" s="41" t="s">
        <v>64</v>
      </c>
      <c r="I1442" s="41" t="s">
        <v>149</v>
      </c>
      <c r="J1442" s="41" t="s">
        <v>32</v>
      </c>
      <c r="K1442" s="42"/>
      <c r="L1442" s="41" t="s">
        <v>5123</v>
      </c>
      <c r="M1442" s="41">
        <v>66</v>
      </c>
      <c r="N1442" s="41" t="s">
        <v>1030</v>
      </c>
      <c r="O1442" s="41" t="s">
        <v>1566</v>
      </c>
      <c r="P1442" s="41" t="s">
        <v>546</v>
      </c>
      <c r="Q1442" s="41" t="s">
        <v>2100</v>
      </c>
      <c r="R1442" s="41" t="s">
        <v>39</v>
      </c>
      <c r="S1442" s="41" t="s">
        <v>5124</v>
      </c>
      <c r="T1442" s="41" t="s">
        <v>415</v>
      </c>
      <c r="U1442" s="41" t="s">
        <v>40</v>
      </c>
    </row>
    <row r="1443" spans="1:21">
      <c r="A1443" s="41">
        <v>1419</v>
      </c>
      <c r="B1443" s="41" t="s">
        <v>5125</v>
      </c>
      <c r="D1443" s="41">
        <v>4031</v>
      </c>
      <c r="E1443" s="41" t="s">
        <v>1028</v>
      </c>
      <c r="F1443" s="41" t="s">
        <v>28</v>
      </c>
      <c r="G1443" s="41" t="s">
        <v>301</v>
      </c>
      <c r="I1443" s="41" t="s">
        <v>3473</v>
      </c>
      <c r="J1443" s="41" t="s">
        <v>32</v>
      </c>
      <c r="K1443" s="42"/>
      <c r="L1443" s="41" t="s">
        <v>5126</v>
      </c>
      <c r="M1443" s="41">
        <v>110</v>
      </c>
      <c r="N1443" s="41" t="s">
        <v>4235</v>
      </c>
      <c r="O1443" s="41" t="s">
        <v>5127</v>
      </c>
      <c r="P1443" s="41" t="s">
        <v>179</v>
      </c>
      <c r="Q1443" s="41" t="s">
        <v>557</v>
      </c>
      <c r="R1443" s="41" t="s">
        <v>39</v>
      </c>
      <c r="S1443" s="41" t="s">
        <v>40</v>
      </c>
      <c r="T1443" s="41" t="s">
        <v>2169</v>
      </c>
      <c r="U1443" s="41" t="s">
        <v>40</v>
      </c>
    </row>
    <row r="1444" spans="1:21">
      <c r="A1444" s="41">
        <v>1418</v>
      </c>
      <c r="B1444" s="41" t="s">
        <v>5128</v>
      </c>
      <c r="D1444" s="41">
        <v>4035</v>
      </c>
      <c r="E1444" s="41" t="s">
        <v>5129</v>
      </c>
      <c r="F1444" s="41" t="s">
        <v>53</v>
      </c>
      <c r="G1444" s="41" t="s">
        <v>64</v>
      </c>
      <c r="I1444" s="41" t="s">
        <v>392</v>
      </c>
      <c r="J1444" s="41" t="s">
        <v>32</v>
      </c>
      <c r="K1444" s="42"/>
      <c r="L1444" s="41" t="s">
        <v>5130</v>
      </c>
      <c r="M1444" s="41">
        <v>220</v>
      </c>
      <c r="N1444" s="41" t="s">
        <v>1014</v>
      </c>
      <c r="O1444" s="41" t="s">
        <v>77</v>
      </c>
      <c r="P1444" s="41" t="s">
        <v>78</v>
      </c>
      <c r="Q1444" s="41" t="s">
        <v>483</v>
      </c>
      <c r="R1444" s="41" t="s">
        <v>132</v>
      </c>
      <c r="S1444" s="41" t="s">
        <v>40</v>
      </c>
      <c r="T1444" s="41" t="s">
        <v>40</v>
      </c>
      <c r="U1444" s="41" t="s">
        <v>40</v>
      </c>
    </row>
    <row r="1445" spans="1:21">
      <c r="A1445" s="41">
        <v>1417</v>
      </c>
      <c r="B1445" s="41" t="s">
        <v>5131</v>
      </c>
      <c r="D1445" s="41">
        <v>4030</v>
      </c>
      <c r="E1445" s="41" t="s">
        <v>4561</v>
      </c>
      <c r="F1445" s="41" t="s">
        <v>28</v>
      </c>
      <c r="G1445" s="41" t="s">
        <v>64</v>
      </c>
      <c r="I1445" s="41" t="s">
        <v>135</v>
      </c>
      <c r="J1445" s="41" t="s">
        <v>295</v>
      </c>
      <c r="K1445" s="42"/>
      <c r="L1445" s="41" t="s">
        <v>5132</v>
      </c>
      <c r="M1445" s="41">
        <v>220</v>
      </c>
      <c r="N1445" s="41" t="s">
        <v>5133</v>
      </c>
      <c r="O1445" s="41" t="s">
        <v>5134</v>
      </c>
      <c r="P1445" s="41" t="s">
        <v>78</v>
      </c>
      <c r="Q1445" s="41" t="s">
        <v>440</v>
      </c>
      <c r="R1445" s="41" t="s">
        <v>39</v>
      </c>
      <c r="S1445" s="41" t="s">
        <v>40</v>
      </c>
      <c r="T1445" s="41" t="s">
        <v>40</v>
      </c>
      <c r="U1445" s="41" t="s">
        <v>40</v>
      </c>
    </row>
    <row r="1446" spans="1:21">
      <c r="A1446" s="41">
        <v>1414</v>
      </c>
      <c r="B1446" s="41" t="s">
        <v>5135</v>
      </c>
      <c r="D1446" s="41">
        <v>4021</v>
      </c>
      <c r="E1446" s="41" t="s">
        <v>5136</v>
      </c>
      <c r="F1446" s="41" t="s">
        <v>53</v>
      </c>
      <c r="G1446" s="41" t="s">
        <v>64</v>
      </c>
      <c r="I1446" s="41" t="s">
        <v>4863</v>
      </c>
      <c r="J1446" s="41" t="s">
        <v>380</v>
      </c>
      <c r="K1446" s="42"/>
      <c r="L1446" s="41" t="s">
        <v>3895</v>
      </c>
      <c r="M1446" s="41">
        <v>220</v>
      </c>
      <c r="N1446" s="41" t="s">
        <v>5137</v>
      </c>
      <c r="O1446" s="41" t="s">
        <v>1045</v>
      </c>
      <c r="P1446" s="41" t="s">
        <v>60</v>
      </c>
      <c r="Q1446" s="41" t="s">
        <v>5138</v>
      </c>
      <c r="R1446" s="41" t="s">
        <v>62</v>
      </c>
      <c r="S1446" s="41" t="s">
        <v>40</v>
      </c>
      <c r="T1446" s="41" t="s">
        <v>40</v>
      </c>
      <c r="U1446" s="41" t="s">
        <v>40</v>
      </c>
    </row>
    <row r="1447" spans="1:21">
      <c r="A1447" s="41">
        <v>1413</v>
      </c>
      <c r="B1447" s="41" t="s">
        <v>5139</v>
      </c>
      <c r="D1447" s="41">
        <v>4020</v>
      </c>
      <c r="E1447" s="41" t="s">
        <v>5140</v>
      </c>
      <c r="F1447" s="41" t="s">
        <v>28</v>
      </c>
      <c r="G1447" s="41" t="s">
        <v>307</v>
      </c>
      <c r="I1447" s="41" t="s">
        <v>1068</v>
      </c>
      <c r="J1447" s="41" t="s">
        <v>1652</v>
      </c>
      <c r="K1447" s="42"/>
      <c r="L1447" s="41" t="s">
        <v>5141</v>
      </c>
      <c r="M1447" s="41">
        <v>14</v>
      </c>
      <c r="N1447" s="41" t="s">
        <v>395</v>
      </c>
      <c r="O1447" s="41" t="s">
        <v>97</v>
      </c>
      <c r="P1447" s="41" t="s">
        <v>60</v>
      </c>
      <c r="Q1447" s="41" t="s">
        <v>608</v>
      </c>
      <c r="R1447" s="41" t="s">
        <v>39</v>
      </c>
      <c r="S1447" s="41" t="s">
        <v>5142</v>
      </c>
      <c r="T1447" s="41" t="s">
        <v>454</v>
      </c>
      <c r="U1447" s="41" t="s">
        <v>40</v>
      </c>
    </row>
    <row r="1448" spans="1:21">
      <c r="A1448" s="41">
        <v>1412</v>
      </c>
      <c r="B1448" s="41" t="s">
        <v>5143</v>
      </c>
      <c r="D1448" s="41">
        <v>4019</v>
      </c>
      <c r="E1448" s="41" t="s">
        <v>4982</v>
      </c>
      <c r="F1448" s="41" t="s">
        <v>53</v>
      </c>
      <c r="G1448" s="41" t="s">
        <v>307</v>
      </c>
      <c r="I1448" s="41" t="s">
        <v>1068</v>
      </c>
      <c r="J1448" s="41" t="s">
        <v>672</v>
      </c>
      <c r="K1448" s="42"/>
      <c r="L1448" s="41" t="s">
        <v>5144</v>
      </c>
      <c r="M1448" s="41">
        <v>13</v>
      </c>
      <c r="N1448" s="41" t="s">
        <v>5145</v>
      </c>
      <c r="O1448" s="41" t="s">
        <v>402</v>
      </c>
      <c r="P1448" s="41" t="s">
        <v>60</v>
      </c>
      <c r="Q1448" s="41" t="s">
        <v>428</v>
      </c>
      <c r="R1448" s="41" t="s">
        <v>132</v>
      </c>
      <c r="S1448" s="41" t="s">
        <v>5146</v>
      </c>
      <c r="T1448" s="41" t="s">
        <v>4640</v>
      </c>
      <c r="U1448" s="41" t="s">
        <v>40</v>
      </c>
    </row>
    <row r="1449" spans="1:21">
      <c r="A1449" s="41">
        <v>1411</v>
      </c>
      <c r="B1449" s="41" t="s">
        <v>5046</v>
      </c>
      <c r="D1449" s="41">
        <v>4018</v>
      </c>
      <c r="E1449" s="41" t="s">
        <v>1248</v>
      </c>
      <c r="F1449" s="41" t="s">
        <v>53</v>
      </c>
      <c r="G1449" s="41" t="s">
        <v>64</v>
      </c>
      <c r="I1449" s="41" t="s">
        <v>1966</v>
      </c>
      <c r="J1449" s="41" t="s">
        <v>672</v>
      </c>
      <c r="K1449" s="42"/>
      <c r="L1449" s="41" t="s">
        <v>5047</v>
      </c>
      <c r="M1449" s="41">
        <v>23</v>
      </c>
      <c r="N1449" s="41" t="s">
        <v>535</v>
      </c>
      <c r="O1449" s="41" t="s">
        <v>553</v>
      </c>
      <c r="P1449" s="41" t="s">
        <v>382</v>
      </c>
      <c r="Q1449" s="41" t="s">
        <v>446</v>
      </c>
      <c r="R1449" s="41" t="s">
        <v>132</v>
      </c>
      <c r="S1449" s="41" t="s">
        <v>40</v>
      </c>
      <c r="T1449" s="41" t="s">
        <v>40</v>
      </c>
      <c r="U1449" s="41" t="s">
        <v>40</v>
      </c>
    </row>
    <row r="1450" spans="1:21">
      <c r="A1450" s="41">
        <v>1410</v>
      </c>
      <c r="B1450" s="41" t="s">
        <v>5049</v>
      </c>
      <c r="D1450" s="41">
        <v>4017</v>
      </c>
      <c r="E1450" s="41" t="s">
        <v>1248</v>
      </c>
      <c r="F1450" s="41" t="s">
        <v>53</v>
      </c>
      <c r="G1450" s="41" t="s">
        <v>64</v>
      </c>
      <c r="I1450" s="41" t="s">
        <v>1966</v>
      </c>
      <c r="J1450" s="41" t="s">
        <v>672</v>
      </c>
      <c r="K1450" s="42"/>
      <c r="L1450" s="41" t="s">
        <v>5047</v>
      </c>
      <c r="M1450" s="41">
        <v>23</v>
      </c>
      <c r="N1450" s="41" t="s">
        <v>535</v>
      </c>
      <c r="O1450" s="41" t="s">
        <v>299</v>
      </c>
      <c r="P1450" s="41" t="s">
        <v>382</v>
      </c>
      <c r="Q1450" s="41" t="s">
        <v>446</v>
      </c>
      <c r="R1450" s="41" t="s">
        <v>132</v>
      </c>
      <c r="S1450" s="41" t="s">
        <v>40</v>
      </c>
      <c r="T1450" s="41" t="s">
        <v>40</v>
      </c>
      <c r="U1450" s="41" t="s">
        <v>40</v>
      </c>
    </row>
    <row r="1451" spans="1:21">
      <c r="A1451" s="41">
        <v>1409</v>
      </c>
      <c r="B1451" s="41" t="s">
        <v>5051</v>
      </c>
      <c r="D1451" s="41">
        <v>4016</v>
      </c>
      <c r="E1451" s="41" t="s">
        <v>1248</v>
      </c>
      <c r="F1451" s="41" t="s">
        <v>53</v>
      </c>
      <c r="G1451" s="41" t="s">
        <v>64</v>
      </c>
      <c r="I1451" s="41" t="s">
        <v>1966</v>
      </c>
      <c r="J1451" s="41" t="s">
        <v>672</v>
      </c>
      <c r="K1451" s="42"/>
      <c r="L1451" s="41" t="s">
        <v>5047</v>
      </c>
      <c r="M1451" s="41">
        <v>23</v>
      </c>
      <c r="N1451" s="41" t="s">
        <v>535</v>
      </c>
      <c r="O1451" s="41" t="s">
        <v>3296</v>
      </c>
      <c r="P1451" s="41" t="s">
        <v>382</v>
      </c>
      <c r="Q1451" s="41" t="s">
        <v>446</v>
      </c>
      <c r="R1451" s="41" t="s">
        <v>132</v>
      </c>
      <c r="S1451" s="41" t="s">
        <v>40</v>
      </c>
      <c r="T1451" s="41" t="s">
        <v>40</v>
      </c>
      <c r="U1451" s="41" t="s">
        <v>40</v>
      </c>
    </row>
    <row r="1452" spans="1:21">
      <c r="A1452" s="41">
        <v>1408</v>
      </c>
      <c r="B1452" s="41" t="s">
        <v>5053</v>
      </c>
      <c r="D1452" s="41">
        <v>4015</v>
      </c>
      <c r="E1452" s="41" t="s">
        <v>1248</v>
      </c>
      <c r="F1452" s="41" t="s">
        <v>53</v>
      </c>
      <c r="G1452" s="41" t="s">
        <v>64</v>
      </c>
      <c r="I1452" s="41" t="s">
        <v>1966</v>
      </c>
      <c r="J1452" s="41" t="s">
        <v>672</v>
      </c>
      <c r="K1452" s="42"/>
      <c r="L1452" s="41" t="s">
        <v>5047</v>
      </c>
      <c r="M1452" s="41">
        <v>23</v>
      </c>
      <c r="N1452" s="41" t="s">
        <v>535</v>
      </c>
      <c r="O1452" s="41" t="s">
        <v>989</v>
      </c>
      <c r="P1452" s="41" t="s">
        <v>382</v>
      </c>
      <c r="Q1452" s="41" t="s">
        <v>446</v>
      </c>
      <c r="R1452" s="41" t="s">
        <v>132</v>
      </c>
      <c r="S1452" s="41" t="s">
        <v>40</v>
      </c>
      <c r="T1452" s="41" t="s">
        <v>40</v>
      </c>
      <c r="U1452" s="41" t="s">
        <v>40</v>
      </c>
    </row>
    <row r="1453" spans="1:21">
      <c r="A1453" s="41">
        <v>1407</v>
      </c>
      <c r="B1453" s="41" t="s">
        <v>5055</v>
      </c>
      <c r="D1453" s="41">
        <v>4014</v>
      </c>
      <c r="E1453" s="41" t="s">
        <v>1248</v>
      </c>
      <c r="F1453" s="41" t="s">
        <v>53</v>
      </c>
      <c r="G1453" s="41" t="s">
        <v>64</v>
      </c>
      <c r="I1453" s="41" t="s">
        <v>1966</v>
      </c>
      <c r="J1453" s="41" t="s">
        <v>672</v>
      </c>
      <c r="K1453" s="42"/>
      <c r="L1453" s="41" t="s">
        <v>5047</v>
      </c>
      <c r="M1453" s="41">
        <v>23</v>
      </c>
      <c r="N1453" s="41" t="s">
        <v>5147</v>
      </c>
      <c r="O1453" s="41" t="s">
        <v>565</v>
      </c>
      <c r="P1453" s="41" t="s">
        <v>382</v>
      </c>
      <c r="Q1453" s="41" t="s">
        <v>446</v>
      </c>
      <c r="R1453" s="41" t="s">
        <v>132</v>
      </c>
      <c r="S1453" s="41" t="s">
        <v>40</v>
      </c>
      <c r="T1453" s="41" t="s">
        <v>40</v>
      </c>
      <c r="U1453" s="41" t="s">
        <v>40</v>
      </c>
    </row>
    <row r="1454" spans="1:21">
      <c r="A1454" s="41">
        <v>1406</v>
      </c>
      <c r="B1454" s="41" t="s">
        <v>5148</v>
      </c>
      <c r="D1454" s="41">
        <v>4013</v>
      </c>
      <c r="E1454" s="41" t="s">
        <v>5149</v>
      </c>
      <c r="F1454" s="41" t="s">
        <v>28</v>
      </c>
      <c r="G1454" s="41" t="s">
        <v>307</v>
      </c>
      <c r="I1454" s="41" t="s">
        <v>4992</v>
      </c>
      <c r="J1454" s="41" t="s">
        <v>672</v>
      </c>
      <c r="K1454" s="42"/>
      <c r="L1454" s="41" t="s">
        <v>5150</v>
      </c>
      <c r="M1454" s="41">
        <v>220</v>
      </c>
      <c r="N1454" s="41" t="s">
        <v>5151</v>
      </c>
      <c r="O1454" s="41" t="s">
        <v>5152</v>
      </c>
      <c r="P1454" s="41" t="s">
        <v>68</v>
      </c>
      <c r="Q1454" s="41" t="s">
        <v>677</v>
      </c>
      <c r="R1454" s="41" t="s">
        <v>39</v>
      </c>
      <c r="S1454" s="41" t="s">
        <v>40</v>
      </c>
      <c r="T1454" s="41" t="s">
        <v>5087</v>
      </c>
      <c r="U1454" s="41" t="s">
        <v>40</v>
      </c>
    </row>
    <row r="1455" spans="1:21">
      <c r="A1455" s="41">
        <v>1405</v>
      </c>
      <c r="B1455" s="41" t="s">
        <v>5153</v>
      </c>
      <c r="D1455" s="41">
        <v>4012</v>
      </c>
      <c r="E1455" s="41" t="s">
        <v>5154</v>
      </c>
      <c r="F1455" s="41" t="s">
        <v>28</v>
      </c>
      <c r="G1455" s="41" t="s">
        <v>307</v>
      </c>
      <c r="I1455" s="41" t="s">
        <v>475</v>
      </c>
      <c r="J1455" s="41" t="s">
        <v>672</v>
      </c>
      <c r="K1455" s="42"/>
      <c r="L1455" s="41" t="s">
        <v>5155</v>
      </c>
      <c r="M1455" s="41">
        <v>110</v>
      </c>
      <c r="N1455" s="41" t="s">
        <v>67</v>
      </c>
      <c r="O1455" s="41" t="s">
        <v>77</v>
      </c>
      <c r="P1455" s="41" t="s">
        <v>179</v>
      </c>
      <c r="Q1455" s="41" t="s">
        <v>557</v>
      </c>
      <c r="R1455" s="41" t="s">
        <v>39</v>
      </c>
      <c r="S1455" s="41" t="s">
        <v>5156</v>
      </c>
      <c r="T1455" s="41" t="s">
        <v>415</v>
      </c>
      <c r="U1455" s="41" t="s">
        <v>40</v>
      </c>
    </row>
    <row r="1456" spans="1:21">
      <c r="A1456" s="41">
        <v>1404</v>
      </c>
      <c r="B1456" s="41" t="s">
        <v>5157</v>
      </c>
      <c r="D1456" s="41">
        <v>4006</v>
      </c>
      <c r="E1456" s="41" t="s">
        <v>1739</v>
      </c>
      <c r="F1456" s="41" t="s">
        <v>53</v>
      </c>
      <c r="G1456" s="41" t="s">
        <v>307</v>
      </c>
      <c r="I1456" s="41" t="s">
        <v>1142</v>
      </c>
      <c r="J1456" s="41" t="s">
        <v>672</v>
      </c>
      <c r="K1456" s="42"/>
      <c r="L1456" s="41" t="s">
        <v>5158</v>
      </c>
      <c r="M1456" s="41">
        <v>15</v>
      </c>
      <c r="N1456" s="41" t="s">
        <v>1623</v>
      </c>
      <c r="O1456" s="41" t="s">
        <v>650</v>
      </c>
      <c r="P1456" s="41" t="s">
        <v>172</v>
      </c>
      <c r="Q1456" s="41" t="s">
        <v>2270</v>
      </c>
      <c r="R1456" s="41" t="s">
        <v>132</v>
      </c>
      <c r="S1456" s="41" t="s">
        <v>5159</v>
      </c>
      <c r="T1456" s="41" t="s">
        <v>4640</v>
      </c>
      <c r="U1456" s="41" t="s">
        <v>40</v>
      </c>
    </row>
    <row r="1457" spans="1:21">
      <c r="A1457" s="41">
        <v>1403</v>
      </c>
      <c r="B1457" s="41" t="s">
        <v>5160</v>
      </c>
      <c r="D1457" s="41">
        <v>4005</v>
      </c>
      <c r="E1457" s="41" t="s">
        <v>1739</v>
      </c>
      <c r="F1457" s="41" t="s">
        <v>53</v>
      </c>
      <c r="G1457" s="41" t="s">
        <v>307</v>
      </c>
      <c r="I1457" s="41" t="s">
        <v>999</v>
      </c>
      <c r="J1457" s="41" t="s">
        <v>672</v>
      </c>
      <c r="K1457" s="42"/>
      <c r="L1457" s="41" t="s">
        <v>5158</v>
      </c>
      <c r="M1457" s="41">
        <v>15</v>
      </c>
      <c r="N1457" s="41" t="s">
        <v>1623</v>
      </c>
      <c r="O1457" s="41" t="s">
        <v>362</v>
      </c>
      <c r="P1457" s="41" t="s">
        <v>172</v>
      </c>
      <c r="Q1457" s="41" t="s">
        <v>2270</v>
      </c>
      <c r="R1457" s="41" t="s">
        <v>132</v>
      </c>
      <c r="S1457" s="41" t="s">
        <v>5161</v>
      </c>
      <c r="T1457" s="41" t="s">
        <v>4640</v>
      </c>
      <c r="U1457" s="41" t="s">
        <v>40</v>
      </c>
    </row>
    <row r="1458" spans="1:21">
      <c r="A1458" s="41">
        <v>1402</v>
      </c>
      <c r="B1458" s="41" t="s">
        <v>5162</v>
      </c>
      <c r="D1458" s="41">
        <v>4004</v>
      </c>
      <c r="E1458" s="41" t="s">
        <v>1286</v>
      </c>
      <c r="F1458" s="41" t="s">
        <v>42</v>
      </c>
      <c r="G1458" s="41" t="s">
        <v>64</v>
      </c>
      <c r="I1458" s="41" t="s">
        <v>5163</v>
      </c>
      <c r="J1458" s="41" t="s">
        <v>380</v>
      </c>
      <c r="K1458" s="42"/>
      <c r="L1458" s="41" t="s">
        <v>5164</v>
      </c>
      <c r="M1458" s="41">
        <v>12</v>
      </c>
      <c r="N1458" s="41" t="s">
        <v>67</v>
      </c>
      <c r="O1458" s="41" t="s">
        <v>5165</v>
      </c>
      <c r="P1458" s="41" t="s">
        <v>153</v>
      </c>
      <c r="Q1458" s="41" t="s">
        <v>2004</v>
      </c>
      <c r="R1458" s="41" t="s">
        <v>39</v>
      </c>
      <c r="S1458" s="41" t="s">
        <v>40</v>
      </c>
      <c r="T1458" s="41" t="s">
        <v>40</v>
      </c>
      <c r="U1458" s="41" t="s">
        <v>40</v>
      </c>
    </row>
    <row r="1459" spans="1:21">
      <c r="A1459" s="41">
        <v>1401</v>
      </c>
      <c r="B1459" s="41" t="s">
        <v>5139</v>
      </c>
      <c r="D1459" s="41">
        <v>3998</v>
      </c>
      <c r="E1459" s="41" t="s">
        <v>5140</v>
      </c>
      <c r="F1459" s="41" t="s">
        <v>42</v>
      </c>
      <c r="G1459" s="41" t="s">
        <v>1175</v>
      </c>
      <c r="I1459" s="41" t="s">
        <v>1068</v>
      </c>
      <c r="J1459" s="41" t="s">
        <v>1652</v>
      </c>
      <c r="K1459" s="42"/>
      <c r="L1459" s="41" t="s">
        <v>5141</v>
      </c>
      <c r="M1459" s="41">
        <v>14</v>
      </c>
      <c r="N1459" s="41" t="s">
        <v>395</v>
      </c>
      <c r="O1459" s="41" t="s">
        <v>36</v>
      </c>
      <c r="P1459" s="41" t="s">
        <v>60</v>
      </c>
      <c r="Q1459" s="41" t="s">
        <v>608</v>
      </c>
      <c r="R1459" s="41" t="s">
        <v>39</v>
      </c>
      <c r="S1459" s="41" t="s">
        <v>40</v>
      </c>
      <c r="T1459" s="41" t="s">
        <v>40</v>
      </c>
      <c r="U1459" s="41" t="s">
        <v>40</v>
      </c>
    </row>
    <row r="1460" spans="1:21">
      <c r="A1460" s="41">
        <v>1400</v>
      </c>
      <c r="B1460" s="41" t="s">
        <v>5166</v>
      </c>
      <c r="D1460" s="41">
        <v>3990</v>
      </c>
      <c r="E1460" s="41" t="s">
        <v>1227</v>
      </c>
      <c r="F1460" s="41" t="s">
        <v>53</v>
      </c>
      <c r="G1460" s="41" t="s">
        <v>64</v>
      </c>
      <c r="I1460" s="41" t="s">
        <v>5167</v>
      </c>
      <c r="J1460" s="41" t="s">
        <v>380</v>
      </c>
      <c r="K1460" s="42"/>
      <c r="L1460" s="41" t="s">
        <v>5168</v>
      </c>
      <c r="M1460" s="41">
        <v>220</v>
      </c>
      <c r="N1460" s="41" t="s">
        <v>1335</v>
      </c>
      <c r="O1460" s="41" t="s">
        <v>396</v>
      </c>
      <c r="P1460" s="41" t="s">
        <v>83</v>
      </c>
      <c r="Q1460" s="41" t="s">
        <v>4120</v>
      </c>
      <c r="R1460" s="41" t="s">
        <v>62</v>
      </c>
      <c r="S1460" s="41" t="s">
        <v>40</v>
      </c>
      <c r="T1460" s="41" t="s">
        <v>40</v>
      </c>
      <c r="U1460" s="41" t="s">
        <v>40</v>
      </c>
    </row>
    <row r="1461" spans="1:21">
      <c r="A1461" s="41">
        <v>1399</v>
      </c>
      <c r="B1461" s="41" t="s">
        <v>5169</v>
      </c>
      <c r="D1461" s="41">
        <v>3991</v>
      </c>
      <c r="E1461" s="41" t="s">
        <v>1136</v>
      </c>
      <c r="F1461" s="41" t="s">
        <v>53</v>
      </c>
      <c r="G1461" s="41" t="s">
        <v>141</v>
      </c>
      <c r="I1461" s="41" t="s">
        <v>406</v>
      </c>
      <c r="J1461" s="41" t="s">
        <v>380</v>
      </c>
      <c r="K1461" s="42"/>
      <c r="L1461" s="41" t="s">
        <v>5170</v>
      </c>
      <c r="M1461" s="41">
        <v>66</v>
      </c>
      <c r="N1461" s="41" t="s">
        <v>5171</v>
      </c>
      <c r="O1461" s="41" t="s">
        <v>5172</v>
      </c>
      <c r="P1461" s="41" t="s">
        <v>83</v>
      </c>
      <c r="Q1461" s="41" t="s">
        <v>461</v>
      </c>
      <c r="R1461" s="41" t="s">
        <v>132</v>
      </c>
      <c r="S1461" s="41" t="s">
        <v>5173</v>
      </c>
      <c r="T1461" s="41" t="s">
        <v>1172</v>
      </c>
      <c r="U1461" s="41" t="s">
        <v>40</v>
      </c>
    </row>
    <row r="1462" spans="1:21">
      <c r="A1462" s="41">
        <v>1398</v>
      </c>
      <c r="B1462" s="41" t="s">
        <v>5174</v>
      </c>
      <c r="D1462" s="41">
        <v>3988</v>
      </c>
      <c r="E1462" s="41" t="s">
        <v>4838</v>
      </c>
      <c r="F1462" s="41" t="s">
        <v>53</v>
      </c>
      <c r="G1462" s="41" t="s">
        <v>64</v>
      </c>
      <c r="I1462" s="41" t="s">
        <v>5175</v>
      </c>
      <c r="J1462" s="41" t="s">
        <v>295</v>
      </c>
      <c r="K1462" s="42"/>
      <c r="L1462" s="41" t="s">
        <v>5176</v>
      </c>
      <c r="M1462" s="41">
        <v>110</v>
      </c>
      <c r="N1462" s="41" t="s">
        <v>67</v>
      </c>
      <c r="O1462" s="41" t="s">
        <v>747</v>
      </c>
      <c r="P1462" s="41" t="s">
        <v>78</v>
      </c>
      <c r="Q1462" s="41" t="s">
        <v>79</v>
      </c>
      <c r="R1462" s="41" t="s">
        <v>132</v>
      </c>
      <c r="S1462" s="41" t="s">
        <v>40</v>
      </c>
      <c r="T1462" s="41" t="s">
        <v>40</v>
      </c>
      <c r="U1462" s="41" t="s">
        <v>40</v>
      </c>
    </row>
    <row r="1463" spans="1:21">
      <c r="A1463" s="41">
        <v>1397</v>
      </c>
      <c r="B1463" s="41" t="s">
        <v>5177</v>
      </c>
      <c r="D1463" s="41">
        <v>3989</v>
      </c>
      <c r="E1463" s="41" t="s">
        <v>1435</v>
      </c>
      <c r="F1463" s="41" t="s">
        <v>28</v>
      </c>
      <c r="G1463" s="41" t="s">
        <v>64</v>
      </c>
      <c r="I1463" s="41" t="s">
        <v>194</v>
      </c>
      <c r="J1463" s="41" t="s">
        <v>295</v>
      </c>
      <c r="K1463" s="42"/>
      <c r="L1463" s="41" t="s">
        <v>5178</v>
      </c>
      <c r="M1463" s="41">
        <v>23</v>
      </c>
      <c r="N1463" s="41" t="s">
        <v>2742</v>
      </c>
      <c r="O1463" s="41" t="s">
        <v>5179</v>
      </c>
      <c r="P1463" s="41" t="s">
        <v>98</v>
      </c>
      <c r="Q1463" s="41" t="s">
        <v>491</v>
      </c>
      <c r="R1463" s="41" t="s">
        <v>39</v>
      </c>
      <c r="S1463" s="41" t="s">
        <v>40</v>
      </c>
      <c r="T1463" s="41" t="s">
        <v>40</v>
      </c>
      <c r="U1463" s="41" t="s">
        <v>40</v>
      </c>
    </row>
    <row r="1464" spans="1:21">
      <c r="A1464" s="41">
        <v>1396</v>
      </c>
      <c r="B1464" s="41" t="s">
        <v>5180</v>
      </c>
      <c r="D1464" s="41">
        <v>3985</v>
      </c>
      <c r="E1464" s="41" t="s">
        <v>2639</v>
      </c>
      <c r="F1464" s="41" t="s">
        <v>53</v>
      </c>
      <c r="G1464" s="41" t="s">
        <v>43</v>
      </c>
      <c r="I1464" s="41" t="s">
        <v>194</v>
      </c>
      <c r="J1464" s="41" t="s">
        <v>295</v>
      </c>
      <c r="K1464" s="42"/>
      <c r="L1464" s="41" t="s">
        <v>5181</v>
      </c>
      <c r="M1464" s="41">
        <v>15</v>
      </c>
      <c r="N1464" s="41" t="s">
        <v>1596</v>
      </c>
      <c r="O1464" s="41" t="s">
        <v>402</v>
      </c>
      <c r="P1464" s="41" t="s">
        <v>172</v>
      </c>
      <c r="Q1464" s="41" t="s">
        <v>1011</v>
      </c>
      <c r="R1464" s="41" t="s">
        <v>132</v>
      </c>
      <c r="S1464" s="41" t="s">
        <v>40</v>
      </c>
      <c r="T1464" s="41" t="s">
        <v>40</v>
      </c>
      <c r="U1464" s="41" t="s">
        <v>40</v>
      </c>
    </row>
    <row r="1465" spans="1:21">
      <c r="A1465" s="41">
        <v>1395</v>
      </c>
      <c r="B1465" s="41" t="s">
        <v>5182</v>
      </c>
      <c r="D1465" s="41">
        <v>3984</v>
      </c>
      <c r="E1465" s="41" t="s">
        <v>1435</v>
      </c>
      <c r="F1465" s="41" t="s">
        <v>28</v>
      </c>
      <c r="G1465" s="41" t="s">
        <v>64</v>
      </c>
      <c r="I1465" s="41" t="s">
        <v>194</v>
      </c>
      <c r="J1465" s="41" t="s">
        <v>295</v>
      </c>
      <c r="K1465" s="42"/>
      <c r="L1465" s="41" t="s">
        <v>556</v>
      </c>
      <c r="M1465" s="41">
        <v>13</v>
      </c>
      <c r="N1465" s="41" t="s">
        <v>5000</v>
      </c>
      <c r="O1465" s="41" t="s">
        <v>5179</v>
      </c>
      <c r="P1465" s="41" t="s">
        <v>179</v>
      </c>
      <c r="Q1465" s="41" t="s">
        <v>557</v>
      </c>
      <c r="R1465" s="41" t="s">
        <v>39</v>
      </c>
      <c r="S1465" s="41" t="s">
        <v>40</v>
      </c>
      <c r="T1465" s="41" t="s">
        <v>40</v>
      </c>
      <c r="U1465" s="41" t="s">
        <v>40</v>
      </c>
    </row>
    <row r="1466" spans="1:21">
      <c r="A1466" s="41">
        <v>1394</v>
      </c>
      <c r="B1466" s="41" t="s">
        <v>5183</v>
      </c>
      <c r="D1466" s="41">
        <v>3983</v>
      </c>
      <c r="E1466" s="41" t="s">
        <v>1560</v>
      </c>
      <c r="F1466" s="41" t="s">
        <v>53</v>
      </c>
      <c r="G1466" s="41" t="s">
        <v>54</v>
      </c>
      <c r="I1466" s="41" t="s">
        <v>194</v>
      </c>
      <c r="J1466" s="41" t="s">
        <v>295</v>
      </c>
      <c r="K1466" s="42"/>
      <c r="L1466" s="41" t="s">
        <v>5184</v>
      </c>
      <c r="M1466" s="41">
        <v>12</v>
      </c>
      <c r="N1466" s="41" t="s">
        <v>5185</v>
      </c>
      <c r="O1466" s="41" t="s">
        <v>4631</v>
      </c>
      <c r="P1466" s="41" t="s">
        <v>68</v>
      </c>
      <c r="Q1466" s="41" t="s">
        <v>1156</v>
      </c>
      <c r="R1466" s="41" t="s">
        <v>132</v>
      </c>
      <c r="S1466" s="41" t="s">
        <v>40</v>
      </c>
      <c r="T1466" s="41" t="s">
        <v>40</v>
      </c>
      <c r="U1466" s="41" t="s">
        <v>40</v>
      </c>
    </row>
    <row r="1467" spans="1:21">
      <c r="A1467" s="41">
        <v>1391</v>
      </c>
      <c r="B1467" s="41" t="s">
        <v>5186</v>
      </c>
      <c r="D1467" s="41">
        <v>3974</v>
      </c>
      <c r="E1467" s="41" t="s">
        <v>2405</v>
      </c>
      <c r="F1467" s="41" t="s">
        <v>28</v>
      </c>
      <c r="G1467" s="41" t="s">
        <v>64</v>
      </c>
      <c r="I1467" s="41" t="s">
        <v>45</v>
      </c>
      <c r="J1467" s="41" t="s">
        <v>295</v>
      </c>
      <c r="K1467" s="42"/>
      <c r="L1467" s="41" t="s">
        <v>5187</v>
      </c>
      <c r="M1467" s="41">
        <v>220</v>
      </c>
      <c r="N1467" s="41" t="s">
        <v>5188</v>
      </c>
      <c r="O1467" s="41" t="s">
        <v>77</v>
      </c>
      <c r="P1467" s="41" t="s">
        <v>37</v>
      </c>
      <c r="Q1467" s="41" t="s">
        <v>38</v>
      </c>
      <c r="R1467" s="41" t="s">
        <v>39</v>
      </c>
      <c r="S1467" s="41" t="s">
        <v>40</v>
      </c>
      <c r="T1467" s="41" t="s">
        <v>40</v>
      </c>
      <c r="U1467" s="41" t="s">
        <v>40</v>
      </c>
    </row>
    <row r="1468" spans="1:21">
      <c r="A1468" s="41">
        <v>1390</v>
      </c>
      <c r="B1468" s="41" t="s">
        <v>5189</v>
      </c>
      <c r="D1468" s="41">
        <v>3973</v>
      </c>
      <c r="E1468" s="41" t="s">
        <v>5190</v>
      </c>
      <c r="F1468" s="41" t="s">
        <v>42</v>
      </c>
      <c r="G1468" s="41" t="s">
        <v>141</v>
      </c>
      <c r="I1468" s="41" t="s">
        <v>1355</v>
      </c>
      <c r="J1468" s="41" t="s">
        <v>295</v>
      </c>
      <c r="K1468" s="42"/>
      <c r="L1468" s="41" t="s">
        <v>5191</v>
      </c>
      <c r="M1468" s="41">
        <v>33</v>
      </c>
      <c r="N1468" s="41" t="s">
        <v>5192</v>
      </c>
      <c r="O1468" s="41" t="s">
        <v>36</v>
      </c>
      <c r="P1468" s="41" t="s">
        <v>179</v>
      </c>
      <c r="Q1468" s="41" t="s">
        <v>284</v>
      </c>
      <c r="R1468" s="41" t="s">
        <v>39</v>
      </c>
      <c r="S1468" s="41" t="s">
        <v>40</v>
      </c>
      <c r="T1468" s="41" t="s">
        <v>305</v>
      </c>
      <c r="U1468" s="41" t="s">
        <v>40</v>
      </c>
    </row>
    <row r="1469" spans="1:21">
      <c r="A1469" s="41">
        <v>1389</v>
      </c>
      <c r="B1469" s="41" t="s">
        <v>5193</v>
      </c>
      <c r="D1469" s="41">
        <v>3830</v>
      </c>
      <c r="E1469" s="41" t="s">
        <v>5194</v>
      </c>
      <c r="F1469" s="41" t="s">
        <v>28</v>
      </c>
      <c r="G1469" s="41" t="s">
        <v>301</v>
      </c>
      <c r="I1469" s="41" t="s">
        <v>231</v>
      </c>
      <c r="J1469" s="41" t="s">
        <v>380</v>
      </c>
      <c r="K1469" s="42"/>
      <c r="L1469" s="41" t="s">
        <v>5195</v>
      </c>
      <c r="M1469" s="41">
        <v>110</v>
      </c>
      <c r="N1469" s="41" t="s">
        <v>5196</v>
      </c>
      <c r="O1469" s="41" t="s">
        <v>5197</v>
      </c>
      <c r="P1469" s="41" t="s">
        <v>172</v>
      </c>
      <c r="Q1469" s="41" t="s">
        <v>253</v>
      </c>
      <c r="R1469" s="41" t="s">
        <v>39</v>
      </c>
      <c r="S1469" s="41" t="s">
        <v>5198</v>
      </c>
      <c r="T1469" s="41" t="s">
        <v>753</v>
      </c>
      <c r="U1469" s="41" t="s">
        <v>40</v>
      </c>
    </row>
    <row r="1470" spans="1:21">
      <c r="A1470" s="41">
        <v>1388</v>
      </c>
      <c r="B1470" s="41" t="s">
        <v>5199</v>
      </c>
      <c r="D1470" s="41">
        <v>3949</v>
      </c>
      <c r="E1470" s="41" t="s">
        <v>1560</v>
      </c>
      <c r="F1470" s="41" t="s">
        <v>28</v>
      </c>
      <c r="G1470" s="41" t="s">
        <v>301</v>
      </c>
      <c r="I1470" s="41" t="s">
        <v>194</v>
      </c>
      <c r="J1470" s="41" t="s">
        <v>295</v>
      </c>
      <c r="K1470" s="42"/>
      <c r="L1470" s="41" t="s">
        <v>5200</v>
      </c>
      <c r="M1470" s="41">
        <v>66</v>
      </c>
      <c r="N1470" s="41" t="s">
        <v>5201</v>
      </c>
      <c r="O1470" s="41" t="s">
        <v>5202</v>
      </c>
      <c r="P1470" s="41" t="s">
        <v>78</v>
      </c>
      <c r="Q1470" s="41" t="s">
        <v>238</v>
      </c>
      <c r="R1470" s="41" t="s">
        <v>39</v>
      </c>
      <c r="S1470" s="41" t="s">
        <v>5203</v>
      </c>
      <c r="T1470" s="41" t="s">
        <v>3429</v>
      </c>
      <c r="U1470" s="41" t="s">
        <v>40</v>
      </c>
    </row>
    <row r="1471" spans="1:21">
      <c r="A1471" s="41">
        <v>1387</v>
      </c>
      <c r="B1471" s="41" t="s">
        <v>5204</v>
      </c>
      <c r="D1471" s="41">
        <v>3948</v>
      </c>
      <c r="E1471" s="41" t="s">
        <v>1102</v>
      </c>
      <c r="F1471" s="41" t="s">
        <v>53</v>
      </c>
      <c r="G1471" s="41" t="s">
        <v>141</v>
      </c>
      <c r="I1471" s="41" t="s">
        <v>325</v>
      </c>
      <c r="J1471" s="41" t="s">
        <v>295</v>
      </c>
      <c r="K1471" s="42"/>
      <c r="L1471" s="41" t="s">
        <v>5205</v>
      </c>
      <c r="M1471" s="41">
        <v>220</v>
      </c>
      <c r="N1471" s="41" t="s">
        <v>5206</v>
      </c>
      <c r="O1471" s="41" t="s">
        <v>757</v>
      </c>
      <c r="P1471" s="41" t="s">
        <v>78</v>
      </c>
      <c r="Q1471" s="41" t="s">
        <v>2407</v>
      </c>
      <c r="R1471" s="41" t="s">
        <v>62</v>
      </c>
      <c r="S1471" s="41" t="s">
        <v>5207</v>
      </c>
      <c r="T1471" s="41" t="s">
        <v>1796</v>
      </c>
      <c r="U1471" s="41" t="s">
        <v>40</v>
      </c>
    </row>
    <row r="1472" spans="1:21">
      <c r="A1472" s="41">
        <v>1381</v>
      </c>
      <c r="B1472" s="41" t="s">
        <v>5208</v>
      </c>
      <c r="D1472" s="41">
        <v>3947</v>
      </c>
      <c r="E1472" s="41" t="s">
        <v>1102</v>
      </c>
      <c r="F1472" s="41" t="s">
        <v>28</v>
      </c>
      <c r="G1472" s="41" t="s">
        <v>301</v>
      </c>
      <c r="I1472" s="41" t="s">
        <v>4556</v>
      </c>
      <c r="J1472" s="41" t="s">
        <v>295</v>
      </c>
      <c r="K1472" s="42"/>
      <c r="L1472" s="41" t="s">
        <v>5209</v>
      </c>
      <c r="M1472" s="41">
        <v>110</v>
      </c>
      <c r="N1472" s="41" t="s">
        <v>5210</v>
      </c>
      <c r="O1472" s="41" t="s">
        <v>5211</v>
      </c>
      <c r="P1472" s="41" t="s">
        <v>78</v>
      </c>
      <c r="Q1472" s="41" t="s">
        <v>5212</v>
      </c>
      <c r="R1472" s="41" t="s">
        <v>39</v>
      </c>
      <c r="S1472" s="41" t="s">
        <v>5213</v>
      </c>
      <c r="T1472" s="41" t="s">
        <v>3429</v>
      </c>
      <c r="U1472" s="41" t="s">
        <v>2539</v>
      </c>
    </row>
    <row r="1473" spans="1:21">
      <c r="A1473" s="41">
        <v>1380</v>
      </c>
      <c r="B1473" s="41" t="s">
        <v>5214</v>
      </c>
      <c r="D1473" s="41">
        <v>3946</v>
      </c>
      <c r="E1473" s="41" t="s">
        <v>1213</v>
      </c>
      <c r="F1473" s="41" t="s">
        <v>53</v>
      </c>
      <c r="G1473" s="41" t="s">
        <v>141</v>
      </c>
      <c r="I1473" s="41" t="s">
        <v>56</v>
      </c>
      <c r="J1473" s="41" t="s">
        <v>295</v>
      </c>
      <c r="K1473" s="42"/>
      <c r="L1473" s="41" t="s">
        <v>5215</v>
      </c>
      <c r="M1473" s="41">
        <v>220</v>
      </c>
      <c r="N1473" s="41" t="s">
        <v>5210</v>
      </c>
      <c r="O1473" s="41" t="s">
        <v>2566</v>
      </c>
      <c r="P1473" s="41" t="s">
        <v>68</v>
      </c>
      <c r="Q1473" s="41" t="s">
        <v>244</v>
      </c>
      <c r="R1473" s="41" t="s">
        <v>62</v>
      </c>
      <c r="S1473" s="41" t="s">
        <v>5216</v>
      </c>
      <c r="T1473" s="41" t="s">
        <v>2169</v>
      </c>
      <c r="U1473" s="41" t="s">
        <v>40</v>
      </c>
    </row>
    <row r="1474" spans="1:21">
      <c r="A1474" s="41">
        <v>1379</v>
      </c>
      <c r="B1474" s="41" t="s">
        <v>5217</v>
      </c>
      <c r="D1474" s="41">
        <v>3944</v>
      </c>
      <c r="E1474" s="41" t="s">
        <v>1076</v>
      </c>
      <c r="F1474" s="41" t="s">
        <v>53</v>
      </c>
      <c r="G1474" s="41" t="s">
        <v>64</v>
      </c>
      <c r="I1474" s="41" t="s">
        <v>194</v>
      </c>
      <c r="J1474" s="41" t="s">
        <v>295</v>
      </c>
      <c r="K1474" s="42"/>
      <c r="L1474" s="41" t="s">
        <v>5218</v>
      </c>
      <c r="M1474" s="41">
        <v>13</v>
      </c>
      <c r="N1474" s="41" t="s">
        <v>67</v>
      </c>
      <c r="O1474" s="41" t="s">
        <v>402</v>
      </c>
      <c r="P1474" s="41" t="s">
        <v>37</v>
      </c>
      <c r="Q1474" s="41" t="s">
        <v>1960</v>
      </c>
      <c r="R1474" s="41" t="s">
        <v>132</v>
      </c>
      <c r="S1474" s="41" t="s">
        <v>40</v>
      </c>
      <c r="T1474" s="41" t="s">
        <v>40</v>
      </c>
      <c r="U1474" s="41" t="s">
        <v>40</v>
      </c>
    </row>
    <row r="1475" spans="1:21">
      <c r="A1475" s="41">
        <v>1378</v>
      </c>
      <c r="B1475" s="41" t="s">
        <v>5219</v>
      </c>
      <c r="D1475" s="41">
        <v>3945</v>
      </c>
      <c r="E1475" s="41" t="s">
        <v>5220</v>
      </c>
      <c r="F1475" s="41" t="s">
        <v>28</v>
      </c>
      <c r="G1475" s="41" t="s">
        <v>307</v>
      </c>
      <c r="I1475" s="41" t="s">
        <v>5221</v>
      </c>
      <c r="J1475" s="41" t="s">
        <v>1906</v>
      </c>
      <c r="K1475" s="42"/>
      <c r="L1475" s="41" t="s">
        <v>5222</v>
      </c>
      <c r="M1475" s="41">
        <v>23</v>
      </c>
      <c r="N1475" s="41" t="s">
        <v>290</v>
      </c>
      <c r="O1475" s="41" t="s">
        <v>989</v>
      </c>
      <c r="P1475" s="41" t="s">
        <v>37</v>
      </c>
      <c r="Q1475" s="41" t="s">
        <v>363</v>
      </c>
      <c r="R1475" s="41" t="s">
        <v>39</v>
      </c>
      <c r="S1475" s="41" t="s">
        <v>5223</v>
      </c>
      <c r="T1475" s="41" t="s">
        <v>454</v>
      </c>
      <c r="U1475" s="41" t="s">
        <v>205</v>
      </c>
    </row>
    <row r="1476" spans="1:21">
      <c r="A1476" s="41">
        <v>1377</v>
      </c>
      <c r="B1476" s="41" t="s">
        <v>5224</v>
      </c>
      <c r="D1476" s="41">
        <v>3942</v>
      </c>
      <c r="E1476" s="41" t="s">
        <v>2675</v>
      </c>
      <c r="F1476" s="41" t="s">
        <v>53</v>
      </c>
      <c r="G1476" s="41" t="s">
        <v>64</v>
      </c>
      <c r="I1476" s="41" t="s">
        <v>1042</v>
      </c>
      <c r="J1476" s="41" t="s">
        <v>295</v>
      </c>
      <c r="K1476" s="42"/>
      <c r="L1476" s="41" t="s">
        <v>107</v>
      </c>
      <c r="M1476" s="41">
        <v>220</v>
      </c>
      <c r="N1476" s="41" t="s">
        <v>4753</v>
      </c>
      <c r="O1476" s="41" t="s">
        <v>4754</v>
      </c>
      <c r="P1476" s="41" t="s">
        <v>98</v>
      </c>
      <c r="Q1476" s="41" t="s">
        <v>98</v>
      </c>
      <c r="R1476" s="41" t="s">
        <v>62</v>
      </c>
      <c r="S1476" s="41" t="s">
        <v>40</v>
      </c>
      <c r="T1476" s="41" t="s">
        <v>40</v>
      </c>
      <c r="U1476" s="41" t="s">
        <v>40</v>
      </c>
    </row>
    <row r="1477" spans="1:21">
      <c r="A1477" s="41">
        <v>1376</v>
      </c>
      <c r="B1477" s="41" t="s">
        <v>5225</v>
      </c>
      <c r="D1477" s="41">
        <v>3941</v>
      </c>
      <c r="E1477" s="41" t="s">
        <v>5226</v>
      </c>
      <c r="F1477" s="41" t="s">
        <v>53</v>
      </c>
      <c r="G1477" s="41" t="s">
        <v>64</v>
      </c>
      <c r="I1477" s="41" t="s">
        <v>194</v>
      </c>
      <c r="J1477" s="41" t="s">
        <v>672</v>
      </c>
      <c r="K1477" s="42"/>
      <c r="L1477" s="41" t="s">
        <v>5227</v>
      </c>
      <c r="M1477" s="41">
        <v>13</v>
      </c>
      <c r="N1477" s="41" t="s">
        <v>1020</v>
      </c>
      <c r="O1477" s="41" t="s">
        <v>5228</v>
      </c>
      <c r="P1477" s="41" t="s">
        <v>546</v>
      </c>
      <c r="Q1477" s="41" t="s">
        <v>2100</v>
      </c>
      <c r="R1477" s="41" t="s">
        <v>62</v>
      </c>
      <c r="S1477" s="41" t="s">
        <v>40</v>
      </c>
      <c r="T1477" s="41" t="s">
        <v>40</v>
      </c>
      <c r="U1477" s="41" t="s">
        <v>40</v>
      </c>
    </row>
    <row r="1478" spans="1:21">
      <c r="A1478" s="41">
        <v>1375</v>
      </c>
      <c r="B1478" s="41" t="s">
        <v>5229</v>
      </c>
      <c r="D1478" s="41">
        <v>3940</v>
      </c>
      <c r="E1478" s="41" t="s">
        <v>2664</v>
      </c>
      <c r="F1478" s="41" t="s">
        <v>53</v>
      </c>
      <c r="G1478" s="41" t="s">
        <v>141</v>
      </c>
      <c r="I1478" s="41" t="s">
        <v>56</v>
      </c>
      <c r="J1478" s="41" t="s">
        <v>672</v>
      </c>
      <c r="K1478" s="42"/>
      <c r="L1478" s="41" t="s">
        <v>4125</v>
      </c>
      <c r="M1478" s="41">
        <v>220</v>
      </c>
      <c r="N1478" s="41" t="s">
        <v>5230</v>
      </c>
      <c r="O1478" s="41" t="s">
        <v>1772</v>
      </c>
      <c r="P1478" s="41" t="s">
        <v>98</v>
      </c>
      <c r="Q1478" s="41" t="s">
        <v>98</v>
      </c>
      <c r="R1478" s="41" t="s">
        <v>132</v>
      </c>
      <c r="S1478" s="41" t="s">
        <v>5231</v>
      </c>
      <c r="T1478" s="41" t="s">
        <v>4545</v>
      </c>
      <c r="U1478" s="41" t="s">
        <v>1796</v>
      </c>
    </row>
    <row r="1479" spans="1:21">
      <c r="A1479" s="41">
        <v>1374</v>
      </c>
      <c r="B1479" s="41" t="s">
        <v>5232</v>
      </c>
      <c r="D1479" s="41">
        <v>3938</v>
      </c>
      <c r="E1479" s="41" t="s">
        <v>5233</v>
      </c>
      <c r="F1479" s="41" t="s">
        <v>53</v>
      </c>
      <c r="G1479" s="41" t="s">
        <v>1071</v>
      </c>
      <c r="I1479" s="41" t="s">
        <v>475</v>
      </c>
      <c r="J1479" s="41" t="s">
        <v>672</v>
      </c>
      <c r="K1479" s="42"/>
      <c r="L1479" s="41" t="s">
        <v>5234</v>
      </c>
      <c r="M1479" s="41">
        <v>12</v>
      </c>
      <c r="N1479" s="41" t="s">
        <v>5235</v>
      </c>
      <c r="O1479" s="41" t="s">
        <v>5236</v>
      </c>
      <c r="P1479" s="41" t="s">
        <v>68</v>
      </c>
      <c r="Q1479" s="41" t="s">
        <v>184</v>
      </c>
      <c r="R1479" s="41" t="s">
        <v>132</v>
      </c>
      <c r="S1479" s="41" t="s">
        <v>40</v>
      </c>
      <c r="T1479" s="41" t="s">
        <v>40</v>
      </c>
      <c r="U1479" s="41" t="s">
        <v>40</v>
      </c>
    </row>
    <row r="1480" spans="1:21">
      <c r="A1480" s="41">
        <v>1373</v>
      </c>
      <c r="B1480" s="41" t="s">
        <v>5237</v>
      </c>
      <c r="D1480" s="41">
        <v>3937</v>
      </c>
      <c r="E1480" s="41" t="s">
        <v>5233</v>
      </c>
      <c r="F1480" s="41" t="s">
        <v>53</v>
      </c>
      <c r="G1480" s="41" t="s">
        <v>1071</v>
      </c>
      <c r="I1480" s="41" t="s">
        <v>475</v>
      </c>
      <c r="J1480" s="41" t="s">
        <v>672</v>
      </c>
      <c r="K1480" s="42"/>
      <c r="L1480" s="41" t="s">
        <v>5234</v>
      </c>
      <c r="M1480" s="41">
        <v>12</v>
      </c>
      <c r="N1480" s="41" t="s">
        <v>5238</v>
      </c>
      <c r="O1480" s="41" t="s">
        <v>5239</v>
      </c>
      <c r="P1480" s="41" t="s">
        <v>68</v>
      </c>
      <c r="Q1480" s="41" t="s">
        <v>184</v>
      </c>
      <c r="R1480" s="41" t="s">
        <v>132</v>
      </c>
      <c r="S1480" s="41" t="s">
        <v>40</v>
      </c>
      <c r="T1480" s="41" t="s">
        <v>40</v>
      </c>
      <c r="U1480" s="41" t="s">
        <v>40</v>
      </c>
    </row>
    <row r="1481" spans="1:21">
      <c r="A1481" s="41">
        <v>1372</v>
      </c>
      <c r="B1481" s="41" t="s">
        <v>5240</v>
      </c>
      <c r="D1481" s="41">
        <v>3923</v>
      </c>
      <c r="E1481" s="41" t="s">
        <v>4410</v>
      </c>
      <c r="F1481" s="41" t="s">
        <v>53</v>
      </c>
      <c r="G1481" s="41" t="s">
        <v>141</v>
      </c>
      <c r="I1481" s="41" t="s">
        <v>194</v>
      </c>
      <c r="J1481" s="41" t="s">
        <v>295</v>
      </c>
      <c r="K1481" s="42"/>
      <c r="L1481" s="41" t="s">
        <v>5241</v>
      </c>
      <c r="M1481" s="41">
        <v>13</v>
      </c>
      <c r="N1481" s="41" t="s">
        <v>67</v>
      </c>
      <c r="O1481" s="41" t="s">
        <v>663</v>
      </c>
      <c r="P1481" s="41" t="s">
        <v>172</v>
      </c>
      <c r="Q1481" s="41" t="s">
        <v>197</v>
      </c>
      <c r="R1481" s="41" t="s">
        <v>132</v>
      </c>
      <c r="S1481" s="41" t="s">
        <v>5242</v>
      </c>
      <c r="T1481" s="41" t="s">
        <v>146</v>
      </c>
      <c r="U1481" s="41" t="s">
        <v>40</v>
      </c>
    </row>
    <row r="1482" spans="1:21">
      <c r="A1482" s="41">
        <v>1371</v>
      </c>
      <c r="B1482" s="41" t="s">
        <v>5243</v>
      </c>
      <c r="D1482" s="41">
        <v>3922</v>
      </c>
      <c r="E1482" s="41" t="s">
        <v>5244</v>
      </c>
      <c r="F1482" s="41" t="s">
        <v>53</v>
      </c>
      <c r="G1482" s="41" t="s">
        <v>141</v>
      </c>
      <c r="I1482" s="41" t="s">
        <v>56</v>
      </c>
      <c r="J1482" s="41" t="s">
        <v>295</v>
      </c>
      <c r="K1482" s="42"/>
      <c r="L1482" s="41" t="s">
        <v>5245</v>
      </c>
      <c r="M1482" s="41">
        <v>66</v>
      </c>
      <c r="N1482" s="41" t="s">
        <v>67</v>
      </c>
      <c r="O1482" s="41" t="s">
        <v>36</v>
      </c>
      <c r="P1482" s="41" t="s">
        <v>172</v>
      </c>
      <c r="Q1482" s="41" t="s">
        <v>197</v>
      </c>
      <c r="R1482" s="41" t="s">
        <v>132</v>
      </c>
      <c r="S1482" s="41" t="s">
        <v>5246</v>
      </c>
      <c r="T1482" s="41" t="s">
        <v>1846</v>
      </c>
      <c r="U1482" s="41" t="s">
        <v>40</v>
      </c>
    </row>
    <row r="1483" spans="1:21">
      <c r="A1483" s="41">
        <v>1370</v>
      </c>
      <c r="B1483" s="41" t="s">
        <v>5247</v>
      </c>
      <c r="D1483" s="41">
        <v>3921</v>
      </c>
      <c r="E1483" s="41" t="s">
        <v>5248</v>
      </c>
      <c r="F1483" s="41" t="s">
        <v>53</v>
      </c>
      <c r="G1483" s="41" t="s">
        <v>64</v>
      </c>
      <c r="I1483" s="41" t="s">
        <v>325</v>
      </c>
      <c r="J1483" s="41" t="s">
        <v>295</v>
      </c>
      <c r="K1483" s="42"/>
      <c r="L1483" s="41" t="s">
        <v>3559</v>
      </c>
      <c r="M1483" s="41">
        <v>220</v>
      </c>
      <c r="N1483" s="41" t="s">
        <v>395</v>
      </c>
      <c r="O1483" s="41" t="s">
        <v>5249</v>
      </c>
      <c r="P1483" s="41" t="s">
        <v>37</v>
      </c>
      <c r="Q1483" s="41" t="s">
        <v>1661</v>
      </c>
      <c r="R1483" s="41" t="s">
        <v>62</v>
      </c>
      <c r="S1483" s="41" t="s">
        <v>5250</v>
      </c>
      <c r="T1483" s="41" t="s">
        <v>2246</v>
      </c>
      <c r="U1483" s="41" t="s">
        <v>40</v>
      </c>
    </row>
    <row r="1484" spans="1:21">
      <c r="A1484" s="41">
        <v>1369</v>
      </c>
      <c r="B1484" s="41" t="s">
        <v>2979</v>
      </c>
      <c r="D1484" s="41">
        <v>3920</v>
      </c>
      <c r="E1484" s="41" t="s">
        <v>2980</v>
      </c>
      <c r="F1484" s="41" t="s">
        <v>53</v>
      </c>
      <c r="G1484" s="41" t="s">
        <v>64</v>
      </c>
      <c r="I1484" s="41" t="s">
        <v>392</v>
      </c>
      <c r="J1484" s="41" t="s">
        <v>380</v>
      </c>
      <c r="K1484" s="42"/>
      <c r="L1484" s="41" t="s">
        <v>109</v>
      </c>
      <c r="M1484" s="41">
        <v>220</v>
      </c>
      <c r="N1484" s="41" t="s">
        <v>1133</v>
      </c>
      <c r="O1484" s="41" t="s">
        <v>3045</v>
      </c>
      <c r="P1484" s="41" t="s">
        <v>334</v>
      </c>
      <c r="Q1484" s="41" t="s">
        <v>2984</v>
      </c>
      <c r="R1484" s="41" t="s">
        <v>62</v>
      </c>
      <c r="S1484" s="41" t="s">
        <v>40</v>
      </c>
      <c r="T1484" s="41" t="s">
        <v>40</v>
      </c>
      <c r="U1484" s="41" t="s">
        <v>40</v>
      </c>
    </row>
    <row r="1485" spans="1:21">
      <c r="A1485" s="41">
        <v>1368</v>
      </c>
      <c r="B1485" s="41" t="s">
        <v>5251</v>
      </c>
      <c r="D1485" s="41">
        <v>3908</v>
      </c>
      <c r="E1485" s="41" t="s">
        <v>5252</v>
      </c>
      <c r="F1485" s="41" t="s">
        <v>28</v>
      </c>
      <c r="G1485" s="41" t="s">
        <v>307</v>
      </c>
      <c r="I1485" s="41" t="s">
        <v>2811</v>
      </c>
      <c r="J1485" s="41" t="s">
        <v>1906</v>
      </c>
      <c r="K1485" s="42"/>
      <c r="L1485" s="41" t="s">
        <v>5253</v>
      </c>
      <c r="M1485" s="41">
        <v>23</v>
      </c>
      <c r="N1485" s="41" t="s">
        <v>5254</v>
      </c>
      <c r="O1485" s="41" t="s">
        <v>5255</v>
      </c>
      <c r="P1485" s="41" t="s">
        <v>1046</v>
      </c>
      <c r="Q1485" s="41" t="s">
        <v>5256</v>
      </c>
      <c r="R1485" s="41" t="s">
        <v>39</v>
      </c>
      <c r="S1485" s="41" t="s">
        <v>5257</v>
      </c>
      <c r="T1485" s="41" t="s">
        <v>4545</v>
      </c>
      <c r="U1485" s="41" t="s">
        <v>40</v>
      </c>
    </row>
    <row r="1486" spans="1:21">
      <c r="A1486" s="41">
        <v>1367</v>
      </c>
      <c r="B1486" s="41" t="s">
        <v>5258</v>
      </c>
      <c r="D1486" s="41">
        <v>3909</v>
      </c>
      <c r="E1486" s="41" t="s">
        <v>2940</v>
      </c>
      <c r="F1486" s="41" t="s">
        <v>53</v>
      </c>
      <c r="G1486" s="41" t="s">
        <v>64</v>
      </c>
      <c r="I1486" s="41" t="s">
        <v>1303</v>
      </c>
      <c r="J1486" s="41" t="s">
        <v>380</v>
      </c>
      <c r="K1486" s="42"/>
      <c r="L1486" s="41" t="s">
        <v>5259</v>
      </c>
      <c r="M1486" s="41">
        <v>220</v>
      </c>
      <c r="N1486" s="41" t="s">
        <v>5260</v>
      </c>
      <c r="O1486" s="41" t="s">
        <v>1045</v>
      </c>
      <c r="P1486" s="41" t="s">
        <v>153</v>
      </c>
      <c r="Q1486" s="41" t="s">
        <v>329</v>
      </c>
      <c r="R1486" s="41" t="s">
        <v>62</v>
      </c>
      <c r="S1486" s="41" t="s">
        <v>5261</v>
      </c>
      <c r="T1486" s="41" t="s">
        <v>753</v>
      </c>
      <c r="U1486" s="41" t="s">
        <v>40</v>
      </c>
    </row>
    <row r="1487" spans="1:21">
      <c r="A1487" s="41">
        <v>1365</v>
      </c>
      <c r="B1487" s="41" t="s">
        <v>5262</v>
      </c>
      <c r="D1487" s="41">
        <v>3857</v>
      </c>
      <c r="E1487" s="41" t="s">
        <v>2971</v>
      </c>
      <c r="F1487" s="41" t="s">
        <v>42</v>
      </c>
      <c r="G1487" s="41" t="s">
        <v>121</v>
      </c>
      <c r="I1487" s="41" t="s">
        <v>977</v>
      </c>
      <c r="J1487" s="41" t="s">
        <v>672</v>
      </c>
      <c r="K1487" s="42"/>
      <c r="L1487" s="41" t="s">
        <v>5263</v>
      </c>
      <c r="M1487" s="41">
        <v>69</v>
      </c>
      <c r="N1487" s="41" t="s">
        <v>67</v>
      </c>
      <c r="O1487" s="41" t="s">
        <v>445</v>
      </c>
      <c r="P1487" s="41" t="s">
        <v>98</v>
      </c>
      <c r="Q1487" s="41" t="s">
        <v>98</v>
      </c>
      <c r="R1487" s="41" t="s">
        <v>39</v>
      </c>
      <c r="S1487" s="41" t="s">
        <v>40</v>
      </c>
      <c r="T1487" s="41" t="s">
        <v>5264</v>
      </c>
      <c r="U1487" s="41" t="s">
        <v>40</v>
      </c>
    </row>
    <row r="1488" spans="1:21">
      <c r="A1488" s="41">
        <v>1364</v>
      </c>
      <c r="B1488" s="41" t="s">
        <v>300</v>
      </c>
      <c r="D1488" s="41">
        <v>3904</v>
      </c>
      <c r="E1488" s="41" t="s">
        <v>27</v>
      </c>
      <c r="F1488" s="41" t="s">
        <v>28</v>
      </c>
      <c r="G1488" s="41" t="s">
        <v>301</v>
      </c>
      <c r="I1488" s="41" t="s">
        <v>31</v>
      </c>
      <c r="J1488" s="41" t="s">
        <v>295</v>
      </c>
      <c r="K1488" s="42"/>
      <c r="L1488" s="41" t="s">
        <v>303</v>
      </c>
      <c r="M1488" s="41">
        <v>220</v>
      </c>
      <c r="N1488" s="41" t="s">
        <v>67</v>
      </c>
      <c r="O1488" s="41" t="s">
        <v>138</v>
      </c>
      <c r="P1488" s="41" t="s">
        <v>37</v>
      </c>
      <c r="Q1488" s="41" t="s">
        <v>38</v>
      </c>
      <c r="R1488" s="41" t="s">
        <v>39</v>
      </c>
      <c r="S1488" s="41" t="s">
        <v>304</v>
      </c>
      <c r="T1488" s="41" t="s">
        <v>305</v>
      </c>
      <c r="U1488" s="41" t="s">
        <v>186</v>
      </c>
    </row>
    <row r="1489" spans="1:21">
      <c r="A1489" s="41">
        <v>1363</v>
      </c>
      <c r="B1489" s="41" t="s">
        <v>5265</v>
      </c>
      <c r="D1489" s="41">
        <v>3903</v>
      </c>
      <c r="E1489" s="41" t="s">
        <v>1222</v>
      </c>
      <c r="F1489" s="41" t="s">
        <v>28</v>
      </c>
      <c r="G1489" s="41" t="s">
        <v>301</v>
      </c>
      <c r="I1489" s="41" t="s">
        <v>5266</v>
      </c>
      <c r="J1489" s="41" t="s">
        <v>295</v>
      </c>
      <c r="K1489" s="42"/>
      <c r="L1489" s="41" t="s">
        <v>5267</v>
      </c>
      <c r="M1489" s="41">
        <v>23</v>
      </c>
      <c r="N1489" s="41" t="s">
        <v>5268</v>
      </c>
      <c r="O1489" s="41" t="s">
        <v>5269</v>
      </c>
      <c r="P1489" s="41" t="s">
        <v>68</v>
      </c>
      <c r="Q1489" s="41" t="s">
        <v>699</v>
      </c>
      <c r="R1489" s="41" t="s">
        <v>39</v>
      </c>
      <c r="S1489" s="41" t="s">
        <v>5270</v>
      </c>
      <c r="T1489" s="41" t="s">
        <v>266</v>
      </c>
      <c r="U1489" s="41" t="s">
        <v>40</v>
      </c>
    </row>
    <row r="1490" spans="1:21">
      <c r="A1490" s="41">
        <v>1362</v>
      </c>
      <c r="B1490" s="41" t="s">
        <v>5271</v>
      </c>
      <c r="D1490" s="41">
        <v>3902</v>
      </c>
      <c r="E1490" s="41" t="s">
        <v>1222</v>
      </c>
      <c r="F1490" s="41" t="s">
        <v>28</v>
      </c>
      <c r="G1490" s="41" t="s">
        <v>301</v>
      </c>
      <c r="I1490" s="41" t="s">
        <v>5272</v>
      </c>
      <c r="J1490" s="41" t="s">
        <v>295</v>
      </c>
      <c r="K1490" s="42"/>
      <c r="L1490" s="41" t="s">
        <v>5267</v>
      </c>
      <c r="M1490" s="41">
        <v>23</v>
      </c>
      <c r="N1490" s="41" t="s">
        <v>395</v>
      </c>
      <c r="O1490" s="41" t="s">
        <v>5273</v>
      </c>
      <c r="P1490" s="41" t="s">
        <v>68</v>
      </c>
      <c r="Q1490" s="41" t="s">
        <v>699</v>
      </c>
      <c r="R1490" s="41" t="s">
        <v>39</v>
      </c>
      <c r="S1490" s="41" t="s">
        <v>40</v>
      </c>
      <c r="T1490" s="41" t="s">
        <v>266</v>
      </c>
      <c r="U1490" s="41" t="s">
        <v>40</v>
      </c>
    </row>
    <row r="1491" spans="1:21">
      <c r="A1491" s="41">
        <v>1361</v>
      </c>
      <c r="B1491" s="41" t="s">
        <v>5274</v>
      </c>
      <c r="D1491" s="41">
        <v>3901</v>
      </c>
      <c r="E1491" s="41" t="s">
        <v>5275</v>
      </c>
      <c r="F1491" s="41" t="s">
        <v>53</v>
      </c>
      <c r="G1491" s="41" t="s">
        <v>307</v>
      </c>
      <c r="I1491" s="41" t="s">
        <v>5276</v>
      </c>
      <c r="J1491" s="41" t="s">
        <v>672</v>
      </c>
      <c r="K1491" s="42"/>
      <c r="L1491" s="41" t="s">
        <v>5277</v>
      </c>
      <c r="M1491" s="41">
        <v>110</v>
      </c>
      <c r="N1491" s="41" t="s">
        <v>5278</v>
      </c>
      <c r="O1491" s="41" t="s">
        <v>747</v>
      </c>
      <c r="P1491" s="41" t="s">
        <v>153</v>
      </c>
      <c r="Q1491" s="41" t="s">
        <v>1757</v>
      </c>
      <c r="R1491" s="41" t="s">
        <v>132</v>
      </c>
      <c r="S1491" s="41" t="s">
        <v>5279</v>
      </c>
      <c r="T1491" s="41" t="s">
        <v>215</v>
      </c>
      <c r="U1491" s="41" t="s">
        <v>40</v>
      </c>
    </row>
    <row r="1492" spans="1:21">
      <c r="A1492" s="41">
        <v>1360</v>
      </c>
      <c r="B1492" s="41" t="s">
        <v>5280</v>
      </c>
      <c r="D1492" s="41">
        <v>3900</v>
      </c>
      <c r="E1492" s="41" t="s">
        <v>3467</v>
      </c>
      <c r="F1492" s="41" t="s">
        <v>42</v>
      </c>
      <c r="G1492" s="41" t="s">
        <v>1175</v>
      </c>
      <c r="I1492" s="41" t="s">
        <v>325</v>
      </c>
      <c r="J1492" s="41" t="s">
        <v>672</v>
      </c>
      <c r="K1492" s="42"/>
      <c r="L1492" s="41" t="s">
        <v>5281</v>
      </c>
      <c r="M1492" s="41">
        <v>220</v>
      </c>
      <c r="N1492" s="41" t="s">
        <v>1693</v>
      </c>
      <c r="O1492" s="41" t="s">
        <v>5282</v>
      </c>
      <c r="P1492" s="41" t="s">
        <v>179</v>
      </c>
      <c r="Q1492" s="41" t="s">
        <v>1116</v>
      </c>
      <c r="R1492" s="41" t="s">
        <v>39</v>
      </c>
      <c r="S1492" s="41" t="s">
        <v>40</v>
      </c>
      <c r="T1492" s="41" t="s">
        <v>40</v>
      </c>
      <c r="U1492" s="41" t="s">
        <v>40</v>
      </c>
    </row>
    <row r="1493" spans="1:21">
      <c r="A1493" s="41">
        <v>1359</v>
      </c>
      <c r="B1493" s="41" t="s">
        <v>5283</v>
      </c>
      <c r="D1493" s="41">
        <v>3899</v>
      </c>
      <c r="E1493" s="41" t="s">
        <v>5284</v>
      </c>
      <c r="F1493" s="41" t="s">
        <v>53</v>
      </c>
      <c r="G1493" s="41" t="s">
        <v>141</v>
      </c>
      <c r="I1493" s="41" t="s">
        <v>411</v>
      </c>
      <c r="J1493" s="41" t="s">
        <v>295</v>
      </c>
      <c r="K1493" s="42"/>
      <c r="L1493" s="41" t="s">
        <v>5277</v>
      </c>
      <c r="M1493" s="41">
        <v>110</v>
      </c>
      <c r="N1493" s="41" t="s">
        <v>67</v>
      </c>
      <c r="O1493" s="41" t="s">
        <v>178</v>
      </c>
      <c r="P1493" s="41" t="s">
        <v>153</v>
      </c>
      <c r="Q1493" s="41" t="s">
        <v>1280</v>
      </c>
      <c r="R1493" s="41" t="s">
        <v>132</v>
      </c>
      <c r="S1493" s="41" t="s">
        <v>5285</v>
      </c>
      <c r="T1493" s="41" t="s">
        <v>2246</v>
      </c>
      <c r="U1493" s="41" t="s">
        <v>40</v>
      </c>
    </row>
    <row r="1494" spans="1:21">
      <c r="A1494" s="41">
        <v>1358</v>
      </c>
      <c r="B1494" s="41" t="s">
        <v>5286</v>
      </c>
      <c r="D1494" s="41">
        <v>3898</v>
      </c>
      <c r="E1494" s="41" t="s">
        <v>5287</v>
      </c>
      <c r="F1494" s="41" t="s">
        <v>53</v>
      </c>
      <c r="G1494" s="41" t="s">
        <v>54</v>
      </c>
      <c r="I1494" s="41" t="s">
        <v>45</v>
      </c>
      <c r="J1494" s="41" t="s">
        <v>380</v>
      </c>
      <c r="K1494" s="42"/>
      <c r="L1494" s="41" t="s">
        <v>5168</v>
      </c>
      <c r="M1494" s="41">
        <v>220</v>
      </c>
      <c r="N1494" s="41" t="s">
        <v>1629</v>
      </c>
      <c r="O1494" s="41" t="s">
        <v>396</v>
      </c>
      <c r="P1494" s="41" t="s">
        <v>83</v>
      </c>
      <c r="Q1494" s="41" t="s">
        <v>1357</v>
      </c>
      <c r="R1494" s="41" t="s">
        <v>62</v>
      </c>
      <c r="S1494" s="41" t="s">
        <v>40</v>
      </c>
      <c r="T1494" s="41" t="s">
        <v>40</v>
      </c>
      <c r="U1494" s="41" t="s">
        <v>40</v>
      </c>
    </row>
    <row r="1495" spans="1:21">
      <c r="A1495" s="41">
        <v>1357</v>
      </c>
      <c r="B1495" s="41" t="s">
        <v>5288</v>
      </c>
      <c r="D1495" s="41">
        <v>3897</v>
      </c>
      <c r="E1495" s="41" t="s">
        <v>5289</v>
      </c>
      <c r="F1495" s="41" t="s">
        <v>53</v>
      </c>
      <c r="G1495" s="41" t="s">
        <v>64</v>
      </c>
      <c r="I1495" s="41" t="s">
        <v>5290</v>
      </c>
      <c r="J1495" s="41" t="s">
        <v>295</v>
      </c>
      <c r="K1495" s="42"/>
      <c r="L1495" s="41" t="s">
        <v>1842</v>
      </c>
      <c r="M1495" s="41">
        <v>220</v>
      </c>
      <c r="N1495" s="41" t="s">
        <v>67</v>
      </c>
      <c r="O1495" s="41" t="s">
        <v>5291</v>
      </c>
      <c r="P1495" s="41" t="s">
        <v>179</v>
      </c>
      <c r="Q1495" s="41" t="s">
        <v>532</v>
      </c>
      <c r="R1495" s="41" t="s">
        <v>62</v>
      </c>
      <c r="S1495" s="41" t="s">
        <v>40</v>
      </c>
      <c r="T1495" s="41" t="s">
        <v>40</v>
      </c>
      <c r="U1495" s="41" t="s">
        <v>40</v>
      </c>
    </row>
    <row r="1496" spans="1:21">
      <c r="A1496" s="41">
        <v>1356</v>
      </c>
      <c r="B1496" s="41" t="s">
        <v>5292</v>
      </c>
      <c r="D1496" s="41">
        <v>3896</v>
      </c>
      <c r="E1496" s="41" t="s">
        <v>5293</v>
      </c>
      <c r="F1496" s="41" t="s">
        <v>53</v>
      </c>
      <c r="G1496" s="41" t="s">
        <v>141</v>
      </c>
      <c r="I1496" s="41" t="s">
        <v>5294</v>
      </c>
      <c r="J1496" s="41" t="s">
        <v>295</v>
      </c>
      <c r="K1496" s="42"/>
      <c r="L1496" s="41" t="s">
        <v>1842</v>
      </c>
      <c r="M1496" s="41">
        <v>220</v>
      </c>
      <c r="N1496" s="41" t="s">
        <v>5295</v>
      </c>
      <c r="O1496" s="41" t="s">
        <v>271</v>
      </c>
      <c r="P1496" s="41" t="s">
        <v>179</v>
      </c>
      <c r="Q1496" s="41" t="s">
        <v>532</v>
      </c>
      <c r="R1496" s="41" t="s">
        <v>62</v>
      </c>
      <c r="S1496" s="41" t="s">
        <v>5296</v>
      </c>
      <c r="T1496" s="41" t="s">
        <v>1846</v>
      </c>
      <c r="U1496" s="41" t="s">
        <v>40</v>
      </c>
    </row>
    <row r="1497" spans="1:21">
      <c r="A1497" s="41">
        <v>1355</v>
      </c>
      <c r="B1497" s="41" t="s">
        <v>5297</v>
      </c>
      <c r="D1497" s="41">
        <v>3851</v>
      </c>
      <c r="E1497" s="41" t="s">
        <v>4522</v>
      </c>
      <c r="F1497" s="41" t="s">
        <v>53</v>
      </c>
      <c r="G1497" s="41" t="s">
        <v>64</v>
      </c>
      <c r="I1497" s="41" t="s">
        <v>194</v>
      </c>
      <c r="J1497" s="41" t="s">
        <v>295</v>
      </c>
      <c r="K1497" s="42"/>
      <c r="L1497" s="41" t="s">
        <v>5298</v>
      </c>
      <c r="M1497" s="41">
        <v>33</v>
      </c>
      <c r="N1497" s="41" t="s">
        <v>59</v>
      </c>
      <c r="O1497" s="41" t="s">
        <v>1448</v>
      </c>
      <c r="P1497" s="41" t="s">
        <v>334</v>
      </c>
      <c r="Q1497" s="41" t="s">
        <v>4481</v>
      </c>
      <c r="R1497" s="41" t="s">
        <v>132</v>
      </c>
      <c r="S1497" s="41" t="s">
        <v>40</v>
      </c>
      <c r="T1497" s="41" t="s">
        <v>40</v>
      </c>
      <c r="U1497" s="41" t="s">
        <v>40</v>
      </c>
    </row>
    <row r="1498" spans="1:21">
      <c r="A1498" s="41">
        <v>1354</v>
      </c>
      <c r="B1498" s="41" t="s">
        <v>5299</v>
      </c>
      <c r="D1498" s="41">
        <v>3850</v>
      </c>
      <c r="E1498" s="41" t="s">
        <v>1086</v>
      </c>
      <c r="F1498" s="41" t="s">
        <v>53</v>
      </c>
      <c r="G1498" s="41" t="s">
        <v>141</v>
      </c>
      <c r="I1498" s="41" t="s">
        <v>521</v>
      </c>
      <c r="J1498" s="41" t="s">
        <v>295</v>
      </c>
      <c r="K1498" s="42"/>
      <c r="L1498" s="41" t="s">
        <v>3764</v>
      </c>
      <c r="M1498" s="41">
        <v>23</v>
      </c>
      <c r="N1498" s="41" t="s">
        <v>1333</v>
      </c>
      <c r="O1498" s="41" t="s">
        <v>565</v>
      </c>
      <c r="P1498" s="41" t="s">
        <v>37</v>
      </c>
      <c r="Q1498" s="41" t="s">
        <v>969</v>
      </c>
      <c r="R1498" s="41" t="s">
        <v>62</v>
      </c>
      <c r="S1498" s="41" t="s">
        <v>5300</v>
      </c>
      <c r="T1498" s="41" t="s">
        <v>210</v>
      </c>
      <c r="U1498" s="41" t="s">
        <v>1621</v>
      </c>
    </row>
    <row r="1499" spans="1:21">
      <c r="A1499" s="41">
        <v>1353</v>
      </c>
      <c r="B1499" s="41" t="s">
        <v>306</v>
      </c>
      <c r="D1499" s="41">
        <v>3849</v>
      </c>
      <c r="E1499" s="41" t="s">
        <v>27</v>
      </c>
      <c r="F1499" s="41" t="s">
        <v>28</v>
      </c>
      <c r="G1499" s="41" t="s">
        <v>307</v>
      </c>
      <c r="I1499" s="41" t="s">
        <v>201</v>
      </c>
      <c r="J1499" s="41" t="s">
        <v>295</v>
      </c>
      <c r="K1499" s="42"/>
      <c r="L1499" s="41" t="s">
        <v>309</v>
      </c>
      <c r="M1499" s="41">
        <v>220</v>
      </c>
      <c r="N1499" s="41" t="s">
        <v>310</v>
      </c>
      <c r="O1499" s="41" t="s">
        <v>311</v>
      </c>
      <c r="P1499" s="41" t="s">
        <v>98</v>
      </c>
      <c r="Q1499" s="41" t="s">
        <v>204</v>
      </c>
      <c r="R1499" s="41" t="s">
        <v>39</v>
      </c>
      <c r="S1499" s="41" t="s">
        <v>312</v>
      </c>
      <c r="T1499" s="41" t="s">
        <v>313</v>
      </c>
      <c r="U1499" s="41" t="s">
        <v>40</v>
      </c>
    </row>
    <row r="1500" spans="1:21">
      <c r="A1500" s="41">
        <v>1352</v>
      </c>
      <c r="B1500" s="41" t="s">
        <v>5274</v>
      </c>
      <c r="D1500" s="41">
        <v>3848</v>
      </c>
      <c r="E1500" s="41" t="s">
        <v>5275</v>
      </c>
      <c r="F1500" s="41" t="s">
        <v>53</v>
      </c>
      <c r="G1500" s="41" t="s">
        <v>64</v>
      </c>
      <c r="I1500" s="41" t="s">
        <v>5276</v>
      </c>
      <c r="J1500" s="41" t="s">
        <v>672</v>
      </c>
      <c r="K1500" s="42"/>
      <c r="L1500" s="41" t="s">
        <v>5277</v>
      </c>
      <c r="M1500" s="41">
        <v>110</v>
      </c>
      <c r="N1500" s="41" t="s">
        <v>5301</v>
      </c>
      <c r="O1500" s="41" t="s">
        <v>747</v>
      </c>
      <c r="P1500" s="41" t="s">
        <v>153</v>
      </c>
      <c r="Q1500" s="41" t="s">
        <v>1757</v>
      </c>
      <c r="R1500" s="41" t="s">
        <v>132</v>
      </c>
      <c r="S1500" s="41" t="s">
        <v>40</v>
      </c>
      <c r="T1500" s="41" t="s">
        <v>40</v>
      </c>
      <c r="U1500" s="41" t="s">
        <v>40</v>
      </c>
    </row>
    <row r="1501" spans="1:21">
      <c r="A1501" s="41">
        <v>1351</v>
      </c>
      <c r="B1501" s="41" t="s">
        <v>5302</v>
      </c>
      <c r="D1501" s="41">
        <v>3847</v>
      </c>
      <c r="E1501" s="41" t="s">
        <v>5303</v>
      </c>
      <c r="F1501" s="41" t="s">
        <v>53</v>
      </c>
      <c r="G1501" s="41" t="s">
        <v>64</v>
      </c>
      <c r="I1501" s="41" t="s">
        <v>5304</v>
      </c>
      <c r="J1501" s="41" t="s">
        <v>32</v>
      </c>
      <c r="K1501" s="42"/>
      <c r="L1501" s="41" t="s">
        <v>5130</v>
      </c>
      <c r="M1501" s="41">
        <v>220</v>
      </c>
      <c r="N1501" s="41" t="s">
        <v>67</v>
      </c>
      <c r="O1501" s="41" t="s">
        <v>5305</v>
      </c>
      <c r="P1501" s="41" t="s">
        <v>78</v>
      </c>
      <c r="Q1501" s="41" t="s">
        <v>483</v>
      </c>
      <c r="R1501" s="41" t="s">
        <v>132</v>
      </c>
      <c r="S1501" s="41" t="s">
        <v>40</v>
      </c>
      <c r="T1501" s="41" t="s">
        <v>40</v>
      </c>
      <c r="U1501" s="41" t="s">
        <v>40</v>
      </c>
    </row>
    <row r="1502" spans="1:21">
      <c r="A1502" s="41">
        <v>1350</v>
      </c>
      <c r="B1502" s="41" t="s">
        <v>5306</v>
      </c>
      <c r="D1502" s="41">
        <v>3834</v>
      </c>
      <c r="E1502" s="41" t="s">
        <v>5307</v>
      </c>
      <c r="F1502" s="41" t="s">
        <v>53</v>
      </c>
      <c r="G1502" s="41" t="s">
        <v>141</v>
      </c>
      <c r="I1502" s="41" t="s">
        <v>45</v>
      </c>
      <c r="J1502" s="41" t="s">
        <v>295</v>
      </c>
      <c r="K1502" s="42"/>
      <c r="L1502" s="41" t="s">
        <v>5215</v>
      </c>
      <c r="M1502" s="41">
        <v>220</v>
      </c>
      <c r="N1502" s="41" t="s">
        <v>5308</v>
      </c>
      <c r="O1502" s="41" t="s">
        <v>5309</v>
      </c>
      <c r="P1502" s="41" t="s">
        <v>78</v>
      </c>
      <c r="Q1502" s="41" t="s">
        <v>5310</v>
      </c>
      <c r="R1502" s="41" t="s">
        <v>132</v>
      </c>
      <c r="S1502" s="41" t="s">
        <v>5311</v>
      </c>
      <c r="T1502" s="41" t="s">
        <v>1894</v>
      </c>
      <c r="U1502" s="41" t="s">
        <v>40</v>
      </c>
    </row>
    <row r="1503" spans="1:21">
      <c r="A1503" s="41">
        <v>1349</v>
      </c>
      <c r="B1503" s="41" t="s">
        <v>3320</v>
      </c>
      <c r="D1503" s="41">
        <v>3833</v>
      </c>
      <c r="E1503" s="41" t="s">
        <v>1161</v>
      </c>
      <c r="F1503" s="41" t="s">
        <v>53</v>
      </c>
      <c r="G1503" s="41" t="s">
        <v>64</v>
      </c>
      <c r="I1503" s="41" t="s">
        <v>5312</v>
      </c>
      <c r="J1503" s="41" t="s">
        <v>295</v>
      </c>
      <c r="K1503" s="42"/>
      <c r="L1503" s="41" t="s">
        <v>3639</v>
      </c>
      <c r="M1503" s="41">
        <v>12</v>
      </c>
      <c r="N1503" s="41" t="s">
        <v>395</v>
      </c>
      <c r="O1503" s="41" t="s">
        <v>1095</v>
      </c>
      <c r="P1503" s="41" t="s">
        <v>68</v>
      </c>
      <c r="Q1503" s="41" t="s">
        <v>1165</v>
      </c>
      <c r="R1503" s="41" t="s">
        <v>132</v>
      </c>
      <c r="S1503" s="41" t="s">
        <v>40</v>
      </c>
      <c r="T1503" s="41" t="s">
        <v>40</v>
      </c>
      <c r="U1503" s="41" t="s">
        <v>40</v>
      </c>
    </row>
    <row r="1504" spans="1:21">
      <c r="A1504" s="41">
        <v>1348</v>
      </c>
      <c r="B1504" s="41" t="s">
        <v>5313</v>
      </c>
      <c r="D1504" s="41">
        <v>3832</v>
      </c>
      <c r="E1504" s="41" t="s">
        <v>5314</v>
      </c>
      <c r="F1504" s="41" t="s">
        <v>53</v>
      </c>
      <c r="G1504" s="41" t="s">
        <v>64</v>
      </c>
      <c r="I1504" s="41" t="s">
        <v>45</v>
      </c>
      <c r="J1504" s="41" t="s">
        <v>295</v>
      </c>
      <c r="K1504" s="42"/>
      <c r="L1504" s="41" t="s">
        <v>5315</v>
      </c>
      <c r="M1504" s="41">
        <v>220</v>
      </c>
      <c r="N1504" s="41" t="s">
        <v>67</v>
      </c>
      <c r="O1504" s="41" t="s">
        <v>757</v>
      </c>
      <c r="P1504" s="41" t="s">
        <v>1046</v>
      </c>
      <c r="Q1504" s="41" t="s">
        <v>5316</v>
      </c>
      <c r="R1504" s="41" t="s">
        <v>62</v>
      </c>
      <c r="S1504" s="41" t="s">
        <v>5317</v>
      </c>
      <c r="T1504" s="41" t="s">
        <v>706</v>
      </c>
      <c r="U1504" s="41" t="s">
        <v>40</v>
      </c>
    </row>
    <row r="1505" spans="1:21">
      <c r="A1505" s="41">
        <v>1347</v>
      </c>
      <c r="B1505" s="41" t="s">
        <v>5318</v>
      </c>
      <c r="D1505" s="41">
        <v>3831</v>
      </c>
      <c r="E1505" s="41" t="s">
        <v>1385</v>
      </c>
      <c r="F1505" s="41" t="s">
        <v>53</v>
      </c>
      <c r="G1505" s="41" t="s">
        <v>141</v>
      </c>
      <c r="I1505" s="41" t="s">
        <v>5319</v>
      </c>
      <c r="J1505" s="41" t="s">
        <v>32</v>
      </c>
      <c r="K1505" s="42"/>
      <c r="L1505" s="41" t="s">
        <v>1386</v>
      </c>
      <c r="M1505" s="41">
        <v>220</v>
      </c>
      <c r="N1505" s="41" t="s">
        <v>1908</v>
      </c>
      <c r="O1505" s="41" t="s">
        <v>757</v>
      </c>
      <c r="P1505" s="41" t="s">
        <v>37</v>
      </c>
      <c r="Q1505" s="41" t="s">
        <v>1387</v>
      </c>
      <c r="R1505" s="41" t="s">
        <v>132</v>
      </c>
      <c r="S1505" s="41" t="s">
        <v>5320</v>
      </c>
      <c r="T1505" s="41" t="s">
        <v>313</v>
      </c>
      <c r="U1505" s="41" t="s">
        <v>2187</v>
      </c>
    </row>
    <row r="1506" spans="1:21">
      <c r="A1506" s="41">
        <v>1346</v>
      </c>
      <c r="B1506" s="41" t="s">
        <v>5321</v>
      </c>
      <c r="D1506" s="41">
        <v>3829</v>
      </c>
      <c r="E1506" s="41" t="s">
        <v>5190</v>
      </c>
      <c r="F1506" s="41" t="s">
        <v>53</v>
      </c>
      <c r="G1506" s="41" t="s">
        <v>141</v>
      </c>
      <c r="I1506" s="41" t="s">
        <v>338</v>
      </c>
      <c r="J1506" s="41" t="s">
        <v>295</v>
      </c>
      <c r="K1506" s="42"/>
      <c r="L1506" s="41" t="s">
        <v>4890</v>
      </c>
      <c r="M1506" s="41">
        <v>220</v>
      </c>
      <c r="N1506" s="41" t="s">
        <v>5322</v>
      </c>
      <c r="O1506" s="41" t="s">
        <v>2566</v>
      </c>
      <c r="P1506" s="41" t="s">
        <v>153</v>
      </c>
      <c r="Q1506" s="41" t="s">
        <v>329</v>
      </c>
      <c r="R1506" s="41" t="s">
        <v>132</v>
      </c>
      <c r="S1506" s="41" t="s">
        <v>5323</v>
      </c>
      <c r="T1506" s="41" t="s">
        <v>2187</v>
      </c>
      <c r="U1506" s="41" t="s">
        <v>40</v>
      </c>
    </row>
    <row r="1507" spans="1:21">
      <c r="A1507" s="41">
        <v>1345</v>
      </c>
      <c r="B1507" s="41" t="s">
        <v>5324</v>
      </c>
      <c r="D1507" s="41">
        <v>3828</v>
      </c>
      <c r="E1507" s="41" t="s">
        <v>1560</v>
      </c>
      <c r="F1507" s="41" t="s">
        <v>28</v>
      </c>
      <c r="G1507" s="41" t="s">
        <v>64</v>
      </c>
      <c r="I1507" s="41" t="s">
        <v>194</v>
      </c>
      <c r="J1507" s="41" t="s">
        <v>295</v>
      </c>
      <c r="K1507" s="42"/>
      <c r="L1507" s="41" t="s">
        <v>5325</v>
      </c>
      <c r="M1507" s="41">
        <v>66</v>
      </c>
      <c r="N1507" s="41" t="s">
        <v>5326</v>
      </c>
      <c r="O1507" s="41" t="s">
        <v>5326</v>
      </c>
      <c r="P1507" s="41" t="s">
        <v>334</v>
      </c>
      <c r="Q1507" s="41" t="s">
        <v>1591</v>
      </c>
      <c r="R1507" s="41" t="s">
        <v>39</v>
      </c>
      <c r="S1507" s="41" t="s">
        <v>40</v>
      </c>
      <c r="T1507" s="41" t="s">
        <v>40</v>
      </c>
      <c r="U1507" s="41" t="s">
        <v>40</v>
      </c>
    </row>
    <row r="1508" spans="1:21">
      <c r="A1508" s="41">
        <v>1344</v>
      </c>
      <c r="B1508" s="41" t="s">
        <v>5327</v>
      </c>
      <c r="E1508" s="41" t="s">
        <v>5190</v>
      </c>
      <c r="F1508" s="41" t="s">
        <v>53</v>
      </c>
      <c r="G1508" s="41" t="s">
        <v>43</v>
      </c>
      <c r="I1508" s="41" t="s">
        <v>338</v>
      </c>
      <c r="J1508" s="41" t="s">
        <v>295</v>
      </c>
      <c r="K1508" s="42"/>
      <c r="L1508" s="41" t="s">
        <v>5328</v>
      </c>
      <c r="M1508" s="41">
        <v>220</v>
      </c>
      <c r="N1508" s="41" t="s">
        <v>5329</v>
      </c>
      <c r="O1508" s="41" t="s">
        <v>2566</v>
      </c>
      <c r="P1508" s="41" t="s">
        <v>153</v>
      </c>
      <c r="Q1508" s="41" t="s">
        <v>329</v>
      </c>
      <c r="R1508" s="41" t="s">
        <v>132</v>
      </c>
      <c r="S1508" s="41" t="s">
        <v>40</v>
      </c>
      <c r="T1508" s="41" t="s">
        <v>40</v>
      </c>
      <c r="U1508" s="41" t="s">
        <v>40</v>
      </c>
    </row>
    <row r="1509" spans="1:21">
      <c r="A1509" s="41">
        <v>1343</v>
      </c>
      <c r="B1509" s="41" t="s">
        <v>5330</v>
      </c>
      <c r="D1509" s="41">
        <v>3827</v>
      </c>
      <c r="E1509" s="41" t="s">
        <v>1560</v>
      </c>
      <c r="F1509" s="41" t="s">
        <v>28</v>
      </c>
      <c r="G1509" s="41" t="s">
        <v>64</v>
      </c>
      <c r="I1509" s="41" t="s">
        <v>194</v>
      </c>
      <c r="J1509" s="41" t="s">
        <v>295</v>
      </c>
      <c r="K1509" s="42"/>
      <c r="L1509" s="41" t="s">
        <v>5200</v>
      </c>
      <c r="M1509" s="41">
        <v>66</v>
      </c>
      <c r="N1509" s="41" t="s">
        <v>5331</v>
      </c>
      <c r="O1509" s="41" t="s">
        <v>5331</v>
      </c>
      <c r="P1509" s="41" t="s">
        <v>78</v>
      </c>
      <c r="Q1509" s="41" t="s">
        <v>238</v>
      </c>
      <c r="R1509" s="41" t="s">
        <v>39</v>
      </c>
      <c r="S1509" s="41" t="s">
        <v>40</v>
      </c>
      <c r="T1509" s="41" t="s">
        <v>40</v>
      </c>
      <c r="U1509" s="41" t="s">
        <v>40</v>
      </c>
    </row>
    <row r="1510" spans="1:21">
      <c r="A1510" s="41">
        <v>1341</v>
      </c>
      <c r="B1510" s="41" t="s">
        <v>5332</v>
      </c>
      <c r="D1510" s="41">
        <v>3816</v>
      </c>
      <c r="E1510" s="41" t="s">
        <v>5333</v>
      </c>
      <c r="F1510" s="41" t="s">
        <v>53</v>
      </c>
      <c r="G1510" s="41" t="s">
        <v>141</v>
      </c>
      <c r="I1510" s="41" t="s">
        <v>1480</v>
      </c>
      <c r="J1510" s="41" t="s">
        <v>32</v>
      </c>
      <c r="K1510" s="42"/>
      <c r="L1510" s="41" t="s">
        <v>5334</v>
      </c>
      <c r="M1510" s="41">
        <v>66</v>
      </c>
      <c r="N1510" s="41" t="s">
        <v>719</v>
      </c>
      <c r="O1510" s="41" t="s">
        <v>5335</v>
      </c>
      <c r="P1510" s="41" t="s">
        <v>68</v>
      </c>
      <c r="Q1510" s="41" t="s">
        <v>3518</v>
      </c>
      <c r="R1510" s="41" t="s">
        <v>132</v>
      </c>
      <c r="S1510" s="41" t="s">
        <v>5336</v>
      </c>
      <c r="T1510" s="41" t="s">
        <v>313</v>
      </c>
      <c r="U1510" s="41" t="s">
        <v>2187</v>
      </c>
    </row>
    <row r="1511" spans="1:21">
      <c r="A1511" s="41">
        <v>1340</v>
      </c>
      <c r="B1511" s="41" t="s">
        <v>5337</v>
      </c>
      <c r="D1511" s="41">
        <v>3815</v>
      </c>
      <c r="E1511" s="41" t="s">
        <v>1248</v>
      </c>
      <c r="F1511" s="41" t="s">
        <v>53</v>
      </c>
      <c r="G1511" s="41" t="s">
        <v>1071</v>
      </c>
      <c r="I1511" s="41" t="s">
        <v>2477</v>
      </c>
      <c r="J1511" s="41" t="s">
        <v>672</v>
      </c>
      <c r="K1511" s="42"/>
      <c r="L1511" s="41" t="s">
        <v>5338</v>
      </c>
      <c r="M1511" s="41">
        <v>23</v>
      </c>
      <c r="N1511" s="41" t="s">
        <v>2517</v>
      </c>
      <c r="O1511" s="41" t="s">
        <v>565</v>
      </c>
      <c r="P1511" s="41" t="s">
        <v>83</v>
      </c>
      <c r="Q1511" s="41" t="s">
        <v>461</v>
      </c>
      <c r="R1511" s="41" t="s">
        <v>132</v>
      </c>
      <c r="S1511" s="41" t="s">
        <v>40</v>
      </c>
      <c r="T1511" s="41" t="s">
        <v>40</v>
      </c>
      <c r="U1511" s="41" t="s">
        <v>40</v>
      </c>
    </row>
    <row r="1512" spans="1:21">
      <c r="A1512" s="41">
        <v>1339</v>
      </c>
      <c r="B1512" s="41" t="s">
        <v>5339</v>
      </c>
      <c r="D1512" s="41">
        <v>3814</v>
      </c>
      <c r="E1512" s="41" t="s">
        <v>5340</v>
      </c>
      <c r="F1512" s="41" t="s">
        <v>28</v>
      </c>
      <c r="G1512" s="41" t="s">
        <v>64</v>
      </c>
      <c r="I1512" s="41" t="s">
        <v>45</v>
      </c>
      <c r="J1512" s="41" t="s">
        <v>295</v>
      </c>
      <c r="K1512" s="42"/>
      <c r="L1512" s="41" t="s">
        <v>5341</v>
      </c>
      <c r="M1512" s="41">
        <v>220</v>
      </c>
      <c r="N1512" s="41" t="s">
        <v>59</v>
      </c>
      <c r="O1512" s="41" t="s">
        <v>36</v>
      </c>
      <c r="P1512" s="41" t="s">
        <v>60</v>
      </c>
      <c r="Q1512" s="41" t="s">
        <v>1348</v>
      </c>
      <c r="R1512" s="41" t="s">
        <v>39</v>
      </c>
      <c r="S1512" s="41" t="s">
        <v>40</v>
      </c>
      <c r="T1512" s="41" t="s">
        <v>40</v>
      </c>
      <c r="U1512" s="41" t="s">
        <v>40</v>
      </c>
    </row>
    <row r="1513" spans="1:21">
      <c r="A1513" s="41">
        <v>1338</v>
      </c>
      <c r="B1513" s="41" t="s">
        <v>5342</v>
      </c>
      <c r="D1513" s="41">
        <v>3813</v>
      </c>
      <c r="E1513" s="41" t="s">
        <v>5343</v>
      </c>
      <c r="F1513" s="41" t="s">
        <v>53</v>
      </c>
      <c r="G1513" s="41" t="s">
        <v>64</v>
      </c>
      <c r="I1513" s="41" t="s">
        <v>194</v>
      </c>
      <c r="J1513" s="41" t="s">
        <v>295</v>
      </c>
      <c r="K1513" s="42"/>
      <c r="L1513" s="41" t="s">
        <v>5344</v>
      </c>
      <c r="M1513" s="41">
        <v>13</v>
      </c>
      <c r="N1513" s="41" t="s">
        <v>5345</v>
      </c>
      <c r="O1513" s="41" t="s">
        <v>5346</v>
      </c>
      <c r="P1513" s="41" t="s">
        <v>334</v>
      </c>
      <c r="Q1513" s="41" t="s">
        <v>335</v>
      </c>
      <c r="R1513" s="41" t="s">
        <v>132</v>
      </c>
      <c r="S1513" s="41" t="s">
        <v>40</v>
      </c>
      <c r="T1513" s="41" t="s">
        <v>40</v>
      </c>
      <c r="U1513" s="41" t="s">
        <v>40</v>
      </c>
    </row>
    <row r="1514" spans="1:21">
      <c r="A1514" s="41">
        <v>1337</v>
      </c>
      <c r="B1514" s="41" t="s">
        <v>5347</v>
      </c>
      <c r="D1514" s="41">
        <v>3812</v>
      </c>
      <c r="E1514" s="41" t="s">
        <v>5343</v>
      </c>
      <c r="F1514" s="41" t="s">
        <v>53</v>
      </c>
      <c r="G1514" s="41" t="s">
        <v>64</v>
      </c>
      <c r="I1514" s="41" t="s">
        <v>194</v>
      </c>
      <c r="J1514" s="41" t="s">
        <v>295</v>
      </c>
      <c r="K1514" s="42"/>
      <c r="L1514" s="41" t="s">
        <v>5344</v>
      </c>
      <c r="M1514" s="41">
        <v>13</v>
      </c>
      <c r="N1514" s="41" t="s">
        <v>5348</v>
      </c>
      <c r="O1514" s="41" t="s">
        <v>619</v>
      </c>
      <c r="P1514" s="41" t="s">
        <v>334</v>
      </c>
      <c r="Q1514" s="41" t="s">
        <v>335</v>
      </c>
      <c r="R1514" s="41" t="s">
        <v>132</v>
      </c>
      <c r="S1514" s="41" t="s">
        <v>40</v>
      </c>
      <c r="T1514" s="41" t="s">
        <v>40</v>
      </c>
      <c r="U1514" s="41" t="s">
        <v>40</v>
      </c>
    </row>
    <row r="1515" spans="1:21">
      <c r="A1515" s="41">
        <v>1336</v>
      </c>
      <c r="B1515" s="41" t="s">
        <v>314</v>
      </c>
      <c r="D1515" s="41">
        <v>3811</v>
      </c>
      <c r="E1515" s="41" t="s">
        <v>27</v>
      </c>
      <c r="F1515" s="41" t="s">
        <v>28</v>
      </c>
      <c r="G1515" s="41" t="s">
        <v>64</v>
      </c>
      <c r="I1515" s="41" t="s">
        <v>316</v>
      </c>
      <c r="J1515" s="41" t="s">
        <v>295</v>
      </c>
      <c r="K1515" s="42"/>
      <c r="L1515" s="41" t="s">
        <v>318</v>
      </c>
      <c r="M1515" s="41">
        <v>13</v>
      </c>
      <c r="N1515" s="41" t="s">
        <v>319</v>
      </c>
      <c r="O1515" s="41" t="s">
        <v>320</v>
      </c>
      <c r="P1515" s="41" t="s">
        <v>98</v>
      </c>
      <c r="Q1515" s="41" t="s">
        <v>98</v>
      </c>
      <c r="R1515" s="41" t="s">
        <v>39</v>
      </c>
      <c r="S1515" s="41" t="s">
        <v>321</v>
      </c>
      <c r="T1515" s="41" t="s">
        <v>322</v>
      </c>
      <c r="U1515" s="41" t="s">
        <v>40</v>
      </c>
    </row>
    <row r="1516" spans="1:21">
      <c r="A1516" s="41">
        <v>1335</v>
      </c>
      <c r="B1516" s="41" t="s">
        <v>5349</v>
      </c>
      <c r="D1516" s="41">
        <v>3810</v>
      </c>
      <c r="E1516" s="41" t="s">
        <v>1286</v>
      </c>
      <c r="F1516" s="41" t="s">
        <v>53</v>
      </c>
      <c r="G1516" s="41" t="s">
        <v>64</v>
      </c>
      <c r="I1516" s="41" t="s">
        <v>5350</v>
      </c>
      <c r="J1516" s="41" t="s">
        <v>380</v>
      </c>
      <c r="K1516" s="42"/>
      <c r="L1516" s="41" t="s">
        <v>4020</v>
      </c>
      <c r="M1516" s="41">
        <v>220</v>
      </c>
      <c r="N1516" s="41" t="s">
        <v>5351</v>
      </c>
      <c r="O1516" s="41" t="s">
        <v>1045</v>
      </c>
      <c r="P1516" s="41" t="s">
        <v>382</v>
      </c>
      <c r="Q1516" s="41" t="s">
        <v>4021</v>
      </c>
      <c r="R1516" s="41" t="s">
        <v>62</v>
      </c>
      <c r="S1516" s="41" t="s">
        <v>5352</v>
      </c>
      <c r="T1516" s="41" t="s">
        <v>313</v>
      </c>
      <c r="U1516" s="41" t="s">
        <v>40</v>
      </c>
    </row>
    <row r="1517" spans="1:21">
      <c r="A1517" s="41">
        <v>1334</v>
      </c>
      <c r="B1517" s="41" t="s">
        <v>5353</v>
      </c>
      <c r="D1517" s="41">
        <v>3809</v>
      </c>
      <c r="E1517" s="41" t="s">
        <v>1286</v>
      </c>
      <c r="F1517" s="41" t="s">
        <v>53</v>
      </c>
      <c r="G1517" s="41" t="s">
        <v>141</v>
      </c>
      <c r="I1517" s="41" t="s">
        <v>1018</v>
      </c>
      <c r="J1517" s="41" t="s">
        <v>295</v>
      </c>
      <c r="K1517" s="42"/>
      <c r="L1517" s="41" t="s">
        <v>3525</v>
      </c>
      <c r="M1517" s="41">
        <v>220</v>
      </c>
      <c r="N1517" s="41" t="s">
        <v>3526</v>
      </c>
      <c r="O1517" s="41" t="s">
        <v>396</v>
      </c>
      <c r="P1517" s="41" t="s">
        <v>68</v>
      </c>
      <c r="Q1517" s="41" t="s">
        <v>244</v>
      </c>
      <c r="R1517" s="41" t="s">
        <v>62</v>
      </c>
      <c r="S1517" s="41" t="s">
        <v>5354</v>
      </c>
      <c r="T1517" s="41" t="s">
        <v>1289</v>
      </c>
      <c r="U1517" s="41" t="s">
        <v>40</v>
      </c>
    </row>
    <row r="1518" spans="1:21">
      <c r="A1518" s="41">
        <v>1333</v>
      </c>
      <c r="B1518" s="41" t="s">
        <v>5355</v>
      </c>
      <c r="D1518" s="41">
        <v>3808</v>
      </c>
      <c r="E1518" s="41" t="s">
        <v>2639</v>
      </c>
      <c r="F1518" s="41" t="s">
        <v>53</v>
      </c>
      <c r="G1518" s="41" t="s">
        <v>43</v>
      </c>
      <c r="I1518" s="41" t="s">
        <v>338</v>
      </c>
      <c r="J1518" s="41" t="s">
        <v>380</v>
      </c>
      <c r="K1518" s="42"/>
      <c r="L1518" s="41" t="s">
        <v>3559</v>
      </c>
      <c r="M1518" s="41">
        <v>220</v>
      </c>
      <c r="N1518" s="41" t="s">
        <v>1014</v>
      </c>
      <c r="O1518" s="41" t="s">
        <v>3023</v>
      </c>
      <c r="P1518" s="41" t="s">
        <v>37</v>
      </c>
      <c r="Q1518" s="41" t="s">
        <v>3560</v>
      </c>
      <c r="R1518" s="41" t="s">
        <v>62</v>
      </c>
      <c r="S1518" s="41" t="s">
        <v>5356</v>
      </c>
      <c r="T1518" s="41" t="s">
        <v>313</v>
      </c>
      <c r="U1518" s="41" t="s">
        <v>40</v>
      </c>
    </row>
    <row r="1519" spans="1:21">
      <c r="A1519" s="41">
        <v>1332</v>
      </c>
      <c r="B1519" s="41" t="s">
        <v>5357</v>
      </c>
      <c r="D1519" s="41">
        <v>3807</v>
      </c>
      <c r="E1519" s="41" t="s">
        <v>5358</v>
      </c>
      <c r="F1519" s="41" t="s">
        <v>53</v>
      </c>
      <c r="G1519" s="41" t="s">
        <v>141</v>
      </c>
      <c r="I1519" s="41" t="s">
        <v>5359</v>
      </c>
      <c r="J1519" s="41" t="s">
        <v>295</v>
      </c>
      <c r="K1519" s="42"/>
      <c r="L1519" s="41" t="s">
        <v>545</v>
      </c>
      <c r="M1519" s="41">
        <v>220</v>
      </c>
      <c r="N1519" s="41" t="s">
        <v>5360</v>
      </c>
      <c r="O1519" s="41" t="s">
        <v>4131</v>
      </c>
      <c r="P1519" s="41" t="s">
        <v>546</v>
      </c>
      <c r="Q1519" s="41" t="s">
        <v>547</v>
      </c>
      <c r="R1519" s="41" t="s">
        <v>62</v>
      </c>
      <c r="S1519" s="41" t="s">
        <v>5361</v>
      </c>
      <c r="T1519" s="41" t="s">
        <v>1894</v>
      </c>
      <c r="U1519" s="41" t="s">
        <v>1231</v>
      </c>
    </row>
    <row r="1520" spans="1:21">
      <c r="A1520" s="41">
        <v>1331</v>
      </c>
      <c r="B1520" s="41" t="s">
        <v>5362</v>
      </c>
      <c r="D1520" s="41">
        <v>3806</v>
      </c>
      <c r="E1520" s="41" t="s">
        <v>3714</v>
      </c>
      <c r="F1520" s="41" t="s">
        <v>53</v>
      </c>
      <c r="G1520" s="41" t="s">
        <v>64</v>
      </c>
      <c r="I1520" s="41" t="s">
        <v>102</v>
      </c>
      <c r="J1520" s="41" t="s">
        <v>380</v>
      </c>
      <c r="K1520" s="42"/>
      <c r="L1520" s="41" t="s">
        <v>5363</v>
      </c>
      <c r="M1520" s="41">
        <v>220</v>
      </c>
      <c r="N1520" s="41" t="s">
        <v>67</v>
      </c>
      <c r="O1520" s="41" t="s">
        <v>36</v>
      </c>
      <c r="P1520" s="41" t="s">
        <v>98</v>
      </c>
      <c r="Q1520" s="41" t="s">
        <v>204</v>
      </c>
      <c r="R1520" s="41" t="s">
        <v>62</v>
      </c>
      <c r="S1520" s="41" t="s">
        <v>5336</v>
      </c>
      <c r="T1520" s="41" t="s">
        <v>40</v>
      </c>
      <c r="U1520" s="41" t="s">
        <v>40</v>
      </c>
    </row>
    <row r="1521" spans="1:21">
      <c r="A1521" s="41">
        <v>1330</v>
      </c>
      <c r="B1521" s="41" t="s">
        <v>5364</v>
      </c>
      <c r="D1521" s="41">
        <v>3805</v>
      </c>
      <c r="E1521" s="41" t="s">
        <v>1076</v>
      </c>
      <c r="F1521" s="41" t="s">
        <v>53</v>
      </c>
      <c r="G1521" s="41" t="s">
        <v>64</v>
      </c>
      <c r="I1521" s="41" t="s">
        <v>149</v>
      </c>
      <c r="J1521" s="41" t="s">
        <v>32</v>
      </c>
      <c r="K1521" s="42"/>
      <c r="L1521" s="41" t="s">
        <v>5365</v>
      </c>
      <c r="M1521" s="41">
        <v>66</v>
      </c>
      <c r="N1521" s="41" t="s">
        <v>67</v>
      </c>
      <c r="O1521" s="41" t="s">
        <v>482</v>
      </c>
      <c r="P1521" s="41" t="s">
        <v>37</v>
      </c>
      <c r="Q1521" s="41" t="s">
        <v>1960</v>
      </c>
      <c r="R1521" s="41" t="s">
        <v>132</v>
      </c>
      <c r="S1521" s="41" t="s">
        <v>5366</v>
      </c>
      <c r="T1521" s="41" t="s">
        <v>1773</v>
      </c>
      <c r="U1521" s="41" t="s">
        <v>40</v>
      </c>
    </row>
    <row r="1522" spans="1:21">
      <c r="A1522" s="41">
        <v>1329</v>
      </c>
      <c r="B1522" s="41" t="s">
        <v>5367</v>
      </c>
      <c r="D1522" s="41">
        <v>3804</v>
      </c>
      <c r="E1522" s="41" t="s">
        <v>1076</v>
      </c>
      <c r="F1522" s="41" t="s">
        <v>53</v>
      </c>
      <c r="G1522" s="41" t="s">
        <v>64</v>
      </c>
      <c r="I1522" s="41" t="s">
        <v>1303</v>
      </c>
      <c r="J1522" s="41" t="s">
        <v>295</v>
      </c>
      <c r="K1522" s="42"/>
      <c r="L1522" s="41" t="s">
        <v>3559</v>
      </c>
      <c r="M1522" s="41">
        <v>220</v>
      </c>
      <c r="N1522" s="41" t="s">
        <v>395</v>
      </c>
      <c r="O1522" s="41" t="s">
        <v>5368</v>
      </c>
      <c r="P1522" s="41" t="s">
        <v>37</v>
      </c>
      <c r="Q1522" s="41" t="s">
        <v>1960</v>
      </c>
      <c r="R1522" s="41" t="s">
        <v>62</v>
      </c>
      <c r="S1522" s="41" t="s">
        <v>5369</v>
      </c>
      <c r="T1522" s="41" t="s">
        <v>313</v>
      </c>
      <c r="U1522" s="41" t="s">
        <v>40</v>
      </c>
    </row>
    <row r="1523" spans="1:21">
      <c r="A1523" s="41">
        <v>1328</v>
      </c>
      <c r="B1523" s="41" t="s">
        <v>4781</v>
      </c>
      <c r="D1523" s="41">
        <v>3785</v>
      </c>
      <c r="E1523" s="41" t="s">
        <v>2196</v>
      </c>
      <c r="F1523" s="41" t="s">
        <v>42</v>
      </c>
      <c r="G1523" s="41" t="s">
        <v>43</v>
      </c>
      <c r="I1523" s="41" t="s">
        <v>231</v>
      </c>
      <c r="J1523" s="41" t="s">
        <v>32</v>
      </c>
      <c r="K1523" s="42"/>
      <c r="L1523" s="41" t="s">
        <v>4782</v>
      </c>
      <c r="M1523" s="41">
        <v>23</v>
      </c>
      <c r="N1523" s="41" t="s">
        <v>5370</v>
      </c>
      <c r="O1523" s="41" t="s">
        <v>5371</v>
      </c>
      <c r="P1523" s="41" t="s">
        <v>98</v>
      </c>
      <c r="Q1523" s="41" t="s">
        <v>116</v>
      </c>
      <c r="R1523" s="41" t="s">
        <v>39</v>
      </c>
      <c r="S1523" s="41" t="s">
        <v>40</v>
      </c>
      <c r="T1523" s="41" t="s">
        <v>40</v>
      </c>
      <c r="U1523" s="41" t="s">
        <v>40</v>
      </c>
    </row>
    <row r="1524" spans="1:21">
      <c r="A1524" s="41">
        <v>1327</v>
      </c>
      <c r="B1524" s="41" t="s">
        <v>5372</v>
      </c>
      <c r="D1524" s="41">
        <v>3755</v>
      </c>
      <c r="E1524" s="41" t="s">
        <v>5373</v>
      </c>
      <c r="F1524" s="41" t="s">
        <v>53</v>
      </c>
      <c r="G1524" s="41" t="s">
        <v>141</v>
      </c>
      <c r="I1524" s="41" t="s">
        <v>392</v>
      </c>
      <c r="J1524" s="41" t="s">
        <v>295</v>
      </c>
      <c r="K1524" s="42"/>
      <c r="L1524" s="41" t="s">
        <v>2723</v>
      </c>
      <c r="M1524" s="41">
        <v>220</v>
      </c>
      <c r="N1524" s="41" t="s">
        <v>445</v>
      </c>
      <c r="O1524" s="41" t="s">
        <v>2413</v>
      </c>
      <c r="P1524" s="41" t="s">
        <v>68</v>
      </c>
      <c r="Q1524" s="41" t="s">
        <v>1254</v>
      </c>
      <c r="R1524" s="41" t="s">
        <v>62</v>
      </c>
      <c r="S1524" s="41" t="s">
        <v>5374</v>
      </c>
      <c r="T1524" s="41" t="s">
        <v>1773</v>
      </c>
      <c r="U1524" s="41" t="s">
        <v>1500</v>
      </c>
    </row>
    <row r="1525" spans="1:21">
      <c r="A1525" s="41">
        <v>1326</v>
      </c>
      <c r="B1525" s="41" t="s">
        <v>5375</v>
      </c>
      <c r="D1525" s="41">
        <v>3754</v>
      </c>
      <c r="E1525" s="41" t="s">
        <v>5376</v>
      </c>
      <c r="F1525" s="41" t="s">
        <v>53</v>
      </c>
      <c r="G1525" s="41" t="s">
        <v>1071</v>
      </c>
      <c r="I1525" s="41" t="s">
        <v>5377</v>
      </c>
      <c r="J1525" s="41" t="s">
        <v>672</v>
      </c>
      <c r="K1525" s="42"/>
      <c r="L1525" s="41" t="s">
        <v>5378</v>
      </c>
      <c r="M1525" s="41">
        <v>23</v>
      </c>
      <c r="N1525" s="41" t="s">
        <v>2517</v>
      </c>
      <c r="O1525" s="41" t="s">
        <v>553</v>
      </c>
      <c r="P1525" s="41" t="s">
        <v>37</v>
      </c>
      <c r="Q1525" s="41" t="s">
        <v>1125</v>
      </c>
      <c r="R1525" s="41" t="s">
        <v>132</v>
      </c>
      <c r="S1525" s="41" t="s">
        <v>40</v>
      </c>
      <c r="T1525" s="41" t="s">
        <v>40</v>
      </c>
      <c r="U1525" s="41" t="s">
        <v>40</v>
      </c>
    </row>
    <row r="1526" spans="1:21">
      <c r="A1526" s="41">
        <v>1325</v>
      </c>
      <c r="B1526" s="41" t="s">
        <v>5379</v>
      </c>
      <c r="D1526" s="41">
        <v>3753</v>
      </c>
      <c r="E1526" s="41" t="s">
        <v>5154</v>
      </c>
      <c r="F1526" s="41" t="s">
        <v>42</v>
      </c>
      <c r="G1526" s="41" t="s">
        <v>1175</v>
      </c>
      <c r="I1526" s="41" t="s">
        <v>3938</v>
      </c>
      <c r="J1526" s="41" t="s">
        <v>672</v>
      </c>
      <c r="K1526" s="42"/>
      <c r="L1526" s="41" t="s">
        <v>5380</v>
      </c>
      <c r="M1526" s="41">
        <v>110</v>
      </c>
      <c r="N1526" s="41" t="s">
        <v>59</v>
      </c>
      <c r="O1526" s="41" t="s">
        <v>36</v>
      </c>
      <c r="P1526" s="41" t="s">
        <v>179</v>
      </c>
      <c r="Q1526" s="41" t="s">
        <v>557</v>
      </c>
      <c r="R1526" s="41" t="s">
        <v>39</v>
      </c>
      <c r="S1526" s="41" t="s">
        <v>40</v>
      </c>
      <c r="T1526" s="41" t="s">
        <v>40</v>
      </c>
      <c r="U1526" s="41" t="s">
        <v>40</v>
      </c>
    </row>
    <row r="1527" spans="1:21">
      <c r="A1527" s="41">
        <v>1324</v>
      </c>
      <c r="B1527" s="41" t="s">
        <v>5381</v>
      </c>
      <c r="D1527" s="41">
        <v>3752</v>
      </c>
      <c r="E1527" s="41" t="s">
        <v>5382</v>
      </c>
      <c r="F1527" s="41" t="s">
        <v>53</v>
      </c>
      <c r="G1527" s="41" t="s">
        <v>64</v>
      </c>
      <c r="I1527" s="41" t="s">
        <v>1024</v>
      </c>
      <c r="J1527" s="41" t="s">
        <v>295</v>
      </c>
      <c r="K1527" s="42"/>
      <c r="L1527" s="41" t="s">
        <v>4722</v>
      </c>
      <c r="M1527" s="41">
        <v>220</v>
      </c>
      <c r="N1527" s="41" t="s">
        <v>5383</v>
      </c>
      <c r="O1527" s="41" t="s">
        <v>5384</v>
      </c>
      <c r="P1527" s="41" t="s">
        <v>179</v>
      </c>
      <c r="Q1527" s="41" t="s">
        <v>284</v>
      </c>
      <c r="R1527" s="41" t="s">
        <v>62</v>
      </c>
      <c r="S1527" s="41" t="s">
        <v>40</v>
      </c>
      <c r="T1527" s="41" t="s">
        <v>40</v>
      </c>
      <c r="U1527" s="41" t="s">
        <v>40</v>
      </c>
    </row>
    <row r="1528" spans="1:21">
      <c r="A1528" s="41">
        <v>1322</v>
      </c>
      <c r="B1528" s="41" t="s">
        <v>5385</v>
      </c>
      <c r="D1528" s="41">
        <v>3751</v>
      </c>
      <c r="E1528" s="41" t="s">
        <v>5386</v>
      </c>
      <c r="F1528" s="41" t="s">
        <v>53</v>
      </c>
      <c r="G1528" s="41" t="s">
        <v>141</v>
      </c>
      <c r="I1528" s="41" t="s">
        <v>5387</v>
      </c>
      <c r="J1528" s="41" t="s">
        <v>672</v>
      </c>
      <c r="K1528" s="42"/>
      <c r="L1528" s="41" t="s">
        <v>4125</v>
      </c>
      <c r="M1528" s="41">
        <v>220</v>
      </c>
      <c r="N1528" s="41" t="s">
        <v>340</v>
      </c>
      <c r="O1528" s="41" t="s">
        <v>2072</v>
      </c>
      <c r="P1528" s="41" t="s">
        <v>98</v>
      </c>
      <c r="Q1528" s="41" t="s">
        <v>98</v>
      </c>
      <c r="R1528" s="41" t="s">
        <v>132</v>
      </c>
      <c r="S1528" s="41" t="s">
        <v>5388</v>
      </c>
      <c r="T1528" s="41" t="s">
        <v>4545</v>
      </c>
      <c r="U1528" s="41" t="s">
        <v>266</v>
      </c>
    </row>
    <row r="1529" spans="1:21">
      <c r="A1529" s="41">
        <v>1321</v>
      </c>
      <c r="B1529" s="41" t="s">
        <v>5389</v>
      </c>
      <c r="D1529" s="41">
        <v>3750</v>
      </c>
      <c r="E1529" s="41" t="s">
        <v>5390</v>
      </c>
      <c r="F1529" s="41" t="s">
        <v>53</v>
      </c>
      <c r="G1529" s="41" t="s">
        <v>54</v>
      </c>
      <c r="I1529" s="41" t="s">
        <v>56</v>
      </c>
      <c r="J1529" s="41" t="s">
        <v>32</v>
      </c>
      <c r="K1529" s="42"/>
      <c r="L1529" s="41" t="s">
        <v>5391</v>
      </c>
      <c r="M1529" s="41">
        <v>66</v>
      </c>
      <c r="N1529" s="41" t="s">
        <v>59</v>
      </c>
      <c r="O1529" s="41" t="s">
        <v>482</v>
      </c>
      <c r="P1529" s="41" t="s">
        <v>334</v>
      </c>
      <c r="Q1529" s="41" t="s">
        <v>335</v>
      </c>
      <c r="R1529" s="41" t="s">
        <v>62</v>
      </c>
      <c r="S1529" s="41" t="s">
        <v>40</v>
      </c>
      <c r="T1529" s="41" t="s">
        <v>40</v>
      </c>
      <c r="U1529" s="41" t="s">
        <v>40</v>
      </c>
    </row>
    <row r="1530" spans="1:21">
      <c r="A1530" s="41">
        <v>1320</v>
      </c>
      <c r="B1530" s="41" t="s">
        <v>5392</v>
      </c>
      <c r="D1530" s="41">
        <v>3749</v>
      </c>
      <c r="E1530" s="41" t="s">
        <v>5393</v>
      </c>
      <c r="F1530" s="41" t="s">
        <v>53</v>
      </c>
      <c r="G1530" s="41" t="s">
        <v>1071</v>
      </c>
      <c r="I1530" s="41" t="s">
        <v>1092</v>
      </c>
      <c r="J1530" s="41" t="s">
        <v>672</v>
      </c>
      <c r="K1530" s="42"/>
      <c r="L1530" s="41" t="s">
        <v>5394</v>
      </c>
      <c r="M1530" s="41">
        <v>12</v>
      </c>
      <c r="N1530" s="41" t="s">
        <v>5395</v>
      </c>
      <c r="O1530" s="41" t="s">
        <v>5396</v>
      </c>
      <c r="P1530" s="41" t="s">
        <v>68</v>
      </c>
      <c r="Q1530" s="41" t="s">
        <v>5397</v>
      </c>
      <c r="R1530" s="41" t="s">
        <v>132</v>
      </c>
      <c r="S1530" s="41" t="s">
        <v>40</v>
      </c>
      <c r="T1530" s="41" t="s">
        <v>40</v>
      </c>
      <c r="U1530" s="41" t="s">
        <v>40</v>
      </c>
    </row>
    <row r="1531" spans="1:21">
      <c r="A1531" s="41">
        <v>1316</v>
      </c>
      <c r="B1531" s="41" t="s">
        <v>5332</v>
      </c>
      <c r="D1531" s="41">
        <v>3746</v>
      </c>
      <c r="E1531" s="41" t="s">
        <v>5333</v>
      </c>
      <c r="F1531" s="41" t="s">
        <v>53</v>
      </c>
      <c r="G1531" s="41" t="s">
        <v>64</v>
      </c>
      <c r="I1531" s="41" t="s">
        <v>1480</v>
      </c>
      <c r="J1531" s="41" t="s">
        <v>32</v>
      </c>
      <c r="K1531" s="42"/>
      <c r="L1531" s="41" t="s">
        <v>5334</v>
      </c>
      <c r="M1531" s="41">
        <v>66</v>
      </c>
      <c r="N1531" s="41" t="s">
        <v>719</v>
      </c>
      <c r="O1531" s="41" t="s">
        <v>5335</v>
      </c>
      <c r="P1531" s="41" t="s">
        <v>68</v>
      </c>
      <c r="Q1531" s="41" t="s">
        <v>3518</v>
      </c>
      <c r="R1531" s="41" t="s">
        <v>132</v>
      </c>
      <c r="S1531" s="41" t="s">
        <v>40</v>
      </c>
      <c r="T1531" s="41" t="s">
        <v>40</v>
      </c>
      <c r="U1531" s="41" t="s">
        <v>40</v>
      </c>
    </row>
    <row r="1532" spans="1:21">
      <c r="A1532" s="41">
        <v>1313</v>
      </c>
      <c r="B1532" s="41" t="s">
        <v>5398</v>
      </c>
      <c r="D1532" s="41">
        <v>3703</v>
      </c>
      <c r="E1532" s="41" t="s">
        <v>3500</v>
      </c>
      <c r="F1532" s="41" t="s">
        <v>28</v>
      </c>
      <c r="G1532" s="41" t="s">
        <v>307</v>
      </c>
      <c r="I1532" s="41" t="s">
        <v>1068</v>
      </c>
      <c r="J1532" s="41" t="s">
        <v>672</v>
      </c>
      <c r="K1532" s="42"/>
      <c r="L1532" s="41" t="s">
        <v>615</v>
      </c>
      <c r="M1532" s="41">
        <v>23</v>
      </c>
      <c r="N1532" s="41" t="s">
        <v>67</v>
      </c>
      <c r="O1532" s="41" t="s">
        <v>1194</v>
      </c>
      <c r="P1532" s="41" t="s">
        <v>50</v>
      </c>
      <c r="Q1532" s="41" t="s">
        <v>51</v>
      </c>
      <c r="R1532" s="41" t="s">
        <v>39</v>
      </c>
      <c r="S1532" s="41" t="s">
        <v>5399</v>
      </c>
      <c r="T1532" s="41" t="s">
        <v>5264</v>
      </c>
      <c r="U1532" s="41" t="s">
        <v>40</v>
      </c>
    </row>
    <row r="1533" spans="1:21">
      <c r="A1533" s="41">
        <v>1312</v>
      </c>
      <c r="B1533" s="41" t="s">
        <v>5400</v>
      </c>
      <c r="D1533" s="41">
        <v>3717</v>
      </c>
      <c r="E1533" s="41" t="s">
        <v>5401</v>
      </c>
      <c r="F1533" s="41" t="s">
        <v>53</v>
      </c>
      <c r="G1533" s="41" t="s">
        <v>64</v>
      </c>
      <c r="I1533" s="41" t="s">
        <v>194</v>
      </c>
      <c r="J1533" s="41" t="s">
        <v>295</v>
      </c>
      <c r="K1533" s="42"/>
      <c r="L1533" s="41" t="s">
        <v>5402</v>
      </c>
      <c r="M1533" s="41">
        <v>12</v>
      </c>
      <c r="N1533" s="41" t="s">
        <v>756</v>
      </c>
      <c r="O1533" s="41" t="s">
        <v>663</v>
      </c>
      <c r="P1533" s="41" t="s">
        <v>78</v>
      </c>
      <c r="Q1533" s="41" t="s">
        <v>1274</v>
      </c>
      <c r="R1533" s="41" t="s">
        <v>132</v>
      </c>
      <c r="S1533" s="41" t="s">
        <v>5403</v>
      </c>
      <c r="T1533" s="41" t="s">
        <v>5087</v>
      </c>
      <c r="U1533" s="41" t="s">
        <v>40</v>
      </c>
    </row>
    <row r="1534" spans="1:21">
      <c r="A1534" s="41">
        <v>1311</v>
      </c>
      <c r="B1534" s="41" t="s">
        <v>5404</v>
      </c>
      <c r="D1534" s="41">
        <v>3715</v>
      </c>
      <c r="E1534" s="41" t="s">
        <v>5405</v>
      </c>
      <c r="F1534" s="41" t="s">
        <v>42</v>
      </c>
      <c r="G1534" s="41" t="s">
        <v>1369</v>
      </c>
      <c r="I1534" s="41" t="s">
        <v>5406</v>
      </c>
      <c r="J1534" s="41" t="s">
        <v>672</v>
      </c>
      <c r="K1534" s="42"/>
      <c r="L1534" s="41" t="s">
        <v>5407</v>
      </c>
      <c r="M1534" s="41">
        <v>13</v>
      </c>
      <c r="N1534" s="41" t="s">
        <v>5408</v>
      </c>
      <c r="O1534" s="41" t="s">
        <v>5409</v>
      </c>
      <c r="P1534" s="41" t="s">
        <v>60</v>
      </c>
      <c r="Q1534" s="41" t="s">
        <v>608</v>
      </c>
      <c r="R1534" s="41" t="s">
        <v>39</v>
      </c>
      <c r="S1534" s="41" t="s">
        <v>40</v>
      </c>
      <c r="T1534" s="41" t="s">
        <v>40</v>
      </c>
      <c r="U1534" s="41" t="s">
        <v>40</v>
      </c>
    </row>
    <row r="1535" spans="1:21">
      <c r="A1535" s="41">
        <v>1310</v>
      </c>
      <c r="B1535" s="41" t="s">
        <v>5410</v>
      </c>
      <c r="D1535" s="41">
        <v>3714</v>
      </c>
      <c r="E1535" s="41" t="s">
        <v>5405</v>
      </c>
      <c r="F1535" s="41" t="s">
        <v>42</v>
      </c>
      <c r="G1535" s="41" t="s">
        <v>1369</v>
      </c>
      <c r="I1535" s="41" t="s">
        <v>2432</v>
      </c>
      <c r="J1535" s="41" t="s">
        <v>672</v>
      </c>
      <c r="K1535" s="42"/>
      <c r="L1535" s="41" t="s">
        <v>5411</v>
      </c>
      <c r="M1535" s="41">
        <v>13.2</v>
      </c>
      <c r="N1535" s="41" t="s">
        <v>5408</v>
      </c>
      <c r="O1535" s="41" t="s">
        <v>5412</v>
      </c>
      <c r="P1535" s="41" t="s">
        <v>60</v>
      </c>
      <c r="Q1535" s="41" t="s">
        <v>608</v>
      </c>
      <c r="R1535" s="41" t="s">
        <v>39</v>
      </c>
      <c r="S1535" s="41" t="s">
        <v>40</v>
      </c>
      <c r="T1535" s="41" t="s">
        <v>40</v>
      </c>
      <c r="U1535" s="41" t="s">
        <v>40</v>
      </c>
    </row>
    <row r="1536" spans="1:21">
      <c r="A1536" s="41">
        <v>1309</v>
      </c>
      <c r="B1536" s="41" t="s">
        <v>5413</v>
      </c>
      <c r="D1536" s="41">
        <v>3716</v>
      </c>
      <c r="E1536" s="41" t="s">
        <v>5414</v>
      </c>
      <c r="F1536" s="41" t="s">
        <v>53</v>
      </c>
      <c r="G1536" s="41" t="s">
        <v>64</v>
      </c>
      <c r="I1536" s="41" t="s">
        <v>194</v>
      </c>
      <c r="J1536" s="41" t="s">
        <v>295</v>
      </c>
      <c r="K1536" s="42"/>
      <c r="L1536" s="41" t="s">
        <v>5415</v>
      </c>
      <c r="M1536" s="41">
        <v>15</v>
      </c>
      <c r="N1536" s="41" t="s">
        <v>5416</v>
      </c>
      <c r="O1536" s="41" t="s">
        <v>5417</v>
      </c>
      <c r="P1536" s="41" t="s">
        <v>60</v>
      </c>
      <c r="Q1536" s="41" t="s">
        <v>436</v>
      </c>
      <c r="R1536" s="41" t="s">
        <v>132</v>
      </c>
      <c r="S1536" s="41" t="s">
        <v>40</v>
      </c>
      <c r="T1536" s="41" t="s">
        <v>40</v>
      </c>
      <c r="U1536" s="41" t="s">
        <v>40</v>
      </c>
    </row>
    <row r="1537" spans="1:21">
      <c r="A1537" s="41">
        <v>1308</v>
      </c>
      <c r="B1537" s="41" t="s">
        <v>5418</v>
      </c>
      <c r="D1537" s="41">
        <v>3713</v>
      </c>
      <c r="E1537" s="41" t="s">
        <v>3937</v>
      </c>
      <c r="F1537" s="41" t="s">
        <v>28</v>
      </c>
      <c r="G1537" s="41" t="s">
        <v>43</v>
      </c>
      <c r="I1537" s="41" t="s">
        <v>3938</v>
      </c>
      <c r="J1537" s="41" t="s">
        <v>295</v>
      </c>
      <c r="K1537" s="42"/>
      <c r="L1537" s="41" t="s">
        <v>3939</v>
      </c>
      <c r="M1537" s="41">
        <v>4</v>
      </c>
      <c r="N1537" s="41" t="s">
        <v>67</v>
      </c>
      <c r="O1537" s="41" t="s">
        <v>5419</v>
      </c>
      <c r="P1537" s="41" t="s">
        <v>179</v>
      </c>
      <c r="Q1537" s="41" t="s">
        <v>524</v>
      </c>
      <c r="R1537" s="41" t="s">
        <v>39</v>
      </c>
      <c r="S1537" s="41" t="s">
        <v>5420</v>
      </c>
      <c r="T1537" s="41" t="s">
        <v>5421</v>
      </c>
      <c r="U1537" s="41" t="s">
        <v>40</v>
      </c>
    </row>
    <row r="1538" spans="1:21">
      <c r="A1538" s="41">
        <v>1303</v>
      </c>
      <c r="B1538" s="41" t="s">
        <v>5422</v>
      </c>
      <c r="D1538" s="41">
        <v>3712</v>
      </c>
      <c r="E1538" s="41" t="s">
        <v>1739</v>
      </c>
      <c r="F1538" s="41" t="s">
        <v>53</v>
      </c>
      <c r="G1538" s="41" t="s">
        <v>307</v>
      </c>
      <c r="I1538" s="41" t="s">
        <v>3442</v>
      </c>
      <c r="J1538" s="41" t="s">
        <v>672</v>
      </c>
      <c r="K1538" s="42"/>
      <c r="L1538" s="41" t="s">
        <v>5423</v>
      </c>
      <c r="M1538" s="41">
        <v>13</v>
      </c>
      <c r="N1538" s="41" t="s">
        <v>5424</v>
      </c>
      <c r="O1538" s="41" t="s">
        <v>362</v>
      </c>
      <c r="P1538" s="41" t="s">
        <v>172</v>
      </c>
      <c r="Q1538" s="41" t="s">
        <v>3813</v>
      </c>
      <c r="R1538" s="41" t="s">
        <v>132</v>
      </c>
      <c r="S1538" s="41" t="s">
        <v>5425</v>
      </c>
      <c r="T1538" s="41" t="s">
        <v>454</v>
      </c>
      <c r="U1538" s="41" t="s">
        <v>40</v>
      </c>
    </row>
    <row r="1539" spans="1:21">
      <c r="A1539" s="41">
        <v>1302</v>
      </c>
      <c r="B1539" s="41" t="s">
        <v>5426</v>
      </c>
      <c r="D1539" s="41">
        <v>3711</v>
      </c>
      <c r="E1539" s="41" t="s">
        <v>5287</v>
      </c>
      <c r="F1539" s="41" t="s">
        <v>53</v>
      </c>
      <c r="G1539" s="41" t="s">
        <v>64</v>
      </c>
      <c r="I1539" s="41" t="s">
        <v>162</v>
      </c>
      <c r="J1539" s="41" t="s">
        <v>380</v>
      </c>
      <c r="K1539" s="42"/>
      <c r="L1539" s="41" t="s">
        <v>5427</v>
      </c>
      <c r="M1539" s="41">
        <v>154</v>
      </c>
      <c r="N1539" s="41" t="s">
        <v>67</v>
      </c>
      <c r="O1539" s="41" t="s">
        <v>5428</v>
      </c>
      <c r="P1539" s="41" t="s">
        <v>334</v>
      </c>
      <c r="Q1539" s="41" t="s">
        <v>335</v>
      </c>
      <c r="R1539" s="41" t="s">
        <v>132</v>
      </c>
      <c r="S1539" s="41" t="s">
        <v>40</v>
      </c>
      <c r="T1539" s="41" t="s">
        <v>40</v>
      </c>
      <c r="U1539" s="41" t="s">
        <v>40</v>
      </c>
    </row>
    <row r="1540" spans="1:21">
      <c r="A1540" s="41">
        <v>1301</v>
      </c>
      <c r="B1540" s="41" t="s">
        <v>5429</v>
      </c>
      <c r="D1540" s="41">
        <v>3710</v>
      </c>
      <c r="E1540" s="41" t="s">
        <v>1739</v>
      </c>
      <c r="F1540" s="41" t="s">
        <v>53</v>
      </c>
      <c r="G1540" s="41" t="s">
        <v>307</v>
      </c>
      <c r="I1540" s="41" t="s">
        <v>977</v>
      </c>
      <c r="J1540" s="41" t="s">
        <v>672</v>
      </c>
      <c r="K1540" s="42"/>
      <c r="L1540" s="41" t="s">
        <v>5430</v>
      </c>
      <c r="M1540" s="41">
        <v>13</v>
      </c>
      <c r="N1540" s="41" t="s">
        <v>5424</v>
      </c>
      <c r="O1540" s="41" t="s">
        <v>650</v>
      </c>
      <c r="P1540" s="41" t="s">
        <v>172</v>
      </c>
      <c r="Q1540" s="41" t="s">
        <v>233</v>
      </c>
      <c r="R1540" s="41" t="s">
        <v>132</v>
      </c>
      <c r="S1540" s="41" t="s">
        <v>5431</v>
      </c>
      <c r="T1540" s="41" t="s">
        <v>5087</v>
      </c>
      <c r="U1540" s="41" t="s">
        <v>40</v>
      </c>
    </row>
    <row r="1541" spans="1:21">
      <c r="A1541" s="41">
        <v>1300</v>
      </c>
      <c r="B1541" s="41" t="s">
        <v>5432</v>
      </c>
      <c r="D1541" s="41">
        <v>3709</v>
      </c>
      <c r="E1541" s="41" t="s">
        <v>1739</v>
      </c>
      <c r="F1541" s="41" t="s">
        <v>53</v>
      </c>
      <c r="G1541" s="41" t="s">
        <v>307</v>
      </c>
      <c r="I1541" s="41" t="s">
        <v>3331</v>
      </c>
      <c r="J1541" s="41" t="s">
        <v>672</v>
      </c>
      <c r="K1541" s="42"/>
      <c r="L1541" s="41" t="s">
        <v>5430</v>
      </c>
      <c r="M1541" s="41">
        <v>13</v>
      </c>
      <c r="N1541" s="41" t="s">
        <v>5424</v>
      </c>
      <c r="O1541" s="41" t="s">
        <v>362</v>
      </c>
      <c r="P1541" s="41" t="s">
        <v>172</v>
      </c>
      <c r="Q1541" s="41" t="s">
        <v>233</v>
      </c>
      <c r="R1541" s="41" t="s">
        <v>132</v>
      </c>
      <c r="S1541" s="41" t="s">
        <v>5433</v>
      </c>
      <c r="T1541" s="41" t="s">
        <v>5087</v>
      </c>
      <c r="U1541" s="41" t="s">
        <v>40</v>
      </c>
    </row>
    <row r="1542" spans="1:21">
      <c r="A1542" s="41">
        <v>1295</v>
      </c>
      <c r="B1542" s="41" t="s">
        <v>5434</v>
      </c>
      <c r="D1542" s="41">
        <v>3708</v>
      </c>
      <c r="E1542" s="41" t="s">
        <v>3649</v>
      </c>
      <c r="F1542" s="41" t="s">
        <v>28</v>
      </c>
      <c r="G1542" s="41" t="s">
        <v>301</v>
      </c>
      <c r="I1542" s="41" t="s">
        <v>406</v>
      </c>
      <c r="J1542" s="41" t="s">
        <v>295</v>
      </c>
      <c r="K1542" s="42"/>
      <c r="L1542" s="41" t="s">
        <v>5435</v>
      </c>
      <c r="M1542" s="41">
        <v>110</v>
      </c>
      <c r="N1542" s="41" t="s">
        <v>5436</v>
      </c>
      <c r="O1542" s="41" t="s">
        <v>5437</v>
      </c>
      <c r="P1542" s="41" t="s">
        <v>50</v>
      </c>
      <c r="Q1542" s="41" t="s">
        <v>51</v>
      </c>
      <c r="R1542" s="41" t="s">
        <v>39</v>
      </c>
      <c r="S1542" s="41" t="s">
        <v>5438</v>
      </c>
      <c r="T1542" s="41" t="s">
        <v>454</v>
      </c>
      <c r="U1542" s="41" t="s">
        <v>604</v>
      </c>
    </row>
    <row r="1543" spans="1:21">
      <c r="A1543" s="41">
        <v>1294</v>
      </c>
      <c r="B1543" s="41" t="s">
        <v>5439</v>
      </c>
      <c r="D1543" s="41">
        <v>3707</v>
      </c>
      <c r="E1543" s="41" t="s">
        <v>1286</v>
      </c>
      <c r="F1543" s="41" t="s">
        <v>28</v>
      </c>
      <c r="G1543" s="41" t="s">
        <v>64</v>
      </c>
      <c r="I1543" s="41" t="s">
        <v>464</v>
      </c>
      <c r="J1543" s="41" t="s">
        <v>672</v>
      </c>
      <c r="K1543" s="42"/>
      <c r="L1543" s="41" t="s">
        <v>5440</v>
      </c>
      <c r="M1543" s="41">
        <v>18</v>
      </c>
      <c r="N1543" s="41" t="s">
        <v>1288</v>
      </c>
      <c r="O1543" s="41" t="s">
        <v>5441</v>
      </c>
      <c r="P1543" s="41" t="s">
        <v>37</v>
      </c>
      <c r="Q1543" s="41" t="s">
        <v>264</v>
      </c>
      <c r="R1543" s="41" t="s">
        <v>39</v>
      </c>
      <c r="S1543" s="41" t="s">
        <v>40</v>
      </c>
      <c r="T1543" s="41" t="s">
        <v>40</v>
      </c>
      <c r="U1543" s="41" t="s">
        <v>40</v>
      </c>
    </row>
    <row r="1544" spans="1:21">
      <c r="A1544" s="41">
        <v>1293</v>
      </c>
      <c r="B1544" s="41" t="s">
        <v>5442</v>
      </c>
      <c r="D1544" s="41">
        <v>3706</v>
      </c>
      <c r="E1544" s="41" t="s">
        <v>5443</v>
      </c>
      <c r="F1544" s="41" t="s">
        <v>53</v>
      </c>
      <c r="G1544" s="41" t="s">
        <v>141</v>
      </c>
      <c r="I1544" s="41" t="s">
        <v>149</v>
      </c>
      <c r="J1544" s="41" t="s">
        <v>295</v>
      </c>
      <c r="K1544" s="42"/>
      <c r="L1544" s="41" t="s">
        <v>4919</v>
      </c>
      <c r="M1544" s="41">
        <v>23</v>
      </c>
      <c r="N1544" s="41" t="s">
        <v>151</v>
      </c>
      <c r="O1544" s="41" t="s">
        <v>5444</v>
      </c>
      <c r="P1544" s="41" t="s">
        <v>68</v>
      </c>
      <c r="Q1544" s="41" t="s">
        <v>699</v>
      </c>
      <c r="R1544" s="41" t="s">
        <v>132</v>
      </c>
      <c r="S1544" s="41" t="s">
        <v>5445</v>
      </c>
      <c r="T1544" s="41" t="s">
        <v>1846</v>
      </c>
      <c r="U1544" s="41" t="s">
        <v>40</v>
      </c>
    </row>
    <row r="1545" spans="1:21">
      <c r="A1545" s="41">
        <v>1292</v>
      </c>
      <c r="B1545" s="41" t="s">
        <v>5446</v>
      </c>
      <c r="D1545" s="41">
        <v>3705</v>
      </c>
      <c r="E1545" s="41" t="s">
        <v>5443</v>
      </c>
      <c r="F1545" s="41" t="s">
        <v>53</v>
      </c>
      <c r="G1545" s="41" t="s">
        <v>141</v>
      </c>
      <c r="I1545" s="41" t="s">
        <v>149</v>
      </c>
      <c r="J1545" s="41" t="s">
        <v>295</v>
      </c>
      <c r="K1545" s="42"/>
      <c r="L1545" s="41" t="s">
        <v>4919</v>
      </c>
      <c r="M1545" s="41">
        <v>23</v>
      </c>
      <c r="N1545" s="41" t="s">
        <v>1741</v>
      </c>
      <c r="O1545" s="41" t="s">
        <v>299</v>
      </c>
      <c r="P1545" s="41" t="s">
        <v>68</v>
      </c>
      <c r="Q1545" s="41" t="s">
        <v>699</v>
      </c>
      <c r="R1545" s="41" t="s">
        <v>132</v>
      </c>
      <c r="S1545" s="41" t="s">
        <v>5447</v>
      </c>
      <c r="T1545" s="41" t="s">
        <v>1846</v>
      </c>
      <c r="U1545" s="41" t="s">
        <v>40</v>
      </c>
    </row>
    <row r="1546" spans="1:21">
      <c r="A1546" s="41">
        <v>1289</v>
      </c>
      <c r="B1546" s="41" t="s">
        <v>5448</v>
      </c>
      <c r="D1546" s="41">
        <v>3704</v>
      </c>
      <c r="E1546" s="41" t="s">
        <v>2426</v>
      </c>
      <c r="F1546" s="41" t="s">
        <v>53</v>
      </c>
      <c r="G1546" s="41" t="s">
        <v>54</v>
      </c>
      <c r="I1546" s="41" t="s">
        <v>56</v>
      </c>
      <c r="J1546" s="41" t="s">
        <v>295</v>
      </c>
      <c r="K1546" s="42"/>
      <c r="L1546" s="41" t="s">
        <v>5449</v>
      </c>
      <c r="M1546" s="41">
        <v>66</v>
      </c>
      <c r="N1546" s="41" t="s">
        <v>67</v>
      </c>
      <c r="O1546" s="41" t="s">
        <v>77</v>
      </c>
      <c r="P1546" s="41" t="s">
        <v>78</v>
      </c>
      <c r="Q1546" s="41" t="s">
        <v>1763</v>
      </c>
      <c r="R1546" s="41" t="s">
        <v>132</v>
      </c>
      <c r="S1546" s="41" t="s">
        <v>40</v>
      </c>
      <c r="T1546" s="41" t="s">
        <v>40</v>
      </c>
      <c r="U1546" s="41" t="s">
        <v>40</v>
      </c>
    </row>
    <row r="1547" spans="1:21">
      <c r="A1547" s="41">
        <v>1288</v>
      </c>
      <c r="B1547" s="41" t="s">
        <v>5398</v>
      </c>
      <c r="E1547" s="41" t="s">
        <v>3500</v>
      </c>
      <c r="F1547" s="41" t="s">
        <v>28</v>
      </c>
      <c r="G1547" s="41" t="s">
        <v>29</v>
      </c>
      <c r="I1547" s="41" t="s">
        <v>1068</v>
      </c>
      <c r="J1547" s="41" t="s">
        <v>672</v>
      </c>
      <c r="K1547" s="42"/>
      <c r="L1547" s="41" t="s">
        <v>615</v>
      </c>
      <c r="M1547" s="41">
        <v>23</v>
      </c>
      <c r="N1547" s="41" t="s">
        <v>59</v>
      </c>
      <c r="O1547" s="41" t="s">
        <v>1194</v>
      </c>
      <c r="P1547" s="41" t="s">
        <v>50</v>
      </c>
      <c r="Q1547" s="41" t="s">
        <v>51</v>
      </c>
      <c r="R1547" s="41" t="s">
        <v>39</v>
      </c>
      <c r="S1547" s="41" t="s">
        <v>40</v>
      </c>
      <c r="T1547" s="41" t="s">
        <v>40</v>
      </c>
      <c r="U1547" s="41" t="s">
        <v>40</v>
      </c>
    </row>
    <row r="1548" spans="1:21">
      <c r="A1548" s="41">
        <v>1287</v>
      </c>
      <c r="B1548" s="41" t="s">
        <v>4829</v>
      </c>
      <c r="D1548" s="41">
        <v>3686</v>
      </c>
      <c r="E1548" s="41" t="s">
        <v>2338</v>
      </c>
      <c r="F1548" s="41" t="s">
        <v>53</v>
      </c>
      <c r="G1548" s="41" t="s">
        <v>307</v>
      </c>
      <c r="I1548" s="41" t="s">
        <v>5450</v>
      </c>
      <c r="J1548" s="41" t="s">
        <v>380</v>
      </c>
      <c r="K1548" s="42"/>
      <c r="L1548" s="41" t="s">
        <v>5451</v>
      </c>
      <c r="M1548" s="41">
        <v>66</v>
      </c>
      <c r="N1548" s="41" t="s">
        <v>67</v>
      </c>
      <c r="O1548" s="41" t="s">
        <v>2709</v>
      </c>
      <c r="P1548" s="41" t="s">
        <v>1046</v>
      </c>
      <c r="Q1548" s="41" t="s">
        <v>1110</v>
      </c>
      <c r="R1548" s="41" t="s">
        <v>132</v>
      </c>
      <c r="S1548" s="41" t="s">
        <v>5452</v>
      </c>
      <c r="T1548" s="41" t="s">
        <v>5087</v>
      </c>
      <c r="U1548" s="41" t="s">
        <v>455</v>
      </c>
    </row>
    <row r="1549" spans="1:21">
      <c r="A1549" s="41">
        <v>1286</v>
      </c>
      <c r="B1549" s="41" t="s">
        <v>748</v>
      </c>
      <c r="C1549" s="43">
        <v>1</v>
      </c>
      <c r="D1549" s="41">
        <v>3685</v>
      </c>
      <c r="E1549" s="41" t="s">
        <v>722</v>
      </c>
      <c r="F1549" s="41" t="s">
        <v>53</v>
      </c>
      <c r="G1549" s="41" t="s">
        <v>43</v>
      </c>
      <c r="I1549" s="41" t="s">
        <v>1068</v>
      </c>
      <c r="J1549" s="41" t="s">
        <v>672</v>
      </c>
      <c r="K1549" s="42"/>
      <c r="L1549" s="41" t="s">
        <v>725</v>
      </c>
      <c r="M1549" s="41">
        <v>12</v>
      </c>
      <c r="N1549" s="41" t="s">
        <v>750</v>
      </c>
      <c r="O1549" s="41" t="s">
        <v>751</v>
      </c>
      <c r="P1549" s="41" t="s">
        <v>68</v>
      </c>
      <c r="Q1549" s="41" t="s">
        <v>728</v>
      </c>
      <c r="R1549" s="41" t="s">
        <v>132</v>
      </c>
      <c r="S1549" s="41" t="s">
        <v>5453</v>
      </c>
      <c r="T1549" s="41" t="s">
        <v>415</v>
      </c>
      <c r="U1549" s="41" t="s">
        <v>753</v>
      </c>
    </row>
    <row r="1550" spans="1:21">
      <c r="A1550" s="41">
        <v>1281</v>
      </c>
      <c r="B1550" s="41" t="s">
        <v>5454</v>
      </c>
      <c r="D1550" s="41">
        <v>3684</v>
      </c>
      <c r="E1550" s="41" t="s">
        <v>1041</v>
      </c>
      <c r="F1550" s="41" t="s">
        <v>42</v>
      </c>
      <c r="G1550" s="41" t="s">
        <v>43</v>
      </c>
      <c r="I1550" s="41" t="s">
        <v>1355</v>
      </c>
      <c r="J1550" s="41" t="s">
        <v>380</v>
      </c>
      <c r="K1550" s="42"/>
      <c r="L1550" s="41" t="s">
        <v>5455</v>
      </c>
      <c r="M1550" s="41">
        <v>220</v>
      </c>
      <c r="N1550" s="41" t="s">
        <v>67</v>
      </c>
      <c r="O1550" s="41" t="s">
        <v>77</v>
      </c>
      <c r="P1550" s="41" t="s">
        <v>1046</v>
      </c>
      <c r="Q1550" s="41" t="s">
        <v>1110</v>
      </c>
      <c r="R1550" s="41" t="s">
        <v>39</v>
      </c>
      <c r="S1550" s="41" t="s">
        <v>40</v>
      </c>
      <c r="T1550" s="41" t="s">
        <v>2101</v>
      </c>
      <c r="U1550" s="41" t="s">
        <v>40</v>
      </c>
    </row>
    <row r="1551" spans="1:21">
      <c r="A1551" s="41">
        <v>1280</v>
      </c>
      <c r="B1551" s="41" t="s">
        <v>5456</v>
      </c>
      <c r="D1551" s="41">
        <v>3683</v>
      </c>
      <c r="E1551" s="41" t="s">
        <v>1041</v>
      </c>
      <c r="F1551" s="41" t="s">
        <v>42</v>
      </c>
      <c r="G1551" s="41" t="s">
        <v>43</v>
      </c>
      <c r="I1551" s="41" t="s">
        <v>4607</v>
      </c>
      <c r="J1551" s="41" t="s">
        <v>380</v>
      </c>
      <c r="K1551" s="42"/>
      <c r="L1551" s="41" t="s">
        <v>5455</v>
      </c>
      <c r="M1551" s="41">
        <v>220</v>
      </c>
      <c r="N1551" s="41" t="s">
        <v>67</v>
      </c>
      <c r="O1551" s="41" t="s">
        <v>36</v>
      </c>
      <c r="P1551" s="41" t="s">
        <v>1046</v>
      </c>
      <c r="Q1551" s="41" t="s">
        <v>1110</v>
      </c>
      <c r="R1551" s="41" t="s">
        <v>39</v>
      </c>
      <c r="S1551" s="41" t="s">
        <v>40</v>
      </c>
      <c r="T1551" s="41" t="s">
        <v>2101</v>
      </c>
      <c r="U1551" s="41" t="s">
        <v>40</v>
      </c>
    </row>
    <row r="1552" spans="1:21">
      <c r="A1552" s="41">
        <v>1279</v>
      </c>
      <c r="B1552" s="41" t="s">
        <v>5457</v>
      </c>
      <c r="D1552" s="41">
        <v>3682</v>
      </c>
      <c r="E1552" s="41" t="s">
        <v>1041</v>
      </c>
      <c r="F1552" s="41" t="s">
        <v>42</v>
      </c>
      <c r="G1552" s="41" t="s">
        <v>43</v>
      </c>
      <c r="I1552" s="41" t="s">
        <v>5458</v>
      </c>
      <c r="J1552" s="41" t="s">
        <v>380</v>
      </c>
      <c r="K1552" s="42"/>
      <c r="L1552" s="41" t="s">
        <v>5459</v>
      </c>
      <c r="M1552" s="41">
        <v>220</v>
      </c>
      <c r="N1552" s="41" t="s">
        <v>67</v>
      </c>
      <c r="O1552" s="41" t="s">
        <v>77</v>
      </c>
      <c r="P1552" s="41" t="s">
        <v>1046</v>
      </c>
      <c r="Q1552" s="41" t="s">
        <v>1110</v>
      </c>
      <c r="R1552" s="41" t="s">
        <v>39</v>
      </c>
      <c r="S1552" s="41" t="s">
        <v>40</v>
      </c>
      <c r="T1552" s="41" t="s">
        <v>2101</v>
      </c>
      <c r="U1552" s="41" t="s">
        <v>40</v>
      </c>
    </row>
    <row r="1553" spans="1:21">
      <c r="A1553" s="41">
        <v>1277</v>
      </c>
      <c r="B1553" s="41" t="s">
        <v>5460</v>
      </c>
      <c r="D1553" s="41">
        <v>3681</v>
      </c>
      <c r="E1553" s="41" t="s">
        <v>5461</v>
      </c>
      <c r="F1553" s="41" t="s">
        <v>53</v>
      </c>
      <c r="G1553" s="41" t="s">
        <v>64</v>
      </c>
      <c r="I1553" s="41" t="s">
        <v>1303</v>
      </c>
      <c r="J1553" s="41" t="s">
        <v>32</v>
      </c>
      <c r="K1553" s="42"/>
      <c r="L1553" s="41" t="s">
        <v>5427</v>
      </c>
      <c r="M1553" s="41">
        <v>154</v>
      </c>
      <c r="N1553" s="41" t="s">
        <v>5462</v>
      </c>
      <c r="O1553" s="41" t="s">
        <v>36</v>
      </c>
      <c r="P1553" s="41" t="s">
        <v>334</v>
      </c>
      <c r="Q1553" s="41" t="s">
        <v>335</v>
      </c>
      <c r="R1553" s="41" t="s">
        <v>132</v>
      </c>
      <c r="S1553" s="41" t="s">
        <v>40</v>
      </c>
      <c r="T1553" s="41" t="s">
        <v>40</v>
      </c>
      <c r="U1553" s="41" t="s">
        <v>40</v>
      </c>
    </row>
    <row r="1554" spans="1:21">
      <c r="A1554" s="41">
        <v>1276</v>
      </c>
      <c r="B1554" s="41" t="s">
        <v>5463</v>
      </c>
      <c r="D1554" s="41">
        <v>3671</v>
      </c>
      <c r="E1554" s="41" t="s">
        <v>1286</v>
      </c>
      <c r="F1554" s="41" t="s">
        <v>53</v>
      </c>
      <c r="G1554" s="41" t="s">
        <v>43</v>
      </c>
      <c r="I1554" s="41" t="s">
        <v>3101</v>
      </c>
      <c r="J1554" s="41" t="s">
        <v>295</v>
      </c>
      <c r="K1554" s="42"/>
      <c r="L1554" s="41" t="s">
        <v>339</v>
      </c>
      <c r="M1554" s="41">
        <v>220</v>
      </c>
      <c r="N1554" s="41" t="s">
        <v>805</v>
      </c>
      <c r="O1554" s="41" t="s">
        <v>1615</v>
      </c>
      <c r="P1554" s="41" t="s">
        <v>172</v>
      </c>
      <c r="Q1554" s="41" t="s">
        <v>173</v>
      </c>
      <c r="R1554" s="41" t="s">
        <v>62</v>
      </c>
      <c r="S1554" s="41" t="s">
        <v>40</v>
      </c>
      <c r="T1554" s="41" t="s">
        <v>40</v>
      </c>
      <c r="U1554" s="41" t="s">
        <v>40</v>
      </c>
    </row>
    <row r="1555" spans="1:21">
      <c r="A1555" s="41">
        <v>1275</v>
      </c>
      <c r="B1555" s="41" t="s">
        <v>323</v>
      </c>
      <c r="D1555" s="41">
        <v>3680</v>
      </c>
      <c r="E1555" s="41" t="s">
        <v>27</v>
      </c>
      <c r="F1555" s="41" t="s">
        <v>53</v>
      </c>
      <c r="G1555" s="41" t="s">
        <v>43</v>
      </c>
      <c r="I1555" s="41" t="s">
        <v>325</v>
      </c>
      <c r="J1555" s="41" t="s">
        <v>295</v>
      </c>
      <c r="K1555" s="42"/>
      <c r="L1555" s="41" t="s">
        <v>327</v>
      </c>
      <c r="M1555" s="41">
        <v>110</v>
      </c>
      <c r="N1555" s="41" t="s">
        <v>59</v>
      </c>
      <c r="O1555" s="41" t="s">
        <v>328</v>
      </c>
      <c r="P1555" s="41" t="s">
        <v>153</v>
      </c>
      <c r="Q1555" s="41" t="s">
        <v>329</v>
      </c>
      <c r="R1555" s="41" t="s">
        <v>132</v>
      </c>
      <c r="S1555" s="41" t="s">
        <v>40</v>
      </c>
      <c r="T1555" s="41" t="s">
        <v>40</v>
      </c>
      <c r="U1555" s="41" t="s">
        <v>40</v>
      </c>
    </row>
    <row r="1556" spans="1:21">
      <c r="A1556" s="41">
        <v>1274</v>
      </c>
      <c r="B1556" s="41" t="s">
        <v>5464</v>
      </c>
      <c r="D1556" s="41">
        <v>3670</v>
      </c>
      <c r="E1556" s="41" t="s">
        <v>1286</v>
      </c>
      <c r="F1556" s="41" t="s">
        <v>53</v>
      </c>
      <c r="G1556" s="41" t="s">
        <v>64</v>
      </c>
      <c r="I1556" s="41" t="s">
        <v>338</v>
      </c>
      <c r="J1556" s="41" t="s">
        <v>380</v>
      </c>
      <c r="K1556" s="42"/>
      <c r="L1556" s="41" t="s">
        <v>344</v>
      </c>
      <c r="M1556" s="41">
        <v>220</v>
      </c>
      <c r="N1556" s="41" t="s">
        <v>805</v>
      </c>
      <c r="O1556" s="41" t="s">
        <v>396</v>
      </c>
      <c r="P1556" s="41" t="s">
        <v>153</v>
      </c>
      <c r="Q1556" s="41" t="s">
        <v>329</v>
      </c>
      <c r="R1556" s="41" t="s">
        <v>62</v>
      </c>
      <c r="S1556" s="41" t="s">
        <v>40</v>
      </c>
      <c r="T1556" s="41" t="s">
        <v>40</v>
      </c>
      <c r="U1556" s="41" t="s">
        <v>40</v>
      </c>
    </row>
    <row r="1557" spans="1:21">
      <c r="A1557" s="41">
        <v>1273</v>
      </c>
      <c r="B1557" s="41" t="s">
        <v>330</v>
      </c>
      <c r="D1557" s="41">
        <v>3679</v>
      </c>
      <c r="E1557" s="41" t="s">
        <v>27</v>
      </c>
      <c r="F1557" s="41" t="s">
        <v>53</v>
      </c>
      <c r="G1557" s="41" t="s">
        <v>64</v>
      </c>
      <c r="I1557" s="41" t="s">
        <v>162</v>
      </c>
      <c r="J1557" s="41" t="s">
        <v>295</v>
      </c>
      <c r="K1557" s="42"/>
      <c r="L1557" s="41" t="s">
        <v>332</v>
      </c>
      <c r="M1557" s="41">
        <v>154</v>
      </c>
      <c r="N1557" s="41" t="s">
        <v>59</v>
      </c>
      <c r="O1557" s="41" t="s">
        <v>333</v>
      </c>
      <c r="P1557" s="41" t="s">
        <v>334</v>
      </c>
      <c r="Q1557" s="41" t="s">
        <v>335</v>
      </c>
      <c r="R1557" s="41" t="s">
        <v>132</v>
      </c>
      <c r="S1557" s="41" t="s">
        <v>40</v>
      </c>
      <c r="T1557" s="41" t="s">
        <v>40</v>
      </c>
      <c r="U1557" s="41" t="s">
        <v>40</v>
      </c>
    </row>
    <row r="1558" spans="1:21">
      <c r="A1558" s="41">
        <v>1272</v>
      </c>
      <c r="B1558" s="41" t="s">
        <v>336</v>
      </c>
      <c r="D1558" s="41">
        <v>3677</v>
      </c>
      <c r="E1558" s="41" t="s">
        <v>27</v>
      </c>
      <c r="F1558" s="41" t="s">
        <v>53</v>
      </c>
      <c r="G1558" s="41" t="s">
        <v>175</v>
      </c>
      <c r="I1558" s="41" t="s">
        <v>338</v>
      </c>
      <c r="J1558" s="41" t="s">
        <v>295</v>
      </c>
      <c r="K1558" s="42"/>
      <c r="L1558" s="41" t="s">
        <v>339</v>
      </c>
      <c r="M1558" s="41">
        <v>220</v>
      </c>
      <c r="N1558" s="41" t="s">
        <v>340</v>
      </c>
      <c r="O1558" s="41" t="s">
        <v>341</v>
      </c>
      <c r="P1558" s="41" t="s">
        <v>172</v>
      </c>
      <c r="Q1558" s="41" t="s">
        <v>173</v>
      </c>
      <c r="R1558" s="41" t="s">
        <v>132</v>
      </c>
      <c r="S1558" s="41" t="s">
        <v>40</v>
      </c>
      <c r="T1558" s="41" t="s">
        <v>40</v>
      </c>
      <c r="U1558" s="41" t="s">
        <v>40</v>
      </c>
    </row>
    <row r="1559" spans="1:21">
      <c r="A1559" s="41">
        <v>1271</v>
      </c>
      <c r="B1559" s="41" t="s">
        <v>342</v>
      </c>
      <c r="D1559" s="41">
        <v>3676</v>
      </c>
      <c r="E1559" s="41" t="s">
        <v>27</v>
      </c>
      <c r="F1559" s="41" t="s">
        <v>53</v>
      </c>
      <c r="G1559" s="41" t="s">
        <v>64</v>
      </c>
      <c r="I1559" s="41" t="s">
        <v>338</v>
      </c>
      <c r="J1559" s="41" t="s">
        <v>295</v>
      </c>
      <c r="K1559" s="42"/>
      <c r="L1559" s="41" t="s">
        <v>344</v>
      </c>
      <c r="M1559" s="41">
        <v>220</v>
      </c>
      <c r="N1559" s="41" t="s">
        <v>340</v>
      </c>
      <c r="O1559" s="41" t="s">
        <v>345</v>
      </c>
      <c r="P1559" s="41" t="s">
        <v>153</v>
      </c>
      <c r="Q1559" s="41" t="s">
        <v>329</v>
      </c>
      <c r="R1559" s="41" t="s">
        <v>132</v>
      </c>
      <c r="S1559" s="41" t="s">
        <v>40</v>
      </c>
      <c r="T1559" s="41" t="s">
        <v>40</v>
      </c>
      <c r="U1559" s="41" t="s">
        <v>40</v>
      </c>
    </row>
    <row r="1560" spans="1:21">
      <c r="A1560" s="41">
        <v>1270</v>
      </c>
      <c r="B1560" s="41" t="s">
        <v>5465</v>
      </c>
      <c r="E1560" s="41" t="s">
        <v>1286</v>
      </c>
      <c r="F1560" s="41" t="s">
        <v>53</v>
      </c>
      <c r="G1560" s="41" t="s">
        <v>43</v>
      </c>
      <c r="I1560" s="41" t="s">
        <v>3101</v>
      </c>
      <c r="J1560" s="41" t="s">
        <v>32</v>
      </c>
      <c r="K1560" s="42"/>
      <c r="L1560" s="41" t="s">
        <v>5466</v>
      </c>
      <c r="M1560" s="41">
        <v>220</v>
      </c>
      <c r="N1560" s="41" t="s">
        <v>805</v>
      </c>
      <c r="O1560" s="41" t="s">
        <v>1615</v>
      </c>
      <c r="P1560" s="41" t="s">
        <v>172</v>
      </c>
      <c r="Q1560" s="41" t="s">
        <v>173</v>
      </c>
      <c r="R1560" s="41" t="s">
        <v>62</v>
      </c>
      <c r="S1560" s="41" t="s">
        <v>40</v>
      </c>
      <c r="T1560" s="41" t="s">
        <v>40</v>
      </c>
      <c r="U1560" s="41" t="s">
        <v>40</v>
      </c>
    </row>
    <row r="1561" spans="1:21">
      <c r="A1561" s="41">
        <v>1268</v>
      </c>
      <c r="B1561" s="41" t="s">
        <v>5467</v>
      </c>
      <c r="D1561" s="41">
        <v>3678</v>
      </c>
      <c r="E1561" s="41" t="s">
        <v>5468</v>
      </c>
      <c r="F1561" s="41" t="s">
        <v>53</v>
      </c>
      <c r="G1561" s="41" t="s">
        <v>64</v>
      </c>
      <c r="I1561" s="41" t="s">
        <v>45</v>
      </c>
      <c r="J1561" s="41" t="s">
        <v>295</v>
      </c>
      <c r="K1561" s="42"/>
      <c r="L1561" s="41" t="s">
        <v>5469</v>
      </c>
      <c r="M1561" s="41">
        <v>154</v>
      </c>
      <c r="N1561" s="41" t="s">
        <v>340</v>
      </c>
      <c r="O1561" s="41" t="s">
        <v>1478</v>
      </c>
      <c r="P1561" s="41" t="s">
        <v>60</v>
      </c>
      <c r="Q1561" s="41" t="s">
        <v>1468</v>
      </c>
      <c r="R1561" s="41" t="s">
        <v>132</v>
      </c>
      <c r="S1561" s="41" t="s">
        <v>40</v>
      </c>
      <c r="T1561" s="41" t="s">
        <v>40</v>
      </c>
      <c r="U1561" s="41" t="s">
        <v>40</v>
      </c>
    </row>
    <row r="1562" spans="1:21">
      <c r="A1562" s="41">
        <v>1267</v>
      </c>
      <c r="B1562" s="41" t="s">
        <v>4727</v>
      </c>
      <c r="D1562" s="41">
        <v>3673</v>
      </c>
      <c r="E1562" s="41" t="s">
        <v>1286</v>
      </c>
      <c r="F1562" s="41" t="s">
        <v>53</v>
      </c>
      <c r="G1562" s="41" t="s">
        <v>43</v>
      </c>
      <c r="I1562" s="41" t="s">
        <v>94</v>
      </c>
      <c r="J1562" s="41" t="s">
        <v>295</v>
      </c>
      <c r="K1562" s="42"/>
      <c r="L1562" s="41" t="s">
        <v>2451</v>
      </c>
      <c r="M1562" s="41">
        <v>500</v>
      </c>
      <c r="N1562" s="41" t="s">
        <v>805</v>
      </c>
      <c r="O1562" s="41" t="s">
        <v>5470</v>
      </c>
      <c r="P1562" s="41" t="s">
        <v>98</v>
      </c>
      <c r="Q1562" s="41" t="s">
        <v>116</v>
      </c>
      <c r="R1562" s="41" t="s">
        <v>62</v>
      </c>
      <c r="S1562" s="41" t="s">
        <v>40</v>
      </c>
      <c r="T1562" s="41" t="s">
        <v>40</v>
      </c>
      <c r="U1562" s="41" t="s">
        <v>40</v>
      </c>
    </row>
    <row r="1563" spans="1:21">
      <c r="A1563" s="41">
        <v>1266</v>
      </c>
      <c r="B1563" s="41" t="s">
        <v>5465</v>
      </c>
      <c r="E1563" s="41" t="s">
        <v>1286</v>
      </c>
      <c r="F1563" s="41" t="s">
        <v>53</v>
      </c>
      <c r="G1563" s="41" t="s">
        <v>43</v>
      </c>
      <c r="I1563" s="41" t="s">
        <v>3101</v>
      </c>
      <c r="J1563" s="41" t="s">
        <v>32</v>
      </c>
      <c r="K1563" s="42"/>
      <c r="L1563" s="41" t="s">
        <v>5466</v>
      </c>
      <c r="M1563" s="41">
        <v>220</v>
      </c>
      <c r="N1563" s="41" t="s">
        <v>805</v>
      </c>
      <c r="O1563" s="41" t="s">
        <v>1615</v>
      </c>
      <c r="P1563" s="41" t="s">
        <v>172</v>
      </c>
      <c r="Q1563" s="41" t="s">
        <v>173</v>
      </c>
      <c r="R1563" s="41" t="s">
        <v>62</v>
      </c>
      <c r="S1563" s="41" t="s">
        <v>40</v>
      </c>
      <c r="T1563" s="41" t="s">
        <v>40</v>
      </c>
      <c r="U1563" s="41" t="s">
        <v>40</v>
      </c>
    </row>
    <row r="1564" spans="1:21">
      <c r="A1564" s="41">
        <v>1265</v>
      </c>
      <c r="B1564" s="41" t="s">
        <v>5471</v>
      </c>
      <c r="D1564" s="41">
        <v>3674</v>
      </c>
      <c r="E1564" s="41" t="s">
        <v>1286</v>
      </c>
      <c r="F1564" s="41" t="s">
        <v>53</v>
      </c>
      <c r="G1564" s="41" t="s">
        <v>54</v>
      </c>
      <c r="I1564" s="41" t="s">
        <v>3101</v>
      </c>
      <c r="J1564" s="41" t="s">
        <v>32</v>
      </c>
      <c r="K1564" s="42"/>
      <c r="L1564" s="41" t="s">
        <v>5469</v>
      </c>
      <c r="M1564" s="41">
        <v>154</v>
      </c>
      <c r="N1564" s="41" t="s">
        <v>690</v>
      </c>
      <c r="O1564" s="41" t="s">
        <v>1838</v>
      </c>
      <c r="P1564" s="41" t="s">
        <v>172</v>
      </c>
      <c r="Q1564" s="41" t="s">
        <v>221</v>
      </c>
      <c r="R1564" s="41" t="s">
        <v>62</v>
      </c>
      <c r="S1564" s="41" t="s">
        <v>40</v>
      </c>
      <c r="T1564" s="41" t="s">
        <v>40</v>
      </c>
      <c r="U1564" s="41" t="s">
        <v>40</v>
      </c>
    </row>
    <row r="1565" spans="1:21">
      <c r="A1565" s="41">
        <v>1264</v>
      </c>
      <c r="B1565" s="41" t="s">
        <v>5464</v>
      </c>
      <c r="E1565" s="41" t="s">
        <v>1286</v>
      </c>
      <c r="F1565" s="41" t="s">
        <v>53</v>
      </c>
      <c r="G1565" s="41" t="s">
        <v>43</v>
      </c>
      <c r="I1565" s="41" t="s">
        <v>338</v>
      </c>
      <c r="J1565" s="41" t="s">
        <v>295</v>
      </c>
      <c r="K1565" s="42"/>
      <c r="L1565" s="41" t="s">
        <v>5464</v>
      </c>
      <c r="M1565" s="41">
        <v>220</v>
      </c>
      <c r="N1565" s="41" t="s">
        <v>805</v>
      </c>
      <c r="O1565" s="41" t="s">
        <v>396</v>
      </c>
      <c r="P1565" s="41" t="s">
        <v>153</v>
      </c>
      <c r="Q1565" s="41" t="s">
        <v>329</v>
      </c>
      <c r="R1565" s="41" t="s">
        <v>62</v>
      </c>
      <c r="S1565" s="41" t="s">
        <v>40</v>
      </c>
      <c r="T1565" s="41" t="s">
        <v>40</v>
      </c>
      <c r="U1565" s="41" t="s">
        <v>40</v>
      </c>
    </row>
    <row r="1566" spans="1:21">
      <c r="A1566" s="41">
        <v>1263</v>
      </c>
      <c r="B1566" s="41" t="s">
        <v>5472</v>
      </c>
      <c r="D1566" s="41">
        <v>3667</v>
      </c>
      <c r="E1566" s="41" t="s">
        <v>1286</v>
      </c>
      <c r="F1566" s="41" t="s">
        <v>53</v>
      </c>
      <c r="G1566" s="41" t="s">
        <v>64</v>
      </c>
      <c r="I1566" s="41" t="s">
        <v>162</v>
      </c>
      <c r="J1566" s="41" t="s">
        <v>295</v>
      </c>
      <c r="K1566" s="42"/>
      <c r="L1566" s="41" t="s">
        <v>344</v>
      </c>
      <c r="M1566" s="41">
        <v>220</v>
      </c>
      <c r="N1566" s="41" t="s">
        <v>805</v>
      </c>
      <c r="O1566" s="41" t="s">
        <v>4027</v>
      </c>
      <c r="P1566" s="41" t="s">
        <v>153</v>
      </c>
      <c r="Q1566" s="41" t="s">
        <v>329</v>
      </c>
      <c r="R1566" s="41" t="s">
        <v>62</v>
      </c>
      <c r="S1566" s="41" t="s">
        <v>40</v>
      </c>
      <c r="T1566" s="41" t="s">
        <v>40</v>
      </c>
      <c r="U1566" s="41" t="s">
        <v>40</v>
      </c>
    </row>
    <row r="1567" spans="1:21">
      <c r="A1567" s="41">
        <v>1262</v>
      </c>
      <c r="B1567" s="41" t="s">
        <v>5473</v>
      </c>
      <c r="D1567" s="41">
        <v>3666</v>
      </c>
      <c r="E1567" s="41" t="s">
        <v>5474</v>
      </c>
      <c r="F1567" s="41" t="s">
        <v>53</v>
      </c>
      <c r="G1567" s="41" t="s">
        <v>54</v>
      </c>
      <c r="I1567" s="41" t="s">
        <v>56</v>
      </c>
      <c r="J1567" s="41" t="s">
        <v>295</v>
      </c>
      <c r="K1567" s="42"/>
      <c r="L1567" s="41" t="s">
        <v>5475</v>
      </c>
      <c r="M1567" s="41">
        <v>66</v>
      </c>
      <c r="N1567" s="41" t="s">
        <v>5476</v>
      </c>
      <c r="O1567" s="41" t="s">
        <v>1489</v>
      </c>
      <c r="P1567" s="41" t="s">
        <v>334</v>
      </c>
      <c r="Q1567" s="41" t="s">
        <v>335</v>
      </c>
      <c r="R1567" s="41" t="s">
        <v>132</v>
      </c>
      <c r="S1567" s="41" t="s">
        <v>40</v>
      </c>
      <c r="T1567" s="41" t="s">
        <v>40</v>
      </c>
      <c r="U1567" s="41" t="s">
        <v>40</v>
      </c>
    </row>
    <row r="1568" spans="1:21">
      <c r="A1568" s="41">
        <v>1261</v>
      </c>
      <c r="B1568" s="41" t="s">
        <v>5477</v>
      </c>
      <c r="D1568" s="41">
        <v>3669</v>
      </c>
      <c r="E1568" s="41" t="s">
        <v>5443</v>
      </c>
      <c r="F1568" s="41" t="s">
        <v>53</v>
      </c>
      <c r="G1568" s="41" t="s">
        <v>127</v>
      </c>
      <c r="I1568" s="41" t="s">
        <v>2796</v>
      </c>
      <c r="J1568" s="41" t="s">
        <v>295</v>
      </c>
      <c r="K1568" s="42"/>
      <c r="L1568" s="41" t="s">
        <v>339</v>
      </c>
      <c r="M1568" s="41">
        <v>220</v>
      </c>
      <c r="N1568" s="41" t="s">
        <v>805</v>
      </c>
      <c r="O1568" s="41" t="s">
        <v>5478</v>
      </c>
      <c r="P1568" s="41" t="s">
        <v>172</v>
      </c>
      <c r="Q1568" s="41" t="s">
        <v>173</v>
      </c>
      <c r="R1568" s="41" t="s">
        <v>132</v>
      </c>
      <c r="S1568" s="41" t="s">
        <v>40</v>
      </c>
      <c r="T1568" s="41" t="s">
        <v>40</v>
      </c>
      <c r="U1568" s="41" t="s">
        <v>40</v>
      </c>
    </row>
    <row r="1569" spans="1:21">
      <c r="A1569" s="41">
        <v>1260</v>
      </c>
      <c r="B1569" s="41" t="s">
        <v>5479</v>
      </c>
      <c r="D1569" s="41">
        <v>3668</v>
      </c>
      <c r="E1569" s="41" t="s">
        <v>5443</v>
      </c>
      <c r="F1569" s="41" t="s">
        <v>53</v>
      </c>
      <c r="G1569" s="41" t="s">
        <v>796</v>
      </c>
      <c r="I1569" s="41" t="s">
        <v>56</v>
      </c>
      <c r="J1569" s="41" t="s">
        <v>295</v>
      </c>
      <c r="K1569" s="42"/>
      <c r="L1569" s="41" t="s">
        <v>5469</v>
      </c>
      <c r="M1569" s="41">
        <v>154</v>
      </c>
      <c r="N1569" s="41" t="s">
        <v>5480</v>
      </c>
      <c r="O1569" s="41" t="s">
        <v>5481</v>
      </c>
      <c r="P1569" s="41" t="s">
        <v>60</v>
      </c>
      <c r="Q1569" s="41" t="s">
        <v>1468</v>
      </c>
      <c r="R1569" s="41" t="s">
        <v>132</v>
      </c>
      <c r="S1569" s="41" t="s">
        <v>40</v>
      </c>
      <c r="T1569" s="41" t="s">
        <v>40</v>
      </c>
      <c r="U1569" s="41" t="s">
        <v>40</v>
      </c>
    </row>
    <row r="1570" spans="1:21">
      <c r="A1570" s="41">
        <v>1259</v>
      </c>
      <c r="B1570" s="41" t="s">
        <v>5482</v>
      </c>
      <c r="D1570" s="41">
        <v>3672</v>
      </c>
      <c r="E1570" s="41" t="s">
        <v>3056</v>
      </c>
      <c r="F1570" s="41" t="s">
        <v>53</v>
      </c>
      <c r="G1570" s="41" t="s">
        <v>64</v>
      </c>
      <c r="I1570" s="41" t="s">
        <v>5483</v>
      </c>
      <c r="J1570" s="41" t="s">
        <v>380</v>
      </c>
      <c r="K1570" s="42"/>
      <c r="L1570" s="41" t="s">
        <v>5427</v>
      </c>
      <c r="M1570" s="41">
        <v>154</v>
      </c>
      <c r="N1570" s="41" t="s">
        <v>5484</v>
      </c>
      <c r="O1570" s="41" t="s">
        <v>5485</v>
      </c>
      <c r="P1570" s="41" t="s">
        <v>334</v>
      </c>
      <c r="Q1570" s="41" t="s">
        <v>2469</v>
      </c>
      <c r="R1570" s="41" t="s">
        <v>132</v>
      </c>
      <c r="S1570" s="41" t="s">
        <v>40</v>
      </c>
      <c r="T1570" s="41" t="s">
        <v>40</v>
      </c>
      <c r="U1570" s="41" t="s">
        <v>40</v>
      </c>
    </row>
    <row r="1571" spans="1:21">
      <c r="A1571" s="41">
        <v>1258</v>
      </c>
      <c r="B1571" s="41" t="s">
        <v>5486</v>
      </c>
      <c r="D1571" s="41">
        <v>3675</v>
      </c>
      <c r="E1571" s="41" t="s">
        <v>1395</v>
      </c>
      <c r="F1571" s="41" t="s">
        <v>53</v>
      </c>
      <c r="G1571" s="41" t="s">
        <v>64</v>
      </c>
      <c r="I1571" s="41" t="s">
        <v>5487</v>
      </c>
      <c r="J1571" s="41" t="s">
        <v>380</v>
      </c>
      <c r="K1571" s="42"/>
      <c r="L1571" s="41" t="s">
        <v>344</v>
      </c>
      <c r="M1571" s="41">
        <v>220</v>
      </c>
      <c r="N1571" s="41" t="s">
        <v>1741</v>
      </c>
      <c r="O1571" s="41" t="s">
        <v>2629</v>
      </c>
      <c r="P1571" s="41" t="s">
        <v>153</v>
      </c>
      <c r="Q1571" s="41" t="s">
        <v>329</v>
      </c>
      <c r="R1571" s="41" t="s">
        <v>62</v>
      </c>
      <c r="S1571" s="41" t="s">
        <v>40</v>
      </c>
      <c r="T1571" s="41" t="s">
        <v>40</v>
      </c>
      <c r="U1571" s="41" t="s">
        <v>40</v>
      </c>
    </row>
    <row r="1572" spans="1:21">
      <c r="A1572" s="41">
        <v>1257</v>
      </c>
      <c r="B1572" s="41" t="s">
        <v>5488</v>
      </c>
      <c r="E1572" s="41" t="s">
        <v>5489</v>
      </c>
      <c r="F1572" s="41" t="s">
        <v>53</v>
      </c>
      <c r="G1572" s="41" t="s">
        <v>43</v>
      </c>
      <c r="I1572" s="41" t="s">
        <v>5490</v>
      </c>
      <c r="J1572" s="41" t="s">
        <v>295</v>
      </c>
      <c r="K1572" s="42"/>
      <c r="L1572" s="41" t="s">
        <v>344</v>
      </c>
      <c r="M1572" s="41">
        <v>220</v>
      </c>
      <c r="N1572" s="41" t="s">
        <v>5491</v>
      </c>
      <c r="O1572" s="41" t="s">
        <v>396</v>
      </c>
      <c r="P1572" s="41" t="s">
        <v>153</v>
      </c>
      <c r="Q1572" s="41" t="s">
        <v>329</v>
      </c>
      <c r="R1572" s="41" t="s">
        <v>62</v>
      </c>
      <c r="S1572" s="41" t="s">
        <v>40</v>
      </c>
      <c r="T1572" s="41" t="s">
        <v>40</v>
      </c>
      <c r="U1572" s="41" t="s">
        <v>40</v>
      </c>
    </row>
    <row r="1573" spans="1:21">
      <c r="A1573" s="41">
        <v>1256</v>
      </c>
      <c r="B1573" s="41" t="s">
        <v>5492</v>
      </c>
      <c r="D1573" s="41">
        <v>3664</v>
      </c>
      <c r="E1573" s="41" t="s">
        <v>5493</v>
      </c>
      <c r="F1573" s="41" t="s">
        <v>53</v>
      </c>
      <c r="G1573" s="41" t="s">
        <v>64</v>
      </c>
      <c r="I1573" s="41" t="s">
        <v>162</v>
      </c>
      <c r="J1573" s="41" t="s">
        <v>380</v>
      </c>
      <c r="K1573" s="42"/>
      <c r="L1573" s="41" t="s">
        <v>344</v>
      </c>
      <c r="M1573" s="41">
        <v>220</v>
      </c>
      <c r="N1573" s="41" t="s">
        <v>2805</v>
      </c>
      <c r="O1573" s="41" t="s">
        <v>396</v>
      </c>
      <c r="P1573" s="41" t="s">
        <v>153</v>
      </c>
      <c r="Q1573" s="41" t="s">
        <v>329</v>
      </c>
      <c r="R1573" s="41" t="s">
        <v>62</v>
      </c>
      <c r="S1573" s="41" t="s">
        <v>40</v>
      </c>
      <c r="T1573" s="41" t="s">
        <v>40</v>
      </c>
      <c r="U1573" s="41" t="s">
        <v>40</v>
      </c>
    </row>
    <row r="1574" spans="1:21">
      <c r="A1574" s="41">
        <v>1255</v>
      </c>
      <c r="B1574" s="41" t="s">
        <v>5494</v>
      </c>
      <c r="D1574" s="41">
        <v>3662</v>
      </c>
      <c r="E1574" s="41" t="s">
        <v>5489</v>
      </c>
      <c r="F1574" s="41" t="s">
        <v>53</v>
      </c>
      <c r="G1574" s="41" t="s">
        <v>1704</v>
      </c>
      <c r="I1574" s="41" t="s">
        <v>5490</v>
      </c>
      <c r="J1574" s="41" t="s">
        <v>295</v>
      </c>
      <c r="K1574" s="42"/>
      <c r="L1574" s="41" t="s">
        <v>344</v>
      </c>
      <c r="M1574" s="41">
        <v>220</v>
      </c>
      <c r="N1574" s="41" t="s">
        <v>5495</v>
      </c>
      <c r="O1574" s="41" t="s">
        <v>396</v>
      </c>
      <c r="P1574" s="41" t="s">
        <v>153</v>
      </c>
      <c r="Q1574" s="41" t="s">
        <v>329</v>
      </c>
      <c r="R1574" s="41" t="s">
        <v>62</v>
      </c>
      <c r="S1574" s="41" t="s">
        <v>40</v>
      </c>
      <c r="T1574" s="41" t="s">
        <v>40</v>
      </c>
      <c r="U1574" s="41" t="s">
        <v>40</v>
      </c>
    </row>
    <row r="1575" spans="1:21">
      <c r="A1575" s="41">
        <v>1253</v>
      </c>
      <c r="B1575" s="41" t="s">
        <v>5496</v>
      </c>
      <c r="E1575" s="41" t="s">
        <v>1613</v>
      </c>
      <c r="F1575" s="41" t="s">
        <v>53</v>
      </c>
      <c r="G1575" s="41" t="s">
        <v>43</v>
      </c>
      <c r="I1575" s="41" t="s">
        <v>162</v>
      </c>
      <c r="J1575" s="41" t="s">
        <v>380</v>
      </c>
      <c r="K1575" s="42"/>
      <c r="L1575" s="41" t="s">
        <v>5497</v>
      </c>
      <c r="M1575" s="41">
        <v>154</v>
      </c>
      <c r="N1575" s="41" t="s">
        <v>1193</v>
      </c>
      <c r="O1575" s="41" t="s">
        <v>2468</v>
      </c>
      <c r="P1575" s="41" t="s">
        <v>334</v>
      </c>
      <c r="Q1575" s="41" t="s">
        <v>4984</v>
      </c>
      <c r="R1575" s="41" t="s">
        <v>62</v>
      </c>
      <c r="S1575" s="41" t="s">
        <v>40</v>
      </c>
      <c r="T1575" s="41" t="s">
        <v>40</v>
      </c>
      <c r="U1575" s="41" t="s">
        <v>40</v>
      </c>
    </row>
    <row r="1576" spans="1:21">
      <c r="A1576" s="41">
        <v>1254</v>
      </c>
      <c r="B1576" s="41" t="s">
        <v>5498</v>
      </c>
      <c r="D1576" s="41">
        <v>3665</v>
      </c>
      <c r="E1576" s="41" t="s">
        <v>1613</v>
      </c>
      <c r="F1576" s="41" t="s">
        <v>53</v>
      </c>
      <c r="G1576" s="41" t="s">
        <v>141</v>
      </c>
      <c r="I1576" s="41" t="s">
        <v>162</v>
      </c>
      <c r="J1576" s="41" t="s">
        <v>380</v>
      </c>
      <c r="K1576" s="42"/>
      <c r="L1576" s="41" t="s">
        <v>5427</v>
      </c>
      <c r="M1576" s="41">
        <v>154</v>
      </c>
      <c r="N1576" s="41" t="s">
        <v>59</v>
      </c>
      <c r="O1576" s="41" t="s">
        <v>2468</v>
      </c>
      <c r="P1576" s="41" t="s">
        <v>334</v>
      </c>
      <c r="Q1576" s="41" t="s">
        <v>4984</v>
      </c>
      <c r="R1576" s="41" t="s">
        <v>62</v>
      </c>
      <c r="S1576" s="41" t="s">
        <v>5499</v>
      </c>
      <c r="T1576" s="41" t="s">
        <v>210</v>
      </c>
      <c r="U1576" s="41" t="s">
        <v>40</v>
      </c>
    </row>
    <row r="1577" spans="1:21">
      <c r="A1577" s="41">
        <v>1252</v>
      </c>
      <c r="B1577" s="41" t="s">
        <v>5500</v>
      </c>
      <c r="D1577" s="41">
        <v>3663</v>
      </c>
      <c r="E1577" s="41" t="s">
        <v>1270</v>
      </c>
      <c r="F1577" s="41" t="s">
        <v>53</v>
      </c>
      <c r="G1577" s="41" t="s">
        <v>188</v>
      </c>
      <c r="I1577" s="41" t="s">
        <v>5501</v>
      </c>
      <c r="J1577" s="41" t="s">
        <v>32</v>
      </c>
      <c r="K1577" s="42"/>
      <c r="L1577" s="41" t="s">
        <v>344</v>
      </c>
      <c r="M1577" s="41">
        <v>220</v>
      </c>
      <c r="N1577" s="41" t="s">
        <v>2805</v>
      </c>
      <c r="O1577" s="41" t="s">
        <v>2566</v>
      </c>
      <c r="P1577" s="41" t="s">
        <v>153</v>
      </c>
      <c r="Q1577" s="41" t="s">
        <v>329</v>
      </c>
      <c r="R1577" s="41" t="s">
        <v>62</v>
      </c>
      <c r="S1577" s="41" t="s">
        <v>40</v>
      </c>
      <c r="T1577" s="41" t="s">
        <v>40</v>
      </c>
      <c r="U1577" s="41" t="s">
        <v>40</v>
      </c>
    </row>
    <row r="1578" spans="1:21">
      <c r="A1578" s="41">
        <v>1249</v>
      </c>
      <c r="B1578" s="41" t="s">
        <v>5502</v>
      </c>
      <c r="D1578" s="41">
        <v>3661</v>
      </c>
      <c r="E1578" s="41" t="s">
        <v>5503</v>
      </c>
      <c r="F1578" s="41" t="s">
        <v>28</v>
      </c>
      <c r="G1578" s="41" t="s">
        <v>307</v>
      </c>
      <c r="I1578" s="41" t="s">
        <v>1068</v>
      </c>
      <c r="J1578" s="41" t="s">
        <v>380</v>
      </c>
      <c r="K1578" s="42"/>
      <c r="L1578" s="41" t="s">
        <v>5504</v>
      </c>
      <c r="M1578" s="41">
        <v>220</v>
      </c>
      <c r="N1578" s="41" t="s">
        <v>67</v>
      </c>
      <c r="O1578" s="41" t="s">
        <v>138</v>
      </c>
      <c r="P1578" s="41" t="s">
        <v>37</v>
      </c>
      <c r="Q1578" s="41" t="s">
        <v>1661</v>
      </c>
      <c r="R1578" s="41" t="s">
        <v>39</v>
      </c>
      <c r="S1578" s="41" t="s">
        <v>5505</v>
      </c>
      <c r="T1578" s="41" t="s">
        <v>215</v>
      </c>
      <c r="U1578" s="41" t="s">
        <v>706</v>
      </c>
    </row>
    <row r="1579" spans="1:21">
      <c r="A1579" s="41">
        <v>1244</v>
      </c>
      <c r="B1579" s="41" t="s">
        <v>5506</v>
      </c>
      <c r="D1579" s="41">
        <v>3640</v>
      </c>
      <c r="E1579" s="41" t="s">
        <v>1613</v>
      </c>
      <c r="F1579" s="41" t="s">
        <v>53</v>
      </c>
      <c r="G1579" s="41" t="s">
        <v>141</v>
      </c>
      <c r="I1579" s="41" t="s">
        <v>5507</v>
      </c>
      <c r="J1579" s="41" t="s">
        <v>380</v>
      </c>
      <c r="K1579" s="42"/>
      <c r="L1579" s="41" t="s">
        <v>3952</v>
      </c>
      <c r="M1579" s="41">
        <v>220</v>
      </c>
      <c r="N1579" s="41" t="s">
        <v>67</v>
      </c>
      <c r="O1579" s="41" t="s">
        <v>1834</v>
      </c>
      <c r="P1579" s="41" t="s">
        <v>382</v>
      </c>
      <c r="Q1579" s="41" t="s">
        <v>83</v>
      </c>
      <c r="R1579" s="41" t="s">
        <v>62</v>
      </c>
      <c r="S1579" s="41" t="s">
        <v>5508</v>
      </c>
      <c r="T1579" s="41" t="s">
        <v>2512</v>
      </c>
      <c r="U1579" s="41" t="s">
        <v>40</v>
      </c>
    </row>
    <row r="1580" spans="1:21">
      <c r="A1580" s="41">
        <v>1243</v>
      </c>
      <c r="B1580" s="41" t="s">
        <v>5509</v>
      </c>
      <c r="D1580" s="41">
        <v>3639</v>
      </c>
      <c r="E1580" s="41" t="s">
        <v>1286</v>
      </c>
      <c r="F1580" s="41" t="s">
        <v>28</v>
      </c>
      <c r="G1580" s="41" t="s">
        <v>1162</v>
      </c>
      <c r="I1580" s="41" t="s">
        <v>5510</v>
      </c>
      <c r="J1580" s="41" t="s">
        <v>32</v>
      </c>
      <c r="K1580" s="42"/>
      <c r="L1580" s="41" t="s">
        <v>5511</v>
      </c>
      <c r="M1580" s="41">
        <v>220</v>
      </c>
      <c r="N1580" s="41" t="s">
        <v>67</v>
      </c>
      <c r="O1580" s="41" t="s">
        <v>5512</v>
      </c>
      <c r="P1580" s="41" t="s">
        <v>50</v>
      </c>
      <c r="Q1580" s="41" t="s">
        <v>1499</v>
      </c>
      <c r="R1580" s="41" t="s">
        <v>39</v>
      </c>
      <c r="S1580" s="41" t="s">
        <v>40</v>
      </c>
      <c r="T1580" s="41" t="s">
        <v>40</v>
      </c>
      <c r="U1580" s="41" t="s">
        <v>40</v>
      </c>
    </row>
    <row r="1581" spans="1:21">
      <c r="A1581" s="41">
        <v>1242</v>
      </c>
      <c r="B1581" s="41" t="s">
        <v>5513</v>
      </c>
      <c r="D1581" s="41">
        <v>3638</v>
      </c>
      <c r="E1581" s="41" t="s">
        <v>5340</v>
      </c>
      <c r="F1581" s="41" t="s">
        <v>28</v>
      </c>
      <c r="G1581" s="41" t="s">
        <v>64</v>
      </c>
      <c r="I1581" s="41" t="s">
        <v>411</v>
      </c>
      <c r="J1581" s="41" t="s">
        <v>295</v>
      </c>
      <c r="K1581" s="42"/>
      <c r="L1581" s="41" t="s">
        <v>5514</v>
      </c>
      <c r="M1581" s="41">
        <v>66</v>
      </c>
      <c r="N1581" s="41" t="s">
        <v>77</v>
      </c>
      <c r="O1581" s="41" t="s">
        <v>77</v>
      </c>
      <c r="P1581" s="41" t="s">
        <v>60</v>
      </c>
      <c r="Q1581" s="41" t="s">
        <v>608</v>
      </c>
      <c r="R1581" s="41" t="s">
        <v>39</v>
      </c>
      <c r="S1581" s="41" t="s">
        <v>40</v>
      </c>
      <c r="T1581" s="41" t="s">
        <v>40</v>
      </c>
      <c r="U1581" s="41" t="s">
        <v>40</v>
      </c>
    </row>
    <row r="1582" spans="1:21">
      <c r="A1582" s="41">
        <v>1241</v>
      </c>
      <c r="B1582" s="41" t="s">
        <v>5515</v>
      </c>
      <c r="D1582" s="41">
        <v>3637</v>
      </c>
      <c r="E1582" s="41" t="s">
        <v>5516</v>
      </c>
      <c r="F1582" s="41" t="s">
        <v>28</v>
      </c>
      <c r="G1582" s="41" t="s">
        <v>301</v>
      </c>
      <c r="I1582" s="41" t="s">
        <v>3101</v>
      </c>
      <c r="J1582" s="41" t="s">
        <v>295</v>
      </c>
      <c r="K1582" s="42"/>
      <c r="L1582" s="41" t="s">
        <v>5517</v>
      </c>
      <c r="M1582" s="41">
        <v>220</v>
      </c>
      <c r="N1582" s="41" t="s">
        <v>3383</v>
      </c>
      <c r="O1582" s="41" t="s">
        <v>36</v>
      </c>
      <c r="P1582" s="41" t="s">
        <v>78</v>
      </c>
      <c r="Q1582" s="41" t="s">
        <v>1729</v>
      </c>
      <c r="R1582" s="41" t="s">
        <v>39</v>
      </c>
      <c r="S1582" s="41" t="s">
        <v>5518</v>
      </c>
      <c r="T1582" s="41" t="s">
        <v>5519</v>
      </c>
      <c r="U1582" s="41" t="s">
        <v>753</v>
      </c>
    </row>
    <row r="1583" spans="1:21">
      <c r="A1583" s="41">
        <v>1240</v>
      </c>
      <c r="B1583" s="41" t="s">
        <v>5520</v>
      </c>
      <c r="D1583" s="41">
        <v>3626</v>
      </c>
      <c r="E1583" s="41" t="s">
        <v>5340</v>
      </c>
      <c r="F1583" s="41" t="s">
        <v>28</v>
      </c>
      <c r="G1583" s="41" t="s">
        <v>64</v>
      </c>
      <c r="I1583" s="41" t="s">
        <v>411</v>
      </c>
      <c r="J1583" s="41" t="s">
        <v>295</v>
      </c>
      <c r="K1583" s="42"/>
      <c r="L1583" s="41" t="s">
        <v>5521</v>
      </c>
      <c r="M1583" s="41">
        <v>66</v>
      </c>
      <c r="N1583" s="41" t="s">
        <v>311</v>
      </c>
      <c r="O1583" s="41" t="s">
        <v>77</v>
      </c>
      <c r="P1583" s="41" t="s">
        <v>60</v>
      </c>
      <c r="Q1583" s="41" t="s">
        <v>1348</v>
      </c>
      <c r="R1583" s="41" t="s">
        <v>39</v>
      </c>
      <c r="S1583" s="41" t="s">
        <v>40</v>
      </c>
      <c r="T1583" s="41" t="s">
        <v>40</v>
      </c>
      <c r="U1583" s="41" t="s">
        <v>40</v>
      </c>
    </row>
    <row r="1584" spans="1:21">
      <c r="A1584" s="41">
        <v>1239</v>
      </c>
      <c r="B1584" s="41" t="s">
        <v>5522</v>
      </c>
      <c r="D1584" s="41">
        <v>3625</v>
      </c>
      <c r="E1584" s="41" t="s">
        <v>3714</v>
      </c>
      <c r="F1584" s="41" t="s">
        <v>42</v>
      </c>
      <c r="G1584" s="41" t="s">
        <v>43</v>
      </c>
      <c r="I1584" s="41" t="s">
        <v>5523</v>
      </c>
      <c r="J1584" s="41" t="s">
        <v>380</v>
      </c>
      <c r="K1584" s="42"/>
      <c r="L1584" s="41" t="s">
        <v>5524</v>
      </c>
      <c r="M1584" s="41">
        <v>220</v>
      </c>
      <c r="N1584" s="41" t="s">
        <v>1619</v>
      </c>
      <c r="O1584" s="41" t="s">
        <v>5525</v>
      </c>
      <c r="P1584" s="41" t="s">
        <v>98</v>
      </c>
      <c r="Q1584" s="41" t="s">
        <v>98</v>
      </c>
      <c r="R1584" s="41" t="s">
        <v>39</v>
      </c>
      <c r="S1584" s="41" t="s">
        <v>40</v>
      </c>
      <c r="T1584" s="41" t="s">
        <v>40</v>
      </c>
      <c r="U1584" s="41" t="s">
        <v>40</v>
      </c>
    </row>
    <row r="1585" spans="1:21">
      <c r="A1585" s="41">
        <v>1238</v>
      </c>
      <c r="B1585" s="41" t="s">
        <v>5339</v>
      </c>
      <c r="D1585" s="41">
        <v>3624</v>
      </c>
      <c r="E1585" s="41" t="s">
        <v>5340</v>
      </c>
      <c r="F1585" s="41" t="s">
        <v>28</v>
      </c>
      <c r="G1585" s="41" t="s">
        <v>64</v>
      </c>
      <c r="I1585" s="41" t="s">
        <v>45</v>
      </c>
      <c r="J1585" s="41" t="s">
        <v>295</v>
      </c>
      <c r="K1585" s="42"/>
      <c r="L1585" s="41" t="s">
        <v>5526</v>
      </c>
      <c r="M1585" s="41">
        <v>220</v>
      </c>
      <c r="N1585" s="41" t="s">
        <v>1014</v>
      </c>
      <c r="O1585" s="41" t="s">
        <v>77</v>
      </c>
      <c r="P1585" s="41" t="s">
        <v>60</v>
      </c>
      <c r="Q1585" s="41" t="s">
        <v>1348</v>
      </c>
      <c r="R1585" s="41" t="s">
        <v>39</v>
      </c>
      <c r="S1585" s="41" t="s">
        <v>40</v>
      </c>
      <c r="T1585" s="41" t="s">
        <v>40</v>
      </c>
      <c r="U1585" s="41" t="s">
        <v>40</v>
      </c>
    </row>
    <row r="1586" spans="1:21">
      <c r="A1586" s="41">
        <v>1237</v>
      </c>
      <c r="B1586" s="41" t="s">
        <v>5527</v>
      </c>
      <c r="D1586" s="41">
        <v>3623</v>
      </c>
      <c r="E1586" s="41" t="s">
        <v>5340</v>
      </c>
      <c r="F1586" s="41" t="s">
        <v>28</v>
      </c>
      <c r="G1586" s="41" t="s">
        <v>64</v>
      </c>
      <c r="I1586" s="41" t="s">
        <v>45</v>
      </c>
      <c r="J1586" s="41" t="s">
        <v>295</v>
      </c>
      <c r="K1586" s="42"/>
      <c r="L1586" s="41" t="s">
        <v>5528</v>
      </c>
      <c r="M1586" s="41">
        <v>220</v>
      </c>
      <c r="N1586" s="41" t="s">
        <v>1014</v>
      </c>
      <c r="O1586" s="41" t="s">
        <v>77</v>
      </c>
      <c r="P1586" s="41" t="s">
        <v>37</v>
      </c>
      <c r="Q1586" s="41" t="s">
        <v>363</v>
      </c>
      <c r="R1586" s="41" t="s">
        <v>39</v>
      </c>
      <c r="S1586" s="41" t="s">
        <v>40</v>
      </c>
      <c r="T1586" s="41" t="s">
        <v>40</v>
      </c>
      <c r="U1586" s="41" t="s">
        <v>40</v>
      </c>
    </row>
    <row r="1587" spans="1:21">
      <c r="A1587" s="41">
        <v>1236</v>
      </c>
      <c r="B1587" s="41" t="s">
        <v>5529</v>
      </c>
      <c r="D1587" s="41">
        <v>3622</v>
      </c>
      <c r="E1587" s="41" t="s">
        <v>4933</v>
      </c>
      <c r="F1587" s="41" t="s">
        <v>28</v>
      </c>
      <c r="G1587" s="41" t="s">
        <v>64</v>
      </c>
      <c r="I1587" s="41" t="s">
        <v>2859</v>
      </c>
      <c r="J1587" s="41" t="s">
        <v>32</v>
      </c>
      <c r="K1587" s="42"/>
      <c r="L1587" s="41" t="s">
        <v>5530</v>
      </c>
      <c r="M1587" s="41">
        <v>220</v>
      </c>
      <c r="N1587" s="41" t="s">
        <v>1578</v>
      </c>
      <c r="O1587" s="41" t="s">
        <v>962</v>
      </c>
      <c r="P1587" s="41" t="s">
        <v>153</v>
      </c>
      <c r="Q1587" s="41" t="s">
        <v>153</v>
      </c>
      <c r="R1587" s="41" t="s">
        <v>39</v>
      </c>
      <c r="S1587" s="41" t="s">
        <v>40</v>
      </c>
      <c r="T1587" s="41" t="s">
        <v>40</v>
      </c>
      <c r="U1587" s="41" t="s">
        <v>40</v>
      </c>
    </row>
    <row r="1588" spans="1:21">
      <c r="A1588" s="41">
        <v>1235</v>
      </c>
      <c r="B1588" s="41" t="s">
        <v>5531</v>
      </c>
      <c r="D1588" s="41">
        <v>3621</v>
      </c>
      <c r="E1588" s="41" t="s">
        <v>4933</v>
      </c>
      <c r="F1588" s="41" t="s">
        <v>28</v>
      </c>
      <c r="G1588" s="41" t="s">
        <v>64</v>
      </c>
      <c r="I1588" s="41" t="s">
        <v>325</v>
      </c>
      <c r="J1588" s="41" t="s">
        <v>295</v>
      </c>
      <c r="K1588" s="42"/>
      <c r="L1588" s="41" t="s">
        <v>5532</v>
      </c>
      <c r="M1588" s="41">
        <v>220</v>
      </c>
      <c r="N1588" s="41" t="s">
        <v>5533</v>
      </c>
      <c r="O1588" s="41" t="s">
        <v>962</v>
      </c>
      <c r="P1588" s="41" t="s">
        <v>172</v>
      </c>
      <c r="Q1588" s="41" t="s">
        <v>4030</v>
      </c>
      <c r="R1588" s="41" t="s">
        <v>39</v>
      </c>
      <c r="S1588" s="41" t="s">
        <v>40</v>
      </c>
      <c r="T1588" s="41" t="s">
        <v>40</v>
      </c>
      <c r="U1588" s="41" t="s">
        <v>40</v>
      </c>
    </row>
    <row r="1589" spans="1:21">
      <c r="A1589" s="41">
        <v>1234</v>
      </c>
      <c r="B1589" s="41" t="s">
        <v>5534</v>
      </c>
      <c r="D1589" s="41">
        <v>3620</v>
      </c>
      <c r="E1589" s="41" t="s">
        <v>1102</v>
      </c>
      <c r="F1589" s="41" t="s">
        <v>28</v>
      </c>
      <c r="G1589" s="41" t="s">
        <v>301</v>
      </c>
      <c r="I1589" s="41" t="s">
        <v>3101</v>
      </c>
      <c r="J1589" s="41" t="s">
        <v>380</v>
      </c>
      <c r="K1589" s="42"/>
      <c r="L1589" s="41" t="s">
        <v>5535</v>
      </c>
      <c r="M1589" s="41">
        <v>220</v>
      </c>
      <c r="N1589" s="41" t="s">
        <v>1578</v>
      </c>
      <c r="O1589" s="41" t="s">
        <v>369</v>
      </c>
      <c r="P1589" s="41" t="s">
        <v>153</v>
      </c>
      <c r="Q1589" s="41" t="s">
        <v>1567</v>
      </c>
      <c r="R1589" s="41" t="s">
        <v>39</v>
      </c>
      <c r="S1589" s="41" t="s">
        <v>5536</v>
      </c>
      <c r="T1589" s="41" t="s">
        <v>1433</v>
      </c>
      <c r="U1589" s="41" t="s">
        <v>40</v>
      </c>
    </row>
    <row r="1590" spans="1:21">
      <c r="A1590" s="41">
        <v>1233</v>
      </c>
      <c r="B1590" s="41" t="s">
        <v>5537</v>
      </c>
      <c r="D1590" s="41">
        <v>3619</v>
      </c>
      <c r="E1590" s="41" t="s">
        <v>1102</v>
      </c>
      <c r="F1590" s="41" t="s">
        <v>28</v>
      </c>
      <c r="G1590" s="41" t="s">
        <v>64</v>
      </c>
      <c r="I1590" s="41" t="s">
        <v>5538</v>
      </c>
      <c r="J1590" s="41" t="s">
        <v>32</v>
      </c>
      <c r="K1590" s="42"/>
      <c r="L1590" s="41" t="s">
        <v>5539</v>
      </c>
      <c r="M1590" s="41">
        <v>220</v>
      </c>
      <c r="N1590" s="41" t="s">
        <v>1578</v>
      </c>
      <c r="O1590" s="41" t="s">
        <v>369</v>
      </c>
      <c r="P1590" s="41" t="s">
        <v>60</v>
      </c>
      <c r="Q1590" s="41" t="s">
        <v>1769</v>
      </c>
      <c r="R1590" s="41" t="s">
        <v>39</v>
      </c>
      <c r="S1590" s="41" t="s">
        <v>40</v>
      </c>
      <c r="T1590" s="41" t="s">
        <v>40</v>
      </c>
      <c r="U1590" s="41" t="s">
        <v>40</v>
      </c>
    </row>
    <row r="1591" spans="1:21">
      <c r="A1591" s="41">
        <v>1232</v>
      </c>
      <c r="B1591" s="41" t="s">
        <v>5540</v>
      </c>
      <c r="D1591" s="41">
        <v>3618</v>
      </c>
      <c r="E1591" s="41" t="s">
        <v>1102</v>
      </c>
      <c r="F1591" s="41" t="s">
        <v>28</v>
      </c>
      <c r="G1591" s="41" t="s">
        <v>301</v>
      </c>
      <c r="I1591" s="41" t="s">
        <v>5523</v>
      </c>
      <c r="J1591" s="41" t="s">
        <v>32</v>
      </c>
      <c r="K1591" s="42"/>
      <c r="L1591" s="41" t="s">
        <v>5541</v>
      </c>
      <c r="M1591" s="41">
        <v>220</v>
      </c>
      <c r="N1591" s="41" t="s">
        <v>5542</v>
      </c>
      <c r="O1591" s="41" t="s">
        <v>5543</v>
      </c>
      <c r="P1591" s="41" t="s">
        <v>60</v>
      </c>
      <c r="Q1591" s="41" t="s">
        <v>1348</v>
      </c>
      <c r="R1591" s="41" t="s">
        <v>39</v>
      </c>
      <c r="S1591" s="41" t="s">
        <v>5544</v>
      </c>
      <c r="T1591" s="41" t="s">
        <v>455</v>
      </c>
      <c r="U1591" s="41" t="s">
        <v>146</v>
      </c>
    </row>
    <row r="1592" spans="1:21">
      <c r="A1592" s="41">
        <v>1231</v>
      </c>
      <c r="B1592" s="41" t="s">
        <v>5545</v>
      </c>
      <c r="D1592" s="41">
        <v>3617</v>
      </c>
      <c r="E1592" s="41" t="s">
        <v>1102</v>
      </c>
      <c r="F1592" s="41" t="s">
        <v>28</v>
      </c>
      <c r="G1592" s="41" t="s">
        <v>301</v>
      </c>
      <c r="I1592" s="41" t="s">
        <v>325</v>
      </c>
      <c r="J1592" s="41" t="s">
        <v>295</v>
      </c>
      <c r="K1592" s="42"/>
      <c r="L1592" s="41" t="s">
        <v>5546</v>
      </c>
      <c r="M1592" s="41">
        <v>220</v>
      </c>
      <c r="N1592" s="41" t="s">
        <v>5542</v>
      </c>
      <c r="O1592" s="41" t="s">
        <v>5543</v>
      </c>
      <c r="P1592" s="41" t="s">
        <v>179</v>
      </c>
      <c r="Q1592" s="41" t="s">
        <v>524</v>
      </c>
      <c r="R1592" s="41" t="s">
        <v>39</v>
      </c>
      <c r="S1592" s="41" t="s">
        <v>5547</v>
      </c>
      <c r="T1592" s="41" t="s">
        <v>210</v>
      </c>
      <c r="U1592" s="41" t="s">
        <v>40</v>
      </c>
    </row>
    <row r="1593" spans="1:21">
      <c r="A1593" s="41">
        <v>1230</v>
      </c>
      <c r="B1593" s="41" t="s">
        <v>1101</v>
      </c>
      <c r="D1593" s="41">
        <v>3616</v>
      </c>
      <c r="E1593" s="41" t="s">
        <v>1102</v>
      </c>
      <c r="F1593" s="41" t="s">
        <v>28</v>
      </c>
      <c r="G1593" s="41" t="s">
        <v>64</v>
      </c>
      <c r="I1593" s="41" t="s">
        <v>406</v>
      </c>
      <c r="J1593" s="41" t="s">
        <v>32</v>
      </c>
      <c r="K1593" s="42"/>
      <c r="L1593" s="41" t="s">
        <v>5548</v>
      </c>
      <c r="M1593" s="41">
        <v>220</v>
      </c>
      <c r="N1593" s="41" t="s">
        <v>369</v>
      </c>
      <c r="O1593" s="41" t="s">
        <v>5549</v>
      </c>
      <c r="P1593" s="41" t="s">
        <v>172</v>
      </c>
      <c r="Q1593" s="41" t="s">
        <v>1104</v>
      </c>
      <c r="R1593" s="41" t="s">
        <v>39</v>
      </c>
      <c r="S1593" s="41" t="s">
        <v>40</v>
      </c>
      <c r="T1593" s="41" t="s">
        <v>40</v>
      </c>
      <c r="U1593" s="41" t="s">
        <v>40</v>
      </c>
    </row>
    <row r="1594" spans="1:21">
      <c r="A1594" s="41">
        <v>1229</v>
      </c>
      <c r="B1594" s="41" t="s">
        <v>5550</v>
      </c>
      <c r="D1594" s="41">
        <v>3615</v>
      </c>
      <c r="E1594" s="41" t="s">
        <v>1739</v>
      </c>
      <c r="F1594" s="41" t="s">
        <v>53</v>
      </c>
      <c r="G1594" s="41" t="s">
        <v>64</v>
      </c>
      <c r="I1594" s="41" t="s">
        <v>1966</v>
      </c>
      <c r="J1594" s="41" t="s">
        <v>672</v>
      </c>
      <c r="K1594" s="42"/>
      <c r="L1594" s="41" t="s">
        <v>5551</v>
      </c>
      <c r="M1594" s="41">
        <v>12</v>
      </c>
      <c r="N1594" s="41" t="s">
        <v>5552</v>
      </c>
      <c r="O1594" s="41" t="s">
        <v>2167</v>
      </c>
      <c r="P1594" s="41" t="s">
        <v>68</v>
      </c>
      <c r="Q1594" s="41" t="s">
        <v>91</v>
      </c>
      <c r="R1594" s="41" t="s">
        <v>132</v>
      </c>
      <c r="S1594" s="41" t="s">
        <v>40</v>
      </c>
      <c r="T1594" s="41" t="s">
        <v>40</v>
      </c>
      <c r="U1594" s="41" t="s">
        <v>40</v>
      </c>
    </row>
    <row r="1595" spans="1:21">
      <c r="A1595" s="41">
        <v>1228</v>
      </c>
      <c r="B1595" s="41" t="s">
        <v>5553</v>
      </c>
      <c r="D1595" s="41">
        <v>3614</v>
      </c>
      <c r="E1595" s="41" t="s">
        <v>1076</v>
      </c>
      <c r="F1595" s="41" t="s">
        <v>53</v>
      </c>
      <c r="G1595" s="41" t="s">
        <v>54</v>
      </c>
      <c r="I1595" s="41" t="s">
        <v>231</v>
      </c>
      <c r="J1595" s="41" t="s">
        <v>295</v>
      </c>
      <c r="K1595" s="42"/>
      <c r="L1595" s="41" t="s">
        <v>2124</v>
      </c>
      <c r="M1595" s="41">
        <v>66</v>
      </c>
      <c r="N1595" s="41" t="s">
        <v>67</v>
      </c>
      <c r="O1595" s="41" t="s">
        <v>482</v>
      </c>
      <c r="P1595" s="41" t="s">
        <v>60</v>
      </c>
      <c r="Q1595" s="41" t="s">
        <v>61</v>
      </c>
      <c r="R1595" s="41" t="s">
        <v>132</v>
      </c>
      <c r="S1595" s="41" t="s">
        <v>40</v>
      </c>
      <c r="T1595" s="41" t="s">
        <v>40</v>
      </c>
      <c r="U1595" s="41" t="s">
        <v>40</v>
      </c>
    </row>
    <row r="1596" spans="1:21">
      <c r="A1596" s="41">
        <v>1227</v>
      </c>
      <c r="B1596" s="41" t="s">
        <v>5554</v>
      </c>
      <c r="D1596" s="41">
        <v>3613</v>
      </c>
      <c r="E1596" s="41" t="s">
        <v>1739</v>
      </c>
      <c r="F1596" s="41" t="s">
        <v>53</v>
      </c>
      <c r="G1596" s="41" t="s">
        <v>64</v>
      </c>
      <c r="I1596" s="41" t="s">
        <v>1966</v>
      </c>
      <c r="J1596" s="41" t="s">
        <v>672</v>
      </c>
      <c r="K1596" s="42"/>
      <c r="L1596" s="41" t="s">
        <v>5551</v>
      </c>
      <c r="M1596" s="41">
        <v>12</v>
      </c>
      <c r="N1596" s="41" t="s">
        <v>1009</v>
      </c>
      <c r="O1596" s="41" t="s">
        <v>5555</v>
      </c>
      <c r="P1596" s="41" t="s">
        <v>68</v>
      </c>
      <c r="Q1596" s="41" t="s">
        <v>91</v>
      </c>
      <c r="R1596" s="41" t="s">
        <v>132</v>
      </c>
      <c r="S1596" s="41" t="s">
        <v>40</v>
      </c>
      <c r="T1596" s="41" t="s">
        <v>40</v>
      </c>
      <c r="U1596" s="41" t="s">
        <v>40</v>
      </c>
    </row>
    <row r="1597" spans="1:21">
      <c r="A1597" s="41">
        <v>1226</v>
      </c>
      <c r="B1597" s="41" t="s">
        <v>5556</v>
      </c>
      <c r="D1597" s="41">
        <v>3591</v>
      </c>
      <c r="E1597" s="41" t="s">
        <v>5557</v>
      </c>
      <c r="F1597" s="41" t="s">
        <v>53</v>
      </c>
      <c r="G1597" s="41" t="s">
        <v>1071</v>
      </c>
      <c r="I1597" s="41" t="s">
        <v>5558</v>
      </c>
      <c r="J1597" s="41" t="s">
        <v>672</v>
      </c>
      <c r="K1597" s="42"/>
      <c r="L1597" s="41" t="s">
        <v>5559</v>
      </c>
      <c r="M1597" s="41">
        <v>23</v>
      </c>
      <c r="N1597" s="41" t="s">
        <v>5560</v>
      </c>
      <c r="O1597" s="41" t="s">
        <v>3296</v>
      </c>
      <c r="P1597" s="41" t="s">
        <v>546</v>
      </c>
      <c r="Q1597" s="41" t="s">
        <v>2100</v>
      </c>
      <c r="R1597" s="41" t="s">
        <v>132</v>
      </c>
      <c r="S1597" s="41" t="s">
        <v>40</v>
      </c>
      <c r="T1597" s="41" t="s">
        <v>40</v>
      </c>
      <c r="U1597" s="41" t="s">
        <v>40</v>
      </c>
    </row>
    <row r="1598" spans="1:21">
      <c r="A1598" s="41">
        <v>1225</v>
      </c>
      <c r="B1598" s="41" t="s">
        <v>5561</v>
      </c>
      <c r="D1598" s="41">
        <v>3590</v>
      </c>
      <c r="E1598" s="41" t="s">
        <v>2611</v>
      </c>
      <c r="F1598" s="41" t="s">
        <v>53</v>
      </c>
      <c r="G1598" s="41" t="s">
        <v>64</v>
      </c>
      <c r="I1598" s="41" t="s">
        <v>966</v>
      </c>
      <c r="J1598" s="41" t="s">
        <v>380</v>
      </c>
      <c r="K1598" s="42"/>
      <c r="L1598" s="41" t="s">
        <v>5004</v>
      </c>
      <c r="M1598" s="41">
        <v>220</v>
      </c>
      <c r="N1598" s="41" t="s">
        <v>59</v>
      </c>
      <c r="O1598" s="41" t="s">
        <v>1379</v>
      </c>
      <c r="P1598" s="41" t="s">
        <v>37</v>
      </c>
      <c r="Q1598" s="41" t="s">
        <v>1661</v>
      </c>
      <c r="R1598" s="41" t="s">
        <v>62</v>
      </c>
      <c r="S1598" s="41" t="s">
        <v>5562</v>
      </c>
      <c r="T1598" s="41" t="s">
        <v>4640</v>
      </c>
      <c r="U1598" s="41" t="s">
        <v>40</v>
      </c>
    </row>
    <row r="1599" spans="1:21">
      <c r="A1599" s="41">
        <v>1224</v>
      </c>
      <c r="B1599" s="41" t="s">
        <v>5563</v>
      </c>
      <c r="C1599" s="41">
        <v>1</v>
      </c>
      <c r="D1599" s="41">
        <v>3589</v>
      </c>
      <c r="E1599" s="41" t="s">
        <v>5393</v>
      </c>
      <c r="F1599" s="41" t="s">
        <v>53</v>
      </c>
      <c r="G1599" s="41" t="s">
        <v>1071</v>
      </c>
      <c r="H1599" s="42">
        <v>44781</v>
      </c>
      <c r="I1599" s="41">
        <v>8.3000000000000007</v>
      </c>
      <c r="J1599" s="41" t="s">
        <v>672</v>
      </c>
      <c r="K1599" s="42"/>
      <c r="L1599" s="41" t="s">
        <v>5551</v>
      </c>
      <c r="M1599" s="41">
        <v>12</v>
      </c>
      <c r="N1599" s="41" t="s">
        <v>1675</v>
      </c>
      <c r="O1599" s="41" t="s">
        <v>4302</v>
      </c>
      <c r="P1599" s="41" t="s">
        <v>68</v>
      </c>
      <c r="Q1599" s="41" t="s">
        <v>91</v>
      </c>
      <c r="R1599" s="41" t="s">
        <v>132</v>
      </c>
      <c r="S1599" s="41" t="s">
        <v>40</v>
      </c>
      <c r="T1599" s="41" t="s">
        <v>40</v>
      </c>
      <c r="U1599" s="41" t="s">
        <v>40</v>
      </c>
    </row>
    <row r="1600" spans="1:21">
      <c r="A1600" s="41">
        <v>1223</v>
      </c>
      <c r="B1600" s="41" t="s">
        <v>5564</v>
      </c>
      <c r="C1600" s="41">
        <v>1</v>
      </c>
      <c r="D1600" s="41">
        <v>3588</v>
      </c>
      <c r="E1600" s="41" t="s">
        <v>5393</v>
      </c>
      <c r="F1600" s="41" t="s">
        <v>53</v>
      </c>
      <c r="G1600" s="41" t="s">
        <v>1071</v>
      </c>
      <c r="H1600" s="42">
        <v>44781</v>
      </c>
      <c r="I1600" s="41">
        <v>8.3000000000000007</v>
      </c>
      <c r="J1600" s="41" t="s">
        <v>672</v>
      </c>
      <c r="K1600" s="42"/>
      <c r="L1600" s="41" t="s">
        <v>5551</v>
      </c>
      <c r="M1600" s="41">
        <v>12</v>
      </c>
      <c r="N1600" s="41" t="s">
        <v>5565</v>
      </c>
      <c r="O1600" s="41" t="s">
        <v>3250</v>
      </c>
      <c r="P1600" s="41" t="s">
        <v>68</v>
      </c>
      <c r="Q1600" s="41" t="s">
        <v>91</v>
      </c>
      <c r="R1600" s="41" t="s">
        <v>132</v>
      </c>
      <c r="S1600" s="41" t="s">
        <v>40</v>
      </c>
      <c r="T1600" s="41" t="s">
        <v>40</v>
      </c>
      <c r="U1600" s="41" t="s">
        <v>40</v>
      </c>
    </row>
    <row r="1601" spans="1:21">
      <c r="A1601" s="41">
        <v>1222</v>
      </c>
      <c r="B1601" s="41" t="s">
        <v>5566</v>
      </c>
      <c r="D1601" s="41">
        <v>3584</v>
      </c>
      <c r="E1601" s="41" t="s">
        <v>2611</v>
      </c>
      <c r="F1601" s="41" t="s">
        <v>53</v>
      </c>
      <c r="G1601" s="41" t="s">
        <v>43</v>
      </c>
      <c r="I1601" s="41" t="s">
        <v>966</v>
      </c>
      <c r="J1601" s="41" t="s">
        <v>380</v>
      </c>
      <c r="K1601" s="42"/>
      <c r="L1601" s="41" t="s">
        <v>5004</v>
      </c>
      <c r="M1601" s="41">
        <v>220</v>
      </c>
      <c r="N1601" s="41" t="s">
        <v>1596</v>
      </c>
      <c r="O1601" s="41" t="s">
        <v>271</v>
      </c>
      <c r="P1601" s="41" t="s">
        <v>37</v>
      </c>
      <c r="Q1601" s="41" t="s">
        <v>1661</v>
      </c>
      <c r="R1601" s="41" t="s">
        <v>62</v>
      </c>
      <c r="S1601" s="41" t="s">
        <v>5567</v>
      </c>
      <c r="T1601" s="41" t="s">
        <v>4640</v>
      </c>
      <c r="U1601" s="41" t="s">
        <v>40</v>
      </c>
    </row>
    <row r="1602" spans="1:21">
      <c r="A1602" s="41">
        <v>1221</v>
      </c>
      <c r="B1602" s="41" t="s">
        <v>5568</v>
      </c>
      <c r="D1602" s="41">
        <v>3583</v>
      </c>
      <c r="E1602" s="41" t="s">
        <v>1739</v>
      </c>
      <c r="F1602" s="41" t="s">
        <v>53</v>
      </c>
      <c r="G1602" s="41" t="s">
        <v>1071</v>
      </c>
      <c r="I1602" s="41" t="s">
        <v>5569</v>
      </c>
      <c r="J1602" s="41" t="s">
        <v>672</v>
      </c>
      <c r="K1602" s="42"/>
      <c r="L1602" s="41" t="s">
        <v>5570</v>
      </c>
      <c r="M1602" s="41">
        <v>13</v>
      </c>
      <c r="N1602" s="41" t="s">
        <v>5571</v>
      </c>
      <c r="O1602" s="41" t="s">
        <v>2090</v>
      </c>
      <c r="P1602" s="41" t="s">
        <v>546</v>
      </c>
      <c r="Q1602" s="41" t="s">
        <v>2100</v>
      </c>
      <c r="R1602" s="41" t="s">
        <v>132</v>
      </c>
      <c r="S1602" s="41" t="s">
        <v>40</v>
      </c>
      <c r="T1602" s="41" t="s">
        <v>40</v>
      </c>
      <c r="U1602" s="41" t="s">
        <v>40</v>
      </c>
    </row>
    <row r="1603" spans="1:21">
      <c r="A1603" s="41">
        <v>1220</v>
      </c>
      <c r="B1603" s="41" t="s">
        <v>5297</v>
      </c>
      <c r="D1603" s="41">
        <v>3582</v>
      </c>
      <c r="E1603" s="41" t="s">
        <v>4522</v>
      </c>
      <c r="F1603" s="41" t="s">
        <v>53</v>
      </c>
      <c r="G1603" s="41" t="s">
        <v>64</v>
      </c>
      <c r="I1603" s="41" t="s">
        <v>194</v>
      </c>
      <c r="J1603" s="41" t="s">
        <v>295</v>
      </c>
      <c r="K1603" s="42"/>
      <c r="L1603" s="41" t="s">
        <v>5298</v>
      </c>
      <c r="M1603" s="41">
        <v>33</v>
      </c>
      <c r="N1603" s="41" t="s">
        <v>2822</v>
      </c>
      <c r="O1603" s="41" t="s">
        <v>1448</v>
      </c>
      <c r="P1603" s="41" t="s">
        <v>334</v>
      </c>
      <c r="Q1603" s="41" t="s">
        <v>4481</v>
      </c>
      <c r="R1603" s="41" t="s">
        <v>132</v>
      </c>
      <c r="S1603" s="41" t="s">
        <v>40</v>
      </c>
      <c r="T1603" s="41" t="s">
        <v>40</v>
      </c>
      <c r="U1603" s="41" t="s">
        <v>40</v>
      </c>
    </row>
    <row r="1604" spans="1:21">
      <c r="A1604" s="41">
        <v>1219</v>
      </c>
      <c r="B1604" s="41" t="s">
        <v>5572</v>
      </c>
      <c r="D1604" s="41">
        <v>3581</v>
      </c>
      <c r="E1604" s="41" t="s">
        <v>2088</v>
      </c>
      <c r="F1604" s="41" t="s">
        <v>28</v>
      </c>
      <c r="G1604" s="41" t="s">
        <v>64</v>
      </c>
      <c r="I1604" s="41" t="s">
        <v>162</v>
      </c>
      <c r="J1604" s="41" t="s">
        <v>380</v>
      </c>
      <c r="K1604" s="42"/>
      <c r="L1604" s="41" t="s">
        <v>5573</v>
      </c>
      <c r="M1604" s="41">
        <v>220</v>
      </c>
      <c r="N1604" s="41" t="s">
        <v>369</v>
      </c>
      <c r="O1604" s="41" t="s">
        <v>369</v>
      </c>
      <c r="P1604" s="41" t="s">
        <v>83</v>
      </c>
      <c r="Q1604" s="41" t="s">
        <v>2456</v>
      </c>
      <c r="R1604" s="41" t="s">
        <v>39</v>
      </c>
      <c r="S1604" s="41" t="s">
        <v>40</v>
      </c>
      <c r="T1604" s="41" t="s">
        <v>40</v>
      </c>
      <c r="U1604" s="41" t="s">
        <v>40</v>
      </c>
    </row>
    <row r="1605" spans="1:21">
      <c r="A1605" s="41">
        <v>1218</v>
      </c>
      <c r="B1605" s="41" t="s">
        <v>5574</v>
      </c>
      <c r="D1605" s="41">
        <v>3580</v>
      </c>
      <c r="E1605" s="41" t="s">
        <v>5575</v>
      </c>
      <c r="F1605" s="41" t="s">
        <v>53</v>
      </c>
      <c r="G1605" s="41" t="s">
        <v>141</v>
      </c>
      <c r="I1605" s="41" t="s">
        <v>231</v>
      </c>
      <c r="J1605" s="41" t="s">
        <v>295</v>
      </c>
      <c r="K1605" s="42"/>
      <c r="L1605" s="41" t="s">
        <v>3654</v>
      </c>
      <c r="M1605" s="41">
        <v>110</v>
      </c>
      <c r="N1605" s="41" t="s">
        <v>1693</v>
      </c>
      <c r="O1605" s="41" t="s">
        <v>747</v>
      </c>
      <c r="P1605" s="41" t="s">
        <v>78</v>
      </c>
      <c r="Q1605" s="41" t="s">
        <v>3094</v>
      </c>
      <c r="R1605" s="41" t="s">
        <v>132</v>
      </c>
      <c r="S1605" s="41" t="s">
        <v>5576</v>
      </c>
      <c r="T1605" s="41" t="s">
        <v>4545</v>
      </c>
      <c r="U1605" s="41" t="s">
        <v>1796</v>
      </c>
    </row>
    <row r="1606" spans="1:21">
      <c r="A1606" s="41">
        <v>1217</v>
      </c>
      <c r="B1606" s="41" t="s">
        <v>1546</v>
      </c>
      <c r="D1606" s="41">
        <v>3579</v>
      </c>
      <c r="E1606" s="41" t="s">
        <v>1549</v>
      </c>
      <c r="F1606" s="41" t="s">
        <v>53</v>
      </c>
      <c r="G1606" s="41" t="s">
        <v>141</v>
      </c>
      <c r="I1606" s="41" t="s">
        <v>3645</v>
      </c>
      <c r="J1606" s="41" t="s">
        <v>295</v>
      </c>
      <c r="K1606" s="42"/>
      <c r="L1606" s="41" t="s">
        <v>4427</v>
      </c>
      <c r="M1606" s="41">
        <v>220</v>
      </c>
      <c r="N1606" s="41" t="s">
        <v>5577</v>
      </c>
      <c r="O1606" s="41" t="s">
        <v>5578</v>
      </c>
      <c r="P1606" s="41" t="s">
        <v>179</v>
      </c>
      <c r="Q1606" s="41" t="s">
        <v>524</v>
      </c>
      <c r="R1606" s="41" t="s">
        <v>62</v>
      </c>
      <c r="S1606" s="41" t="s">
        <v>5579</v>
      </c>
      <c r="T1606" s="41" t="s">
        <v>455</v>
      </c>
      <c r="U1606" s="41" t="s">
        <v>165</v>
      </c>
    </row>
    <row r="1607" spans="1:21">
      <c r="A1607" s="41">
        <v>1216</v>
      </c>
      <c r="B1607" s="41" t="s">
        <v>5580</v>
      </c>
      <c r="D1607" s="41">
        <v>3562</v>
      </c>
      <c r="E1607" s="41" t="s">
        <v>1724</v>
      </c>
      <c r="F1607" s="41" t="s">
        <v>42</v>
      </c>
      <c r="G1607" s="41" t="s">
        <v>43</v>
      </c>
      <c r="I1607" s="41" t="s">
        <v>5581</v>
      </c>
      <c r="J1607" s="41" t="s">
        <v>295</v>
      </c>
      <c r="K1607" s="42"/>
      <c r="L1607" s="41" t="s">
        <v>5582</v>
      </c>
      <c r="M1607" s="41">
        <v>33</v>
      </c>
      <c r="N1607" s="41" t="s">
        <v>5583</v>
      </c>
      <c r="O1607" s="41" t="s">
        <v>77</v>
      </c>
      <c r="P1607" s="41" t="s">
        <v>98</v>
      </c>
      <c r="Q1607" s="41" t="s">
        <v>116</v>
      </c>
      <c r="R1607" s="41" t="s">
        <v>39</v>
      </c>
      <c r="S1607" s="41" t="s">
        <v>40</v>
      </c>
      <c r="T1607" s="41" t="s">
        <v>40</v>
      </c>
      <c r="U1607" s="41" t="s">
        <v>40</v>
      </c>
    </row>
    <row r="1608" spans="1:21">
      <c r="A1608" s="41">
        <v>1215</v>
      </c>
      <c r="B1608" s="41" t="s">
        <v>5584</v>
      </c>
      <c r="D1608" s="41">
        <v>3561</v>
      </c>
      <c r="E1608" s="41" t="s">
        <v>1086</v>
      </c>
      <c r="F1608" s="41" t="s">
        <v>28</v>
      </c>
      <c r="G1608" s="41" t="s">
        <v>307</v>
      </c>
      <c r="I1608" s="41" t="s">
        <v>5117</v>
      </c>
      <c r="J1608" s="41" t="s">
        <v>295</v>
      </c>
      <c r="K1608" s="42"/>
      <c r="L1608" s="41" t="s">
        <v>5585</v>
      </c>
      <c r="M1608" s="41">
        <v>23</v>
      </c>
      <c r="N1608" s="41" t="s">
        <v>311</v>
      </c>
      <c r="O1608" s="41" t="s">
        <v>962</v>
      </c>
      <c r="P1608" s="41" t="s">
        <v>37</v>
      </c>
      <c r="Q1608" s="41" t="s">
        <v>1125</v>
      </c>
      <c r="R1608" s="41" t="s">
        <v>39</v>
      </c>
      <c r="S1608" s="41" t="s">
        <v>5586</v>
      </c>
      <c r="T1608" s="41" t="s">
        <v>3185</v>
      </c>
      <c r="U1608" s="41" t="s">
        <v>40</v>
      </c>
    </row>
    <row r="1609" spans="1:21">
      <c r="A1609" s="41">
        <v>1214</v>
      </c>
      <c r="B1609" s="41" t="s">
        <v>5587</v>
      </c>
      <c r="D1609" s="41">
        <v>3981</v>
      </c>
      <c r="E1609" s="41" t="s">
        <v>992</v>
      </c>
      <c r="F1609" s="41" t="s">
        <v>53</v>
      </c>
      <c r="G1609" s="41" t="s">
        <v>141</v>
      </c>
      <c r="I1609" s="41" t="s">
        <v>2695</v>
      </c>
      <c r="J1609" s="41" t="s">
        <v>295</v>
      </c>
      <c r="K1609" s="42"/>
      <c r="L1609" s="41" t="s">
        <v>674</v>
      </c>
      <c r="M1609" s="41">
        <v>220</v>
      </c>
      <c r="N1609" s="41" t="s">
        <v>979</v>
      </c>
      <c r="O1609" s="41" t="s">
        <v>5588</v>
      </c>
      <c r="P1609" s="41" t="s">
        <v>68</v>
      </c>
      <c r="Q1609" s="41" t="s">
        <v>677</v>
      </c>
      <c r="R1609" s="41" t="s">
        <v>62</v>
      </c>
      <c r="S1609" s="41" t="s">
        <v>4662</v>
      </c>
      <c r="T1609" s="41" t="s">
        <v>1773</v>
      </c>
      <c r="U1609" s="41" t="s">
        <v>779</v>
      </c>
    </row>
    <row r="1610" spans="1:21">
      <c r="A1610" s="41">
        <v>1213</v>
      </c>
      <c r="B1610" s="41" t="s">
        <v>5589</v>
      </c>
      <c r="D1610" s="41">
        <v>3550</v>
      </c>
      <c r="E1610" s="41" t="s">
        <v>1435</v>
      </c>
      <c r="F1610" s="41" t="s">
        <v>28</v>
      </c>
      <c r="G1610" s="41" t="s">
        <v>64</v>
      </c>
      <c r="I1610" s="41" t="s">
        <v>194</v>
      </c>
      <c r="J1610" s="41" t="s">
        <v>295</v>
      </c>
      <c r="K1610" s="42"/>
      <c r="L1610" s="41" t="s">
        <v>3469</v>
      </c>
      <c r="M1610" s="41">
        <v>23</v>
      </c>
      <c r="N1610" s="41" t="s">
        <v>2742</v>
      </c>
      <c r="O1610" s="41" t="s">
        <v>1124</v>
      </c>
      <c r="P1610" s="41" t="s">
        <v>179</v>
      </c>
      <c r="Q1610" s="41" t="s">
        <v>284</v>
      </c>
      <c r="R1610" s="41" t="s">
        <v>39</v>
      </c>
      <c r="S1610" s="41" t="s">
        <v>5590</v>
      </c>
      <c r="T1610" s="41" t="s">
        <v>753</v>
      </c>
      <c r="U1610" s="41" t="s">
        <v>40</v>
      </c>
    </row>
    <row r="1611" spans="1:21">
      <c r="A1611" s="41">
        <v>1212</v>
      </c>
      <c r="B1611" s="41" t="s">
        <v>5591</v>
      </c>
      <c r="D1611" s="41">
        <v>3546</v>
      </c>
      <c r="E1611" s="41" t="s">
        <v>3455</v>
      </c>
      <c r="F1611" s="41" t="s">
        <v>28</v>
      </c>
      <c r="G1611" s="41" t="s">
        <v>301</v>
      </c>
      <c r="I1611" s="41" t="s">
        <v>5592</v>
      </c>
      <c r="J1611" s="41" t="s">
        <v>672</v>
      </c>
      <c r="K1611" s="42"/>
      <c r="L1611" s="41" t="s">
        <v>487</v>
      </c>
      <c r="M1611" s="41">
        <v>33</v>
      </c>
      <c r="N1611" s="41" t="s">
        <v>5593</v>
      </c>
      <c r="O1611" s="41" t="s">
        <v>5594</v>
      </c>
      <c r="P1611" s="41" t="s">
        <v>98</v>
      </c>
      <c r="Q1611" s="41" t="s">
        <v>204</v>
      </c>
      <c r="R1611" s="41" t="s">
        <v>39</v>
      </c>
      <c r="S1611" s="41" t="s">
        <v>5595</v>
      </c>
      <c r="T1611" s="41" t="s">
        <v>1796</v>
      </c>
      <c r="U1611" s="41" t="s">
        <v>40</v>
      </c>
    </row>
    <row r="1612" spans="1:21">
      <c r="A1612" s="41">
        <v>1209</v>
      </c>
      <c r="B1612" s="41" t="s">
        <v>5596</v>
      </c>
      <c r="D1612" s="41">
        <v>3542</v>
      </c>
      <c r="E1612" s="41" t="s">
        <v>3791</v>
      </c>
      <c r="F1612" s="41" t="s">
        <v>28</v>
      </c>
      <c r="G1612" s="41" t="s">
        <v>43</v>
      </c>
      <c r="I1612" s="41" t="s">
        <v>325</v>
      </c>
      <c r="J1612" s="41" t="s">
        <v>1652</v>
      </c>
      <c r="K1612" s="42"/>
      <c r="L1612" s="41" t="s">
        <v>5597</v>
      </c>
      <c r="M1612" s="41">
        <v>110</v>
      </c>
      <c r="N1612" s="41" t="s">
        <v>1693</v>
      </c>
      <c r="O1612" s="41" t="s">
        <v>2498</v>
      </c>
      <c r="P1612" s="41" t="s">
        <v>78</v>
      </c>
      <c r="Q1612" s="41" t="s">
        <v>5212</v>
      </c>
      <c r="R1612" s="41" t="s">
        <v>39</v>
      </c>
      <c r="S1612" s="41" t="s">
        <v>40</v>
      </c>
      <c r="T1612" s="41" t="s">
        <v>40</v>
      </c>
      <c r="U1612" s="41" t="s">
        <v>40</v>
      </c>
    </row>
    <row r="1613" spans="1:21">
      <c r="A1613" s="41">
        <v>1208</v>
      </c>
      <c r="B1613" s="41" t="s">
        <v>5598</v>
      </c>
      <c r="D1613" s="41">
        <v>3541</v>
      </c>
      <c r="E1613" s="41" t="s">
        <v>5599</v>
      </c>
      <c r="F1613" s="41" t="s">
        <v>53</v>
      </c>
      <c r="G1613" s="41" t="s">
        <v>64</v>
      </c>
      <c r="I1613" s="41" t="s">
        <v>966</v>
      </c>
      <c r="J1613" s="41" t="s">
        <v>672</v>
      </c>
      <c r="K1613" s="42"/>
      <c r="L1613" s="41" t="s">
        <v>4098</v>
      </c>
      <c r="M1613" s="41">
        <v>220</v>
      </c>
      <c r="N1613" s="41" t="s">
        <v>5600</v>
      </c>
      <c r="O1613" s="41" t="s">
        <v>77</v>
      </c>
      <c r="P1613" s="41" t="s">
        <v>179</v>
      </c>
      <c r="Q1613" s="41" t="s">
        <v>284</v>
      </c>
      <c r="R1613" s="41" t="s">
        <v>62</v>
      </c>
      <c r="S1613" s="41" t="s">
        <v>40</v>
      </c>
      <c r="T1613" s="41" t="s">
        <v>40</v>
      </c>
      <c r="U1613" s="41" t="s">
        <v>40</v>
      </c>
    </row>
    <row r="1614" spans="1:21">
      <c r="A1614" s="41">
        <v>1207</v>
      </c>
      <c r="B1614" s="41" t="s">
        <v>5601</v>
      </c>
      <c r="D1614" s="41">
        <v>3540</v>
      </c>
      <c r="E1614" s="41" t="s">
        <v>5602</v>
      </c>
      <c r="F1614" s="41" t="s">
        <v>53</v>
      </c>
      <c r="G1614" s="41" t="s">
        <v>141</v>
      </c>
      <c r="I1614" s="41" t="s">
        <v>464</v>
      </c>
      <c r="J1614" s="41" t="s">
        <v>295</v>
      </c>
      <c r="K1614" s="42"/>
      <c r="L1614" s="41" t="s">
        <v>4358</v>
      </c>
      <c r="M1614" s="41">
        <v>66</v>
      </c>
      <c r="N1614" s="41" t="s">
        <v>5603</v>
      </c>
      <c r="O1614" s="41" t="s">
        <v>4255</v>
      </c>
      <c r="P1614" s="41" t="s">
        <v>60</v>
      </c>
      <c r="Q1614" s="41" t="s">
        <v>352</v>
      </c>
      <c r="R1614" s="41" t="s">
        <v>62</v>
      </c>
      <c r="S1614" s="41" t="s">
        <v>5604</v>
      </c>
      <c r="T1614" s="41" t="s">
        <v>2101</v>
      </c>
      <c r="U1614" s="41" t="s">
        <v>40</v>
      </c>
    </row>
    <row r="1615" spans="1:21">
      <c r="A1615" s="41">
        <v>1206</v>
      </c>
      <c r="B1615" s="41" t="s">
        <v>5605</v>
      </c>
      <c r="D1615" s="41">
        <v>3538</v>
      </c>
      <c r="E1615" s="41" t="s">
        <v>5393</v>
      </c>
      <c r="F1615" s="41" t="s">
        <v>53</v>
      </c>
      <c r="G1615" s="41" t="s">
        <v>1071</v>
      </c>
      <c r="I1615" s="41" t="s">
        <v>1092</v>
      </c>
      <c r="J1615" s="41" t="s">
        <v>672</v>
      </c>
      <c r="K1615" s="42"/>
      <c r="L1615" s="41" t="s">
        <v>3267</v>
      </c>
      <c r="M1615" s="41">
        <v>12</v>
      </c>
      <c r="N1615" s="41" t="s">
        <v>5606</v>
      </c>
      <c r="O1615" s="41" t="s">
        <v>1100</v>
      </c>
      <c r="P1615" s="41" t="s">
        <v>68</v>
      </c>
      <c r="Q1615" s="41" t="s">
        <v>3269</v>
      </c>
      <c r="R1615" s="41" t="s">
        <v>132</v>
      </c>
      <c r="S1615" s="41" t="s">
        <v>5607</v>
      </c>
      <c r="T1615" s="41" t="s">
        <v>40</v>
      </c>
      <c r="U1615" s="41" t="s">
        <v>40</v>
      </c>
    </row>
    <row r="1616" spans="1:21">
      <c r="A1616" s="41">
        <v>1205</v>
      </c>
      <c r="B1616" s="41" t="s">
        <v>5608</v>
      </c>
      <c r="D1616" s="41">
        <v>3537</v>
      </c>
      <c r="E1616" s="41" t="s">
        <v>5393</v>
      </c>
      <c r="F1616" s="41" t="s">
        <v>53</v>
      </c>
      <c r="G1616" s="41" t="s">
        <v>1071</v>
      </c>
      <c r="I1616" s="41" t="s">
        <v>1092</v>
      </c>
      <c r="J1616" s="41" t="s">
        <v>672</v>
      </c>
      <c r="K1616" s="42"/>
      <c r="L1616" s="41" t="s">
        <v>3267</v>
      </c>
      <c r="M1616" s="41">
        <v>12</v>
      </c>
      <c r="N1616" s="41" t="s">
        <v>5609</v>
      </c>
      <c r="O1616" s="41" t="s">
        <v>1667</v>
      </c>
      <c r="P1616" s="41" t="s">
        <v>68</v>
      </c>
      <c r="Q1616" s="41" t="s">
        <v>3269</v>
      </c>
      <c r="R1616" s="41" t="s">
        <v>132</v>
      </c>
      <c r="S1616" s="41" t="s">
        <v>5607</v>
      </c>
      <c r="T1616" s="41" t="s">
        <v>40</v>
      </c>
      <c r="U1616" s="41" t="s">
        <v>40</v>
      </c>
    </row>
    <row r="1617" spans="1:21">
      <c r="A1617" s="41">
        <v>1204</v>
      </c>
      <c r="B1617" s="41" t="s">
        <v>5610</v>
      </c>
      <c r="D1617" s="41">
        <v>3536</v>
      </c>
      <c r="E1617" s="41" t="s">
        <v>5393</v>
      </c>
      <c r="F1617" s="41" t="s">
        <v>53</v>
      </c>
      <c r="G1617" s="41" t="s">
        <v>1071</v>
      </c>
      <c r="I1617" s="41" t="s">
        <v>1092</v>
      </c>
      <c r="J1617" s="41" t="s">
        <v>672</v>
      </c>
      <c r="K1617" s="42"/>
      <c r="L1617" s="41" t="s">
        <v>1792</v>
      </c>
      <c r="M1617" s="41">
        <v>12</v>
      </c>
      <c r="N1617" s="41" t="s">
        <v>5611</v>
      </c>
      <c r="O1617" s="41" t="s">
        <v>1830</v>
      </c>
      <c r="P1617" s="41" t="s">
        <v>68</v>
      </c>
      <c r="Q1617" s="41" t="s">
        <v>1794</v>
      </c>
      <c r="R1617" s="41" t="s">
        <v>132</v>
      </c>
      <c r="S1617" s="41" t="s">
        <v>5612</v>
      </c>
      <c r="T1617" s="41" t="s">
        <v>40</v>
      </c>
      <c r="U1617" s="41" t="s">
        <v>40</v>
      </c>
    </row>
    <row r="1618" spans="1:21">
      <c r="A1618" s="41">
        <v>1203</v>
      </c>
      <c r="B1618" s="41" t="s">
        <v>5613</v>
      </c>
      <c r="D1618" s="41">
        <v>3436</v>
      </c>
      <c r="E1618" s="41" t="s">
        <v>2971</v>
      </c>
      <c r="F1618" s="41" t="s">
        <v>42</v>
      </c>
      <c r="G1618" s="41" t="s">
        <v>43</v>
      </c>
      <c r="I1618" s="41" t="s">
        <v>2653</v>
      </c>
      <c r="J1618" s="41" t="s">
        <v>672</v>
      </c>
      <c r="K1618" s="42"/>
      <c r="L1618" s="41" t="s">
        <v>5614</v>
      </c>
      <c r="M1618" s="41">
        <v>33</v>
      </c>
      <c r="N1618" s="41" t="s">
        <v>1333</v>
      </c>
      <c r="O1618" s="41" t="s">
        <v>5615</v>
      </c>
      <c r="P1618" s="41" t="s">
        <v>98</v>
      </c>
      <c r="Q1618" s="41" t="s">
        <v>98</v>
      </c>
      <c r="R1618" s="41" t="s">
        <v>39</v>
      </c>
      <c r="S1618" s="41" t="s">
        <v>40</v>
      </c>
      <c r="T1618" s="41" t="s">
        <v>40</v>
      </c>
      <c r="U1618" s="41" t="s">
        <v>40</v>
      </c>
    </row>
    <row r="1619" spans="1:21">
      <c r="A1619" s="41">
        <v>1202</v>
      </c>
      <c r="B1619" s="41" t="s">
        <v>5616</v>
      </c>
      <c r="D1619" s="41">
        <v>3533</v>
      </c>
      <c r="E1619" s="41" t="s">
        <v>4746</v>
      </c>
      <c r="F1619" s="41" t="s">
        <v>53</v>
      </c>
      <c r="G1619" s="41" t="s">
        <v>64</v>
      </c>
      <c r="I1619" s="41" t="s">
        <v>338</v>
      </c>
      <c r="J1619" s="41" t="s">
        <v>380</v>
      </c>
      <c r="K1619" s="42"/>
      <c r="L1619" s="41" t="s">
        <v>513</v>
      </c>
      <c r="M1619" s="41">
        <v>220</v>
      </c>
      <c r="N1619" s="41" t="s">
        <v>805</v>
      </c>
      <c r="O1619" s="41" t="s">
        <v>4553</v>
      </c>
      <c r="P1619" s="41" t="s">
        <v>382</v>
      </c>
      <c r="Q1619" s="41" t="s">
        <v>3148</v>
      </c>
      <c r="R1619" s="41" t="s">
        <v>62</v>
      </c>
      <c r="S1619" s="41" t="s">
        <v>40</v>
      </c>
      <c r="T1619" s="41" t="s">
        <v>40</v>
      </c>
      <c r="U1619" s="41" t="s">
        <v>40</v>
      </c>
    </row>
    <row r="1620" spans="1:21">
      <c r="A1620" s="41">
        <v>1201</v>
      </c>
      <c r="B1620" s="41" t="s">
        <v>5617</v>
      </c>
      <c r="D1620" s="41">
        <v>3535</v>
      </c>
      <c r="E1620" s="41" t="s">
        <v>5618</v>
      </c>
      <c r="F1620" s="41" t="s">
        <v>53</v>
      </c>
      <c r="G1620" s="41" t="s">
        <v>64</v>
      </c>
      <c r="I1620" s="41" t="s">
        <v>5350</v>
      </c>
      <c r="J1620" s="41" t="s">
        <v>32</v>
      </c>
      <c r="K1620" s="42"/>
      <c r="L1620" s="41" t="s">
        <v>513</v>
      </c>
      <c r="M1620" s="41">
        <v>220</v>
      </c>
      <c r="N1620" s="41" t="s">
        <v>59</v>
      </c>
      <c r="O1620" s="41" t="s">
        <v>5619</v>
      </c>
      <c r="P1620" s="41" t="s">
        <v>382</v>
      </c>
      <c r="Q1620" s="41" t="s">
        <v>3148</v>
      </c>
      <c r="R1620" s="41" t="s">
        <v>62</v>
      </c>
      <c r="S1620" s="41" t="s">
        <v>40</v>
      </c>
      <c r="T1620" s="41" t="s">
        <v>40</v>
      </c>
      <c r="U1620" s="41" t="s">
        <v>40</v>
      </c>
    </row>
    <row r="1621" spans="1:21">
      <c r="A1621" s="41">
        <v>1200</v>
      </c>
      <c r="B1621" s="41" t="s">
        <v>5620</v>
      </c>
      <c r="D1621" s="41">
        <v>3531</v>
      </c>
      <c r="E1621" s="41" t="s">
        <v>1286</v>
      </c>
      <c r="F1621" s="41" t="s">
        <v>53</v>
      </c>
      <c r="G1621" s="41" t="s">
        <v>141</v>
      </c>
      <c r="I1621" s="41" t="s">
        <v>2313</v>
      </c>
      <c r="J1621" s="41" t="s">
        <v>380</v>
      </c>
      <c r="K1621" s="42"/>
      <c r="L1621" s="41" t="s">
        <v>513</v>
      </c>
      <c r="M1621" s="41">
        <v>220</v>
      </c>
      <c r="N1621" s="41" t="s">
        <v>805</v>
      </c>
      <c r="O1621" s="41" t="s">
        <v>5621</v>
      </c>
      <c r="P1621" s="41" t="s">
        <v>382</v>
      </c>
      <c r="Q1621" s="41" t="s">
        <v>383</v>
      </c>
      <c r="R1621" s="41" t="s">
        <v>62</v>
      </c>
      <c r="S1621" s="41" t="s">
        <v>5622</v>
      </c>
      <c r="T1621" s="41" t="s">
        <v>1289</v>
      </c>
      <c r="U1621" s="41" t="s">
        <v>40</v>
      </c>
    </row>
    <row r="1622" spans="1:21">
      <c r="A1622" s="41">
        <v>1199</v>
      </c>
      <c r="B1622" s="41" t="s">
        <v>5623</v>
      </c>
      <c r="D1622" s="41">
        <v>3532</v>
      </c>
      <c r="E1622" s="41" t="s">
        <v>1286</v>
      </c>
      <c r="F1622" s="41" t="s">
        <v>53</v>
      </c>
      <c r="G1622" s="41" t="s">
        <v>64</v>
      </c>
      <c r="I1622" s="41" t="s">
        <v>45</v>
      </c>
      <c r="J1622" s="41" t="s">
        <v>32</v>
      </c>
      <c r="K1622" s="42"/>
      <c r="L1622" s="41" t="s">
        <v>513</v>
      </c>
      <c r="M1622" s="41">
        <v>220</v>
      </c>
      <c r="N1622" s="41" t="s">
        <v>805</v>
      </c>
      <c r="O1622" s="41" t="s">
        <v>5619</v>
      </c>
      <c r="P1622" s="41" t="s">
        <v>382</v>
      </c>
      <c r="Q1622" s="41" t="s">
        <v>383</v>
      </c>
      <c r="R1622" s="41" t="s">
        <v>62</v>
      </c>
      <c r="S1622" s="41" t="s">
        <v>40</v>
      </c>
      <c r="T1622" s="41" t="s">
        <v>40</v>
      </c>
      <c r="U1622" s="41" t="s">
        <v>40</v>
      </c>
    </row>
    <row r="1623" spans="1:21">
      <c r="A1623" s="41">
        <v>1198</v>
      </c>
      <c r="B1623" s="41" t="s">
        <v>5624</v>
      </c>
      <c r="D1623" s="41">
        <v>3534</v>
      </c>
      <c r="E1623" s="41" t="s">
        <v>2675</v>
      </c>
      <c r="F1623" s="41" t="s">
        <v>53</v>
      </c>
      <c r="G1623" s="41" t="s">
        <v>64</v>
      </c>
      <c r="I1623" s="41" t="s">
        <v>5625</v>
      </c>
      <c r="J1623" s="41" t="s">
        <v>380</v>
      </c>
      <c r="K1623" s="42"/>
      <c r="L1623" s="41" t="s">
        <v>513</v>
      </c>
      <c r="M1623" s="41">
        <v>220</v>
      </c>
      <c r="N1623" s="41" t="s">
        <v>340</v>
      </c>
      <c r="O1623" s="41" t="s">
        <v>5626</v>
      </c>
      <c r="P1623" s="41" t="s">
        <v>382</v>
      </c>
      <c r="Q1623" s="41" t="s">
        <v>383</v>
      </c>
      <c r="R1623" s="41" t="s">
        <v>62</v>
      </c>
      <c r="S1623" s="41" t="s">
        <v>40</v>
      </c>
      <c r="T1623" s="41" t="s">
        <v>40</v>
      </c>
      <c r="U1623" s="41" t="s">
        <v>40</v>
      </c>
    </row>
    <row r="1624" spans="1:21">
      <c r="A1624" s="41">
        <v>1197</v>
      </c>
      <c r="B1624" s="41" t="s">
        <v>5627</v>
      </c>
      <c r="D1624" s="41">
        <v>3530</v>
      </c>
      <c r="E1624" s="41" t="s">
        <v>3056</v>
      </c>
      <c r="F1624" s="41" t="s">
        <v>53</v>
      </c>
      <c r="G1624" s="41" t="s">
        <v>127</v>
      </c>
      <c r="I1624" s="41" t="s">
        <v>5167</v>
      </c>
      <c r="J1624" s="41" t="s">
        <v>380</v>
      </c>
      <c r="K1624" s="42"/>
      <c r="L1624" s="41" t="s">
        <v>513</v>
      </c>
      <c r="M1624" s="41">
        <v>220</v>
      </c>
      <c r="N1624" s="41" t="s">
        <v>1741</v>
      </c>
      <c r="O1624" s="41" t="s">
        <v>5249</v>
      </c>
      <c r="P1624" s="41" t="s">
        <v>382</v>
      </c>
      <c r="Q1624" s="41" t="s">
        <v>383</v>
      </c>
      <c r="R1624" s="41" t="s">
        <v>62</v>
      </c>
      <c r="S1624" s="41" t="s">
        <v>40</v>
      </c>
      <c r="T1624" s="41" t="s">
        <v>40</v>
      </c>
      <c r="U1624" s="41" t="s">
        <v>40</v>
      </c>
    </row>
    <row r="1625" spans="1:21">
      <c r="A1625" s="41">
        <v>1196</v>
      </c>
      <c r="B1625" s="41" t="s">
        <v>5628</v>
      </c>
      <c r="D1625" s="41">
        <v>3529</v>
      </c>
      <c r="E1625" s="41" t="s">
        <v>5629</v>
      </c>
      <c r="F1625" s="41" t="s">
        <v>53</v>
      </c>
      <c r="G1625" s="41" t="s">
        <v>141</v>
      </c>
      <c r="I1625" s="41" t="s">
        <v>45</v>
      </c>
      <c r="J1625" s="41" t="s">
        <v>380</v>
      </c>
      <c r="K1625" s="42"/>
      <c r="L1625" s="41" t="s">
        <v>5630</v>
      </c>
      <c r="M1625" s="41">
        <v>110</v>
      </c>
      <c r="N1625" s="41" t="s">
        <v>1052</v>
      </c>
      <c r="O1625" s="41" t="s">
        <v>36</v>
      </c>
      <c r="P1625" s="41" t="s">
        <v>83</v>
      </c>
      <c r="Q1625" s="41" t="s">
        <v>1206</v>
      </c>
      <c r="R1625" s="41" t="s">
        <v>132</v>
      </c>
      <c r="S1625" s="41" t="s">
        <v>5631</v>
      </c>
      <c r="T1625" s="41" t="s">
        <v>305</v>
      </c>
      <c r="U1625" s="41" t="s">
        <v>2690</v>
      </c>
    </row>
    <row r="1626" spans="1:21">
      <c r="A1626" s="41">
        <v>1195</v>
      </c>
      <c r="B1626" s="41" t="s">
        <v>5632</v>
      </c>
      <c r="D1626" s="41">
        <v>3514</v>
      </c>
      <c r="E1626" s="41" t="s">
        <v>5633</v>
      </c>
      <c r="F1626" s="41" t="s">
        <v>53</v>
      </c>
      <c r="G1626" s="41" t="s">
        <v>43</v>
      </c>
      <c r="I1626" s="41" t="s">
        <v>5634</v>
      </c>
      <c r="J1626" s="41" t="s">
        <v>672</v>
      </c>
      <c r="K1626" s="42"/>
      <c r="L1626" s="41" t="s">
        <v>3660</v>
      </c>
      <c r="M1626" s="41">
        <v>66</v>
      </c>
      <c r="N1626" s="41" t="s">
        <v>5635</v>
      </c>
      <c r="O1626" s="41" t="s">
        <v>2721</v>
      </c>
      <c r="P1626" s="41" t="s">
        <v>50</v>
      </c>
      <c r="Q1626" s="41" t="s">
        <v>496</v>
      </c>
      <c r="R1626" s="41" t="s">
        <v>62</v>
      </c>
      <c r="S1626" s="41" t="s">
        <v>40</v>
      </c>
      <c r="T1626" s="41" t="s">
        <v>4720</v>
      </c>
      <c r="U1626" s="41" t="s">
        <v>40</v>
      </c>
    </row>
    <row r="1627" spans="1:21">
      <c r="A1627" s="41">
        <v>1194</v>
      </c>
      <c r="B1627" s="41" t="s">
        <v>5636</v>
      </c>
      <c r="D1627" s="41">
        <v>3513</v>
      </c>
      <c r="E1627" s="41" t="s">
        <v>5637</v>
      </c>
      <c r="F1627" s="41" t="s">
        <v>28</v>
      </c>
      <c r="G1627" s="41" t="s">
        <v>43</v>
      </c>
      <c r="I1627" s="41" t="s">
        <v>4334</v>
      </c>
      <c r="J1627" s="41" t="s">
        <v>295</v>
      </c>
      <c r="K1627" s="42"/>
      <c r="L1627" s="41" t="s">
        <v>5638</v>
      </c>
      <c r="M1627" s="41">
        <v>220</v>
      </c>
      <c r="N1627" s="41" t="s">
        <v>962</v>
      </c>
      <c r="O1627" s="41" t="s">
        <v>5639</v>
      </c>
      <c r="P1627" s="41" t="s">
        <v>179</v>
      </c>
      <c r="Q1627" s="41" t="s">
        <v>1116</v>
      </c>
      <c r="R1627" s="41" t="s">
        <v>39</v>
      </c>
      <c r="S1627" s="41" t="s">
        <v>5640</v>
      </c>
      <c r="T1627" s="41" t="s">
        <v>215</v>
      </c>
      <c r="U1627" s="41" t="s">
        <v>40</v>
      </c>
    </row>
    <row r="1628" spans="1:21">
      <c r="A1628" s="41">
        <v>1193</v>
      </c>
      <c r="B1628" s="41" t="s">
        <v>5641</v>
      </c>
      <c r="D1628" s="41">
        <v>3512</v>
      </c>
      <c r="E1628" s="41" t="s">
        <v>5642</v>
      </c>
      <c r="F1628" s="41" t="s">
        <v>53</v>
      </c>
      <c r="G1628" s="41" t="s">
        <v>141</v>
      </c>
      <c r="I1628" s="41" t="s">
        <v>966</v>
      </c>
      <c r="J1628" s="41" t="s">
        <v>295</v>
      </c>
      <c r="K1628" s="42"/>
      <c r="L1628" s="41" t="s">
        <v>5643</v>
      </c>
      <c r="M1628" s="41">
        <v>154</v>
      </c>
      <c r="N1628" s="41" t="s">
        <v>67</v>
      </c>
      <c r="O1628" s="41" t="s">
        <v>77</v>
      </c>
      <c r="P1628" s="41" t="s">
        <v>60</v>
      </c>
      <c r="Q1628" s="41" t="s">
        <v>608</v>
      </c>
      <c r="R1628" s="41" t="s">
        <v>62</v>
      </c>
      <c r="S1628" s="41" t="s">
        <v>5644</v>
      </c>
      <c r="T1628" s="41" t="s">
        <v>3646</v>
      </c>
      <c r="U1628" s="41" t="s">
        <v>1402</v>
      </c>
    </row>
    <row r="1629" spans="1:21">
      <c r="A1629" s="41">
        <v>1192</v>
      </c>
      <c r="B1629" s="41" t="s">
        <v>2236</v>
      </c>
      <c r="D1629" s="41">
        <v>3507</v>
      </c>
      <c r="E1629" s="41" t="s">
        <v>2237</v>
      </c>
      <c r="F1629" s="41" t="s">
        <v>28</v>
      </c>
      <c r="G1629" s="41" t="s">
        <v>64</v>
      </c>
      <c r="I1629" s="41" t="s">
        <v>5645</v>
      </c>
      <c r="J1629" s="41" t="s">
        <v>672</v>
      </c>
      <c r="K1629" s="42"/>
      <c r="L1629" s="41" t="s">
        <v>5646</v>
      </c>
      <c r="M1629" s="41">
        <v>220</v>
      </c>
      <c r="N1629" s="41" t="s">
        <v>59</v>
      </c>
      <c r="O1629" s="41" t="s">
        <v>5647</v>
      </c>
      <c r="P1629" s="41" t="s">
        <v>179</v>
      </c>
      <c r="Q1629" s="41" t="s">
        <v>524</v>
      </c>
      <c r="R1629" s="41" t="s">
        <v>39</v>
      </c>
      <c r="S1629" s="41" t="s">
        <v>5648</v>
      </c>
      <c r="T1629" s="41" t="s">
        <v>5087</v>
      </c>
      <c r="U1629" s="41" t="s">
        <v>125</v>
      </c>
    </row>
    <row r="1630" spans="1:21">
      <c r="A1630" s="41">
        <v>1191</v>
      </c>
      <c r="B1630" s="41" t="s">
        <v>5649</v>
      </c>
      <c r="D1630" s="41">
        <v>3506</v>
      </c>
      <c r="E1630" s="41" t="s">
        <v>2571</v>
      </c>
      <c r="F1630" s="41" t="s">
        <v>53</v>
      </c>
      <c r="G1630" s="41" t="s">
        <v>141</v>
      </c>
      <c r="I1630" s="41" t="s">
        <v>56</v>
      </c>
      <c r="J1630" s="41" t="s">
        <v>295</v>
      </c>
      <c r="K1630" s="42"/>
      <c r="L1630" s="41" t="s">
        <v>5650</v>
      </c>
      <c r="M1630" s="41">
        <v>110</v>
      </c>
      <c r="N1630" s="41" t="s">
        <v>2668</v>
      </c>
      <c r="O1630" s="41" t="s">
        <v>5651</v>
      </c>
      <c r="P1630" s="41" t="s">
        <v>78</v>
      </c>
      <c r="Q1630" s="41" t="s">
        <v>1295</v>
      </c>
      <c r="R1630" s="41" t="s">
        <v>132</v>
      </c>
      <c r="S1630" s="41" t="s">
        <v>5652</v>
      </c>
      <c r="T1630" s="41" t="s">
        <v>1894</v>
      </c>
      <c r="U1630" s="41" t="s">
        <v>40</v>
      </c>
    </row>
    <row r="1631" spans="1:21">
      <c r="A1631" s="41">
        <v>1190</v>
      </c>
      <c r="B1631" s="41" t="s">
        <v>5653</v>
      </c>
      <c r="D1631" s="41">
        <v>3504</v>
      </c>
      <c r="E1631" s="41" t="s">
        <v>5654</v>
      </c>
      <c r="F1631" s="41" t="s">
        <v>28</v>
      </c>
      <c r="G1631" s="41" t="s">
        <v>64</v>
      </c>
      <c r="I1631" s="41" t="s">
        <v>1061</v>
      </c>
      <c r="J1631" s="41" t="s">
        <v>295</v>
      </c>
      <c r="K1631" s="42"/>
      <c r="L1631" s="41" t="s">
        <v>5407</v>
      </c>
      <c r="M1631" s="41">
        <v>154</v>
      </c>
      <c r="N1631" s="41" t="s">
        <v>5655</v>
      </c>
      <c r="O1631" s="41" t="s">
        <v>5656</v>
      </c>
      <c r="P1631" s="41" t="s">
        <v>60</v>
      </c>
      <c r="Q1631" s="41" t="s">
        <v>608</v>
      </c>
      <c r="R1631" s="41" t="s">
        <v>39</v>
      </c>
      <c r="S1631" s="41" t="s">
        <v>40</v>
      </c>
      <c r="T1631" s="41" t="s">
        <v>40</v>
      </c>
      <c r="U1631" s="41" t="s">
        <v>40</v>
      </c>
    </row>
    <row r="1632" spans="1:21">
      <c r="A1632" s="41">
        <v>1189</v>
      </c>
      <c r="B1632" s="41" t="s">
        <v>5657</v>
      </c>
      <c r="D1632" s="41">
        <v>3503</v>
      </c>
      <c r="E1632" s="41" t="s">
        <v>5654</v>
      </c>
      <c r="F1632" s="41" t="s">
        <v>28</v>
      </c>
      <c r="G1632" s="41" t="s">
        <v>64</v>
      </c>
      <c r="I1632" s="41" t="s">
        <v>56</v>
      </c>
      <c r="J1632" s="41" t="s">
        <v>295</v>
      </c>
      <c r="K1632" s="42"/>
      <c r="L1632" s="41" t="s">
        <v>5658</v>
      </c>
      <c r="M1632" s="41">
        <v>154</v>
      </c>
      <c r="N1632" s="41" t="s">
        <v>1988</v>
      </c>
      <c r="O1632" s="41" t="s">
        <v>5659</v>
      </c>
      <c r="P1632" s="41" t="s">
        <v>60</v>
      </c>
      <c r="Q1632" s="41" t="s">
        <v>2759</v>
      </c>
      <c r="R1632" s="41" t="s">
        <v>39</v>
      </c>
      <c r="S1632" s="41" t="s">
        <v>5660</v>
      </c>
      <c r="T1632" s="41" t="s">
        <v>322</v>
      </c>
      <c r="U1632" s="41" t="s">
        <v>40</v>
      </c>
    </row>
    <row r="1633" spans="1:21">
      <c r="A1633" s="41">
        <v>1188</v>
      </c>
      <c r="B1633" s="41" t="s">
        <v>5661</v>
      </c>
      <c r="D1633" s="41">
        <v>3502</v>
      </c>
      <c r="E1633" s="41" t="s">
        <v>5662</v>
      </c>
      <c r="F1633" s="41" t="s">
        <v>53</v>
      </c>
      <c r="G1633" s="41" t="s">
        <v>64</v>
      </c>
      <c r="I1633" s="41" t="s">
        <v>2572</v>
      </c>
      <c r="J1633" s="41" t="s">
        <v>295</v>
      </c>
      <c r="K1633" s="42"/>
      <c r="L1633" s="41" t="s">
        <v>3654</v>
      </c>
      <c r="M1633" s="41">
        <v>110</v>
      </c>
      <c r="N1633" s="41" t="s">
        <v>67</v>
      </c>
      <c r="O1633" s="41" t="s">
        <v>36</v>
      </c>
      <c r="P1633" s="41" t="s">
        <v>78</v>
      </c>
      <c r="Q1633" s="41" t="s">
        <v>3094</v>
      </c>
      <c r="R1633" s="41" t="s">
        <v>132</v>
      </c>
      <c r="S1633" s="41" t="s">
        <v>40</v>
      </c>
      <c r="T1633" s="41" t="s">
        <v>40</v>
      </c>
      <c r="U1633" s="41" t="s">
        <v>40</v>
      </c>
    </row>
    <row r="1634" spans="1:21">
      <c r="A1634" s="41">
        <v>1187</v>
      </c>
      <c r="B1634" s="41" t="s">
        <v>5663</v>
      </c>
      <c r="D1634" s="41">
        <v>3501</v>
      </c>
      <c r="E1634" s="41" t="s">
        <v>1136</v>
      </c>
      <c r="F1634" s="41" t="s">
        <v>53</v>
      </c>
      <c r="G1634" s="41" t="s">
        <v>64</v>
      </c>
      <c r="I1634" s="41" t="s">
        <v>135</v>
      </c>
      <c r="J1634" s="41" t="s">
        <v>295</v>
      </c>
      <c r="K1634" s="42"/>
      <c r="L1634" s="41" t="s">
        <v>5664</v>
      </c>
      <c r="M1634" s="41">
        <v>154</v>
      </c>
      <c r="N1634" s="41" t="s">
        <v>5665</v>
      </c>
      <c r="O1634" s="41" t="s">
        <v>2576</v>
      </c>
      <c r="P1634" s="41" t="s">
        <v>334</v>
      </c>
      <c r="Q1634" s="41" t="s">
        <v>1591</v>
      </c>
      <c r="R1634" s="41" t="s">
        <v>132</v>
      </c>
      <c r="S1634" s="41" t="s">
        <v>40</v>
      </c>
      <c r="T1634" s="41" t="s">
        <v>40</v>
      </c>
      <c r="U1634" s="41" t="s">
        <v>40</v>
      </c>
    </row>
    <row r="1635" spans="1:21">
      <c r="A1635" s="41">
        <v>1186</v>
      </c>
      <c r="B1635" s="41" t="s">
        <v>346</v>
      </c>
      <c r="D1635" s="41">
        <v>3500</v>
      </c>
      <c r="E1635" s="41" t="s">
        <v>27</v>
      </c>
      <c r="F1635" s="41" t="s">
        <v>28</v>
      </c>
      <c r="G1635" s="41" t="s">
        <v>64</v>
      </c>
      <c r="I1635" s="41" t="s">
        <v>56</v>
      </c>
      <c r="J1635" s="41" t="s">
        <v>295</v>
      </c>
      <c r="K1635" s="42"/>
      <c r="L1635" s="41" t="s">
        <v>349</v>
      </c>
      <c r="M1635" s="41">
        <v>154</v>
      </c>
      <c r="N1635" s="41" t="s">
        <v>350</v>
      </c>
      <c r="O1635" s="41" t="s">
        <v>351</v>
      </c>
      <c r="P1635" s="41" t="s">
        <v>60</v>
      </c>
      <c r="Q1635" s="41" t="s">
        <v>352</v>
      </c>
      <c r="R1635" s="41" t="s">
        <v>39</v>
      </c>
      <c r="S1635" s="41" t="s">
        <v>353</v>
      </c>
      <c r="T1635" s="41" t="s">
        <v>322</v>
      </c>
      <c r="U1635" s="41" t="s">
        <v>40</v>
      </c>
    </row>
    <row r="1636" spans="1:21">
      <c r="A1636" s="41">
        <v>1185</v>
      </c>
      <c r="B1636" s="41" t="s">
        <v>5666</v>
      </c>
      <c r="D1636" s="41">
        <v>3499</v>
      </c>
      <c r="E1636" s="41" t="s">
        <v>5393</v>
      </c>
      <c r="F1636" s="41" t="s">
        <v>53</v>
      </c>
      <c r="G1636" s="41" t="s">
        <v>1071</v>
      </c>
      <c r="I1636" s="41" t="s">
        <v>1092</v>
      </c>
      <c r="J1636" s="41" t="s">
        <v>672</v>
      </c>
      <c r="K1636" s="42"/>
      <c r="L1636" s="41" t="s">
        <v>1666</v>
      </c>
      <c r="M1636" s="41">
        <v>12</v>
      </c>
      <c r="N1636" s="41" t="s">
        <v>5667</v>
      </c>
      <c r="O1636" s="41" t="s">
        <v>1830</v>
      </c>
      <c r="P1636" s="41" t="s">
        <v>68</v>
      </c>
      <c r="Q1636" s="41" t="s">
        <v>1668</v>
      </c>
      <c r="R1636" s="41" t="s">
        <v>132</v>
      </c>
      <c r="S1636" s="41" t="s">
        <v>40</v>
      </c>
      <c r="T1636" s="41" t="s">
        <v>40</v>
      </c>
      <c r="U1636" s="41" t="s">
        <v>40</v>
      </c>
    </row>
    <row r="1637" spans="1:21">
      <c r="A1637" s="41">
        <v>1184</v>
      </c>
      <c r="B1637" s="41" t="s">
        <v>354</v>
      </c>
      <c r="D1637" s="41">
        <v>3495</v>
      </c>
      <c r="E1637" s="41" t="s">
        <v>27</v>
      </c>
      <c r="F1637" s="41" t="s">
        <v>28</v>
      </c>
      <c r="G1637" s="41" t="s">
        <v>64</v>
      </c>
      <c r="I1637" s="41" t="s">
        <v>135</v>
      </c>
      <c r="J1637" s="41" t="s">
        <v>295</v>
      </c>
      <c r="K1637" s="42"/>
      <c r="L1637" s="41" t="s">
        <v>356</v>
      </c>
      <c r="M1637" s="41">
        <v>220</v>
      </c>
      <c r="N1637" s="41" t="s">
        <v>357</v>
      </c>
      <c r="O1637" s="41" t="s">
        <v>36</v>
      </c>
      <c r="P1637" s="41" t="s">
        <v>78</v>
      </c>
      <c r="Q1637" s="41" t="s">
        <v>139</v>
      </c>
      <c r="R1637" s="41" t="s">
        <v>39</v>
      </c>
      <c r="S1637" s="41" t="s">
        <v>40</v>
      </c>
      <c r="T1637" s="41" t="s">
        <v>40</v>
      </c>
      <c r="U1637" s="41" t="s">
        <v>40</v>
      </c>
    </row>
    <row r="1638" spans="1:21">
      <c r="A1638" s="41">
        <v>1183</v>
      </c>
      <c r="B1638" s="41" t="s">
        <v>5668</v>
      </c>
      <c r="D1638" s="41">
        <v>3496</v>
      </c>
      <c r="E1638" s="41" t="s">
        <v>1286</v>
      </c>
      <c r="F1638" s="41" t="s">
        <v>53</v>
      </c>
      <c r="G1638" s="41" t="s">
        <v>64</v>
      </c>
      <c r="I1638" s="41" t="s">
        <v>1188</v>
      </c>
      <c r="J1638" s="41" t="s">
        <v>32</v>
      </c>
      <c r="K1638" s="42"/>
      <c r="L1638" s="41" t="s">
        <v>5669</v>
      </c>
      <c r="M1638" s="41">
        <v>220</v>
      </c>
      <c r="N1638" s="41" t="s">
        <v>690</v>
      </c>
      <c r="O1638" s="41" t="s">
        <v>2854</v>
      </c>
      <c r="P1638" s="41" t="s">
        <v>98</v>
      </c>
      <c r="Q1638" s="41" t="s">
        <v>204</v>
      </c>
      <c r="R1638" s="41" t="s">
        <v>62</v>
      </c>
      <c r="S1638" s="41" t="s">
        <v>5670</v>
      </c>
      <c r="T1638" s="41" t="s">
        <v>305</v>
      </c>
      <c r="U1638" s="41" t="s">
        <v>40</v>
      </c>
    </row>
    <row r="1639" spans="1:21">
      <c r="A1639" s="41">
        <v>1182</v>
      </c>
      <c r="B1639" s="41" t="s">
        <v>743</v>
      </c>
      <c r="C1639" s="43">
        <v>1</v>
      </c>
      <c r="D1639" s="41">
        <v>3491</v>
      </c>
      <c r="E1639" s="41" t="s">
        <v>737</v>
      </c>
      <c r="F1639" s="41" t="s">
        <v>53</v>
      </c>
      <c r="G1639" s="41" t="s">
        <v>64</v>
      </c>
      <c r="I1639" s="41" t="s">
        <v>464</v>
      </c>
      <c r="J1639" s="41" t="s">
        <v>672</v>
      </c>
      <c r="K1639" s="42"/>
      <c r="L1639" s="41" t="s">
        <v>746</v>
      </c>
      <c r="M1639" s="41">
        <v>110</v>
      </c>
      <c r="N1639" s="41" t="s">
        <v>67</v>
      </c>
      <c r="O1639" s="41" t="s">
        <v>747</v>
      </c>
      <c r="P1639" s="41" t="s">
        <v>68</v>
      </c>
      <c r="Q1639" s="41" t="s">
        <v>742</v>
      </c>
      <c r="R1639" s="41" t="s">
        <v>132</v>
      </c>
      <c r="S1639" s="41" t="s">
        <v>40</v>
      </c>
      <c r="T1639" s="41" t="s">
        <v>40</v>
      </c>
      <c r="U1639" s="41" t="s">
        <v>40</v>
      </c>
    </row>
    <row r="1640" spans="1:21">
      <c r="A1640" s="41">
        <v>1181</v>
      </c>
      <c r="B1640" s="41" t="s">
        <v>4751</v>
      </c>
      <c r="D1640" s="41">
        <v>3490</v>
      </c>
      <c r="E1640" s="41" t="s">
        <v>4752</v>
      </c>
      <c r="F1640" s="41" t="s">
        <v>53</v>
      </c>
      <c r="G1640" s="41" t="s">
        <v>64</v>
      </c>
      <c r="I1640" s="41" t="s">
        <v>3101</v>
      </c>
      <c r="J1640" s="41" t="s">
        <v>295</v>
      </c>
      <c r="K1640" s="42"/>
      <c r="L1640" s="41" t="s">
        <v>5671</v>
      </c>
      <c r="M1640" s="41">
        <v>110</v>
      </c>
      <c r="N1640" s="41" t="s">
        <v>59</v>
      </c>
      <c r="O1640" s="41" t="s">
        <v>5672</v>
      </c>
      <c r="P1640" s="41" t="s">
        <v>50</v>
      </c>
      <c r="Q1640" s="41" t="s">
        <v>51</v>
      </c>
      <c r="R1640" s="41" t="s">
        <v>132</v>
      </c>
      <c r="S1640" s="41" t="s">
        <v>40</v>
      </c>
      <c r="T1640" s="41" t="s">
        <v>40</v>
      </c>
      <c r="U1640" s="41" t="s">
        <v>40</v>
      </c>
    </row>
    <row r="1641" spans="1:21">
      <c r="A1641" s="41">
        <v>1180</v>
      </c>
      <c r="B1641" s="41" t="s">
        <v>5673</v>
      </c>
      <c r="D1641" s="41">
        <v>3486</v>
      </c>
      <c r="E1641" s="41" t="s">
        <v>5376</v>
      </c>
      <c r="F1641" s="41" t="s">
        <v>53</v>
      </c>
      <c r="G1641" s="41" t="s">
        <v>1071</v>
      </c>
      <c r="I1641" s="41" t="s">
        <v>5674</v>
      </c>
      <c r="J1641" s="41" t="s">
        <v>672</v>
      </c>
      <c r="K1641" s="42"/>
      <c r="L1641" s="41" t="s">
        <v>5675</v>
      </c>
      <c r="M1641" s="41">
        <v>23</v>
      </c>
      <c r="N1641" s="41" t="s">
        <v>1488</v>
      </c>
      <c r="O1641" s="41" t="s">
        <v>565</v>
      </c>
      <c r="P1641" s="41" t="s">
        <v>83</v>
      </c>
      <c r="Q1641" s="41" t="s">
        <v>467</v>
      </c>
      <c r="R1641" s="41" t="s">
        <v>132</v>
      </c>
      <c r="S1641" s="41" t="s">
        <v>40</v>
      </c>
      <c r="T1641" s="41" t="s">
        <v>40</v>
      </c>
      <c r="U1641" s="41" t="s">
        <v>40</v>
      </c>
    </row>
    <row r="1642" spans="1:21">
      <c r="A1642" s="41">
        <v>1179</v>
      </c>
      <c r="B1642" s="41" t="s">
        <v>5676</v>
      </c>
      <c r="D1642" s="41">
        <v>3479</v>
      </c>
      <c r="E1642" s="41" t="s">
        <v>1191</v>
      </c>
      <c r="F1642" s="41" t="s">
        <v>53</v>
      </c>
      <c r="G1642" s="41" t="s">
        <v>64</v>
      </c>
      <c r="I1642" s="41" t="s">
        <v>102</v>
      </c>
      <c r="J1642" s="41" t="s">
        <v>380</v>
      </c>
      <c r="K1642" s="42"/>
      <c r="L1642" s="41" t="s">
        <v>2906</v>
      </c>
      <c r="M1642" s="41">
        <v>220</v>
      </c>
      <c r="N1642" s="41" t="s">
        <v>340</v>
      </c>
      <c r="O1642" s="41" t="s">
        <v>791</v>
      </c>
      <c r="P1642" s="41" t="s">
        <v>83</v>
      </c>
      <c r="Q1642" s="41" t="s">
        <v>2908</v>
      </c>
      <c r="R1642" s="41" t="s">
        <v>62</v>
      </c>
      <c r="S1642" s="41" t="s">
        <v>40</v>
      </c>
      <c r="T1642" s="41" t="s">
        <v>40</v>
      </c>
      <c r="U1642" s="41" t="s">
        <v>40</v>
      </c>
    </row>
    <row r="1643" spans="1:21">
      <c r="A1643" s="41">
        <v>1178</v>
      </c>
      <c r="B1643" s="41" t="s">
        <v>2770</v>
      </c>
      <c r="D1643" s="41">
        <v>3478</v>
      </c>
      <c r="E1643" s="41" t="s">
        <v>2463</v>
      </c>
      <c r="F1643" s="41" t="s">
        <v>53</v>
      </c>
      <c r="G1643" s="41" t="s">
        <v>64</v>
      </c>
      <c r="I1643" s="41" t="s">
        <v>162</v>
      </c>
      <c r="J1643" s="41" t="s">
        <v>295</v>
      </c>
      <c r="K1643" s="42"/>
      <c r="L1643" s="41" t="s">
        <v>2772</v>
      </c>
      <c r="M1643" s="41">
        <v>154</v>
      </c>
      <c r="N1643" s="41" t="s">
        <v>5677</v>
      </c>
      <c r="O1643" s="41" t="s">
        <v>5678</v>
      </c>
      <c r="P1643" s="41" t="s">
        <v>60</v>
      </c>
      <c r="Q1643" s="41" t="s">
        <v>608</v>
      </c>
      <c r="R1643" s="41" t="s">
        <v>62</v>
      </c>
      <c r="S1643" s="41" t="s">
        <v>40</v>
      </c>
      <c r="T1643" s="41" t="s">
        <v>40</v>
      </c>
      <c r="U1643" s="41" t="s">
        <v>40</v>
      </c>
    </row>
    <row r="1644" spans="1:21">
      <c r="A1644" s="41">
        <v>1177</v>
      </c>
      <c r="B1644" s="41" t="s">
        <v>5679</v>
      </c>
      <c r="D1644" s="41">
        <v>3477</v>
      </c>
      <c r="E1644" s="41" t="s">
        <v>1286</v>
      </c>
      <c r="F1644" s="41" t="s">
        <v>28</v>
      </c>
      <c r="G1644" s="41" t="s">
        <v>64</v>
      </c>
      <c r="I1644" s="41" t="s">
        <v>325</v>
      </c>
      <c r="J1644" s="41" t="s">
        <v>32</v>
      </c>
      <c r="K1644" s="42"/>
      <c r="L1644" s="41" t="s">
        <v>5680</v>
      </c>
      <c r="M1644" s="41">
        <v>154</v>
      </c>
      <c r="N1644" s="41" t="s">
        <v>2014</v>
      </c>
      <c r="O1644" s="41" t="s">
        <v>2202</v>
      </c>
      <c r="P1644" s="41" t="s">
        <v>37</v>
      </c>
      <c r="Q1644" s="41" t="s">
        <v>264</v>
      </c>
      <c r="R1644" s="41" t="s">
        <v>39</v>
      </c>
      <c r="S1644" s="41" t="s">
        <v>5681</v>
      </c>
      <c r="T1644" s="41" t="s">
        <v>4640</v>
      </c>
      <c r="U1644" s="41" t="s">
        <v>40</v>
      </c>
    </row>
    <row r="1645" spans="1:21">
      <c r="A1645" s="41">
        <v>1176</v>
      </c>
      <c r="B1645" s="41" t="s">
        <v>5682</v>
      </c>
      <c r="D1645" s="41">
        <v>3476</v>
      </c>
      <c r="E1645" s="41" t="s">
        <v>5683</v>
      </c>
      <c r="F1645" s="41" t="s">
        <v>53</v>
      </c>
      <c r="G1645" s="41" t="s">
        <v>64</v>
      </c>
      <c r="I1645" s="41" t="s">
        <v>3101</v>
      </c>
      <c r="J1645" s="41" t="s">
        <v>295</v>
      </c>
      <c r="K1645" s="42"/>
      <c r="L1645" s="41" t="s">
        <v>5684</v>
      </c>
      <c r="M1645" s="41">
        <v>110</v>
      </c>
      <c r="N1645" s="41" t="s">
        <v>2895</v>
      </c>
      <c r="O1645" s="41" t="s">
        <v>741</v>
      </c>
      <c r="P1645" s="41" t="s">
        <v>50</v>
      </c>
      <c r="Q1645" s="41" t="s">
        <v>51</v>
      </c>
      <c r="R1645" s="41" t="s">
        <v>132</v>
      </c>
      <c r="S1645" s="41" t="s">
        <v>5685</v>
      </c>
      <c r="T1645" s="41" t="s">
        <v>266</v>
      </c>
      <c r="U1645" s="41" t="s">
        <v>40</v>
      </c>
    </row>
    <row r="1646" spans="1:21">
      <c r="A1646" s="41">
        <v>1175</v>
      </c>
      <c r="B1646" s="41" t="s">
        <v>5686</v>
      </c>
      <c r="D1646" s="41">
        <v>3475</v>
      </c>
      <c r="E1646" s="41" t="s">
        <v>5654</v>
      </c>
      <c r="F1646" s="41" t="s">
        <v>53</v>
      </c>
      <c r="G1646" s="41" t="s">
        <v>64</v>
      </c>
      <c r="I1646" s="41" t="s">
        <v>3468</v>
      </c>
      <c r="J1646" s="41" t="s">
        <v>295</v>
      </c>
      <c r="K1646" s="42"/>
      <c r="L1646" s="41" t="s">
        <v>4358</v>
      </c>
      <c r="M1646" s="41">
        <v>66</v>
      </c>
      <c r="N1646" s="41" t="s">
        <v>5687</v>
      </c>
      <c r="O1646" s="41" t="s">
        <v>5688</v>
      </c>
      <c r="P1646" s="41" t="s">
        <v>60</v>
      </c>
      <c r="Q1646" s="41" t="s">
        <v>2759</v>
      </c>
      <c r="R1646" s="41" t="s">
        <v>62</v>
      </c>
      <c r="S1646" s="41" t="s">
        <v>5689</v>
      </c>
      <c r="T1646" s="41" t="s">
        <v>125</v>
      </c>
      <c r="U1646" s="41" t="s">
        <v>40</v>
      </c>
    </row>
    <row r="1647" spans="1:21">
      <c r="A1647" s="41">
        <v>1174</v>
      </c>
      <c r="B1647" s="41" t="s">
        <v>5690</v>
      </c>
      <c r="D1647" s="41">
        <v>3474</v>
      </c>
      <c r="E1647" s="41" t="s">
        <v>5654</v>
      </c>
      <c r="F1647" s="41" t="s">
        <v>53</v>
      </c>
      <c r="G1647" s="41" t="s">
        <v>43</v>
      </c>
      <c r="I1647" s="41" t="s">
        <v>399</v>
      </c>
      <c r="J1647" s="41" t="s">
        <v>295</v>
      </c>
      <c r="K1647" s="42"/>
      <c r="L1647" s="41" t="s">
        <v>5691</v>
      </c>
      <c r="M1647" s="41">
        <v>110</v>
      </c>
      <c r="N1647" s="41" t="s">
        <v>2517</v>
      </c>
      <c r="O1647" s="41" t="s">
        <v>341</v>
      </c>
      <c r="P1647" s="41" t="s">
        <v>179</v>
      </c>
      <c r="Q1647" s="41" t="s">
        <v>284</v>
      </c>
      <c r="R1647" s="41" t="s">
        <v>132</v>
      </c>
      <c r="S1647" s="41" t="s">
        <v>40</v>
      </c>
      <c r="T1647" s="41" t="s">
        <v>40</v>
      </c>
      <c r="U1647" s="41" t="s">
        <v>40</v>
      </c>
    </row>
    <row r="1648" spans="1:21">
      <c r="A1648" s="41">
        <v>1173</v>
      </c>
      <c r="B1648" s="41" t="s">
        <v>5692</v>
      </c>
      <c r="D1648" s="41">
        <v>3473</v>
      </c>
      <c r="E1648" s="41" t="s">
        <v>5693</v>
      </c>
      <c r="F1648" s="41" t="s">
        <v>53</v>
      </c>
      <c r="G1648" s="41" t="s">
        <v>141</v>
      </c>
      <c r="I1648" s="41" t="s">
        <v>5694</v>
      </c>
      <c r="J1648" s="41" t="s">
        <v>295</v>
      </c>
      <c r="K1648" s="42"/>
      <c r="L1648" s="41" t="s">
        <v>3597</v>
      </c>
      <c r="M1648" s="41">
        <v>220</v>
      </c>
      <c r="N1648" s="41" t="s">
        <v>5695</v>
      </c>
      <c r="O1648" s="41" t="s">
        <v>345</v>
      </c>
      <c r="P1648" s="41" t="s">
        <v>98</v>
      </c>
      <c r="Q1648" s="41" t="s">
        <v>116</v>
      </c>
      <c r="R1648" s="41" t="s">
        <v>62</v>
      </c>
      <c r="S1648" s="41" t="s">
        <v>5696</v>
      </c>
      <c r="T1648" s="41" t="s">
        <v>1433</v>
      </c>
      <c r="U1648" s="41" t="s">
        <v>1433</v>
      </c>
    </row>
    <row r="1649" spans="1:21">
      <c r="A1649" s="41">
        <v>1172</v>
      </c>
      <c r="B1649" s="41" t="s">
        <v>5697</v>
      </c>
      <c r="D1649" s="41">
        <v>3472</v>
      </c>
      <c r="E1649" s="41" t="s">
        <v>5393</v>
      </c>
      <c r="F1649" s="41" t="s">
        <v>53</v>
      </c>
      <c r="G1649" s="41" t="s">
        <v>1071</v>
      </c>
      <c r="I1649" s="41" t="s">
        <v>1092</v>
      </c>
      <c r="J1649" s="41" t="s">
        <v>672</v>
      </c>
      <c r="K1649" s="42"/>
      <c r="L1649" s="41" t="s">
        <v>1666</v>
      </c>
      <c r="M1649" s="41">
        <v>12</v>
      </c>
      <c r="N1649" s="41" t="s">
        <v>5698</v>
      </c>
      <c r="O1649" s="41" t="s">
        <v>4302</v>
      </c>
      <c r="P1649" s="41" t="s">
        <v>68</v>
      </c>
      <c r="Q1649" s="41" t="s">
        <v>1668</v>
      </c>
      <c r="R1649" s="41" t="s">
        <v>132</v>
      </c>
      <c r="S1649" s="41" t="s">
        <v>40</v>
      </c>
      <c r="T1649" s="41" t="s">
        <v>40</v>
      </c>
      <c r="U1649" s="41" t="s">
        <v>40</v>
      </c>
    </row>
    <row r="1650" spans="1:21">
      <c r="A1650" s="41">
        <v>1171</v>
      </c>
      <c r="B1650" s="41" t="s">
        <v>5699</v>
      </c>
      <c r="D1650" s="41">
        <v>3467</v>
      </c>
      <c r="E1650" s="41" t="s">
        <v>2971</v>
      </c>
      <c r="F1650" s="41" t="s">
        <v>28</v>
      </c>
      <c r="G1650" s="41" t="s">
        <v>293</v>
      </c>
      <c r="I1650" s="41" t="s">
        <v>977</v>
      </c>
      <c r="J1650" s="41" t="s">
        <v>672</v>
      </c>
      <c r="K1650" s="42"/>
      <c r="L1650" s="41" t="s">
        <v>5263</v>
      </c>
      <c r="M1650" s="41">
        <v>69</v>
      </c>
      <c r="N1650" s="41" t="s">
        <v>5700</v>
      </c>
      <c r="O1650" s="41" t="s">
        <v>77</v>
      </c>
      <c r="P1650" s="41" t="s">
        <v>98</v>
      </c>
      <c r="Q1650" s="41" t="s">
        <v>98</v>
      </c>
      <c r="R1650" s="41" t="s">
        <v>39</v>
      </c>
      <c r="S1650" s="41" t="s">
        <v>40</v>
      </c>
      <c r="T1650" s="41" t="s">
        <v>40</v>
      </c>
      <c r="U1650" s="41" t="s">
        <v>40</v>
      </c>
    </row>
    <row r="1651" spans="1:21">
      <c r="A1651" s="41">
        <v>1170</v>
      </c>
      <c r="B1651" s="41" t="s">
        <v>5701</v>
      </c>
      <c r="D1651" s="41">
        <v>3466</v>
      </c>
      <c r="E1651" s="41" t="s">
        <v>1739</v>
      </c>
      <c r="F1651" s="41" t="s">
        <v>53</v>
      </c>
      <c r="G1651" s="41" t="s">
        <v>307</v>
      </c>
      <c r="I1651" s="41" t="s">
        <v>3083</v>
      </c>
      <c r="J1651" s="41" t="s">
        <v>672</v>
      </c>
      <c r="K1651" s="42"/>
      <c r="L1651" s="41" t="s">
        <v>5702</v>
      </c>
      <c r="M1651" s="41">
        <v>13</v>
      </c>
      <c r="N1651" s="41" t="s">
        <v>1623</v>
      </c>
      <c r="O1651" s="41" t="s">
        <v>2076</v>
      </c>
      <c r="P1651" s="41" t="s">
        <v>98</v>
      </c>
      <c r="Q1651" s="41" t="s">
        <v>98</v>
      </c>
      <c r="R1651" s="41" t="s">
        <v>132</v>
      </c>
      <c r="S1651" s="41" t="s">
        <v>5703</v>
      </c>
      <c r="T1651" s="41" t="s">
        <v>4980</v>
      </c>
      <c r="U1651" s="41" t="s">
        <v>3646</v>
      </c>
    </row>
    <row r="1652" spans="1:21">
      <c r="A1652" s="41">
        <v>1169</v>
      </c>
      <c r="B1652" s="41" t="s">
        <v>5704</v>
      </c>
      <c r="D1652" s="41">
        <v>3465</v>
      </c>
      <c r="E1652" s="41" t="s">
        <v>1739</v>
      </c>
      <c r="F1652" s="41" t="s">
        <v>53</v>
      </c>
      <c r="G1652" s="41" t="s">
        <v>307</v>
      </c>
      <c r="I1652" s="41" t="s">
        <v>5705</v>
      </c>
      <c r="J1652" s="41" t="s">
        <v>672</v>
      </c>
      <c r="K1652" s="42"/>
      <c r="L1652" s="41" t="s">
        <v>5702</v>
      </c>
      <c r="M1652" s="41">
        <v>13</v>
      </c>
      <c r="N1652" s="41" t="s">
        <v>1623</v>
      </c>
      <c r="O1652" s="41" t="s">
        <v>1002</v>
      </c>
      <c r="P1652" s="41" t="s">
        <v>98</v>
      </c>
      <c r="Q1652" s="41" t="s">
        <v>98</v>
      </c>
      <c r="R1652" s="41" t="s">
        <v>132</v>
      </c>
      <c r="S1652" s="41" t="s">
        <v>5706</v>
      </c>
      <c r="T1652" s="41" t="s">
        <v>4980</v>
      </c>
      <c r="U1652" s="41" t="s">
        <v>3646</v>
      </c>
    </row>
    <row r="1653" spans="1:21">
      <c r="A1653" s="41">
        <v>1168</v>
      </c>
      <c r="B1653" s="41" t="s">
        <v>5707</v>
      </c>
      <c r="D1653" s="41">
        <v>3464</v>
      </c>
      <c r="E1653" s="41" t="s">
        <v>1739</v>
      </c>
      <c r="F1653" s="41" t="s">
        <v>53</v>
      </c>
      <c r="G1653" s="41" t="s">
        <v>307</v>
      </c>
      <c r="I1653" s="41" t="s">
        <v>2811</v>
      </c>
      <c r="J1653" s="41" t="s">
        <v>672</v>
      </c>
      <c r="K1653" s="42"/>
      <c r="L1653" s="41" t="s">
        <v>5708</v>
      </c>
      <c r="M1653" s="41">
        <v>23</v>
      </c>
      <c r="N1653" s="41" t="s">
        <v>1623</v>
      </c>
      <c r="O1653" s="41" t="s">
        <v>5709</v>
      </c>
      <c r="P1653" s="41" t="s">
        <v>98</v>
      </c>
      <c r="Q1653" s="41" t="s">
        <v>98</v>
      </c>
      <c r="R1653" s="41" t="s">
        <v>132</v>
      </c>
      <c r="S1653" s="41" t="s">
        <v>5710</v>
      </c>
      <c r="T1653" s="41" t="s">
        <v>4980</v>
      </c>
      <c r="U1653" s="41" t="s">
        <v>3646</v>
      </c>
    </row>
    <row r="1654" spans="1:21">
      <c r="A1654" s="41">
        <v>1167</v>
      </c>
      <c r="B1654" s="41" t="s">
        <v>5711</v>
      </c>
      <c r="D1654" s="41">
        <v>3463</v>
      </c>
      <c r="E1654" s="41" t="s">
        <v>1739</v>
      </c>
      <c r="F1654" s="41" t="s">
        <v>53</v>
      </c>
      <c r="G1654" s="41" t="s">
        <v>307</v>
      </c>
      <c r="I1654" s="41" t="s">
        <v>5674</v>
      </c>
      <c r="J1654" s="41" t="s">
        <v>672</v>
      </c>
      <c r="K1654" s="42"/>
      <c r="L1654" s="41" t="s">
        <v>5708</v>
      </c>
      <c r="M1654" s="41">
        <v>23</v>
      </c>
      <c r="N1654" s="41" t="s">
        <v>1623</v>
      </c>
      <c r="O1654" s="41" t="s">
        <v>5712</v>
      </c>
      <c r="P1654" s="41" t="s">
        <v>98</v>
      </c>
      <c r="Q1654" s="41" t="s">
        <v>98</v>
      </c>
      <c r="R1654" s="41" t="s">
        <v>132</v>
      </c>
      <c r="S1654" s="41" t="s">
        <v>5713</v>
      </c>
      <c r="T1654" s="41" t="s">
        <v>4980</v>
      </c>
      <c r="U1654" s="41" t="s">
        <v>3646</v>
      </c>
    </row>
    <row r="1655" spans="1:21">
      <c r="A1655" s="41">
        <v>1166</v>
      </c>
      <c r="B1655" s="41" t="s">
        <v>5714</v>
      </c>
      <c r="D1655" s="41">
        <v>3462</v>
      </c>
      <c r="E1655" s="41" t="s">
        <v>1739</v>
      </c>
      <c r="F1655" s="41" t="s">
        <v>53</v>
      </c>
      <c r="G1655" s="41" t="s">
        <v>307</v>
      </c>
      <c r="I1655" s="41" t="s">
        <v>3083</v>
      </c>
      <c r="J1655" s="41" t="s">
        <v>672</v>
      </c>
      <c r="K1655" s="42"/>
      <c r="L1655" s="41" t="s">
        <v>5708</v>
      </c>
      <c r="M1655" s="41">
        <v>23</v>
      </c>
      <c r="N1655" s="41" t="s">
        <v>1623</v>
      </c>
      <c r="O1655" s="41" t="s">
        <v>1124</v>
      </c>
      <c r="P1655" s="41" t="s">
        <v>98</v>
      </c>
      <c r="Q1655" s="41" t="s">
        <v>98</v>
      </c>
      <c r="R1655" s="41" t="s">
        <v>132</v>
      </c>
      <c r="S1655" s="41" t="s">
        <v>5715</v>
      </c>
      <c r="T1655" s="41" t="s">
        <v>4980</v>
      </c>
      <c r="U1655" s="41" t="s">
        <v>3646</v>
      </c>
    </row>
    <row r="1656" spans="1:21">
      <c r="A1656" s="41">
        <v>1165</v>
      </c>
      <c r="B1656" s="41" t="s">
        <v>5716</v>
      </c>
      <c r="D1656" s="41">
        <v>3461</v>
      </c>
      <c r="E1656" s="41" t="s">
        <v>3714</v>
      </c>
      <c r="F1656" s="41" t="s">
        <v>28</v>
      </c>
      <c r="G1656" s="41" t="s">
        <v>43</v>
      </c>
      <c r="I1656" s="41" t="s">
        <v>45</v>
      </c>
      <c r="J1656" s="41" t="s">
        <v>380</v>
      </c>
      <c r="K1656" s="42"/>
      <c r="L1656" s="41" t="s">
        <v>5717</v>
      </c>
      <c r="M1656" s="41">
        <v>220</v>
      </c>
      <c r="N1656" s="41" t="s">
        <v>5718</v>
      </c>
      <c r="O1656" s="41" t="s">
        <v>2566</v>
      </c>
      <c r="P1656" s="41" t="s">
        <v>37</v>
      </c>
      <c r="Q1656" s="41" t="s">
        <v>1535</v>
      </c>
      <c r="R1656" s="41" t="s">
        <v>39</v>
      </c>
      <c r="S1656" s="41" t="s">
        <v>5719</v>
      </c>
      <c r="T1656" s="41" t="s">
        <v>198</v>
      </c>
      <c r="U1656" s="41" t="s">
        <v>40</v>
      </c>
    </row>
    <row r="1657" spans="1:21">
      <c r="A1657" s="41">
        <v>1164</v>
      </c>
      <c r="B1657" s="41" t="s">
        <v>5720</v>
      </c>
      <c r="D1657" s="41">
        <v>3456</v>
      </c>
      <c r="E1657" s="41" t="s">
        <v>5721</v>
      </c>
      <c r="F1657" s="41" t="s">
        <v>53</v>
      </c>
      <c r="G1657" s="41" t="s">
        <v>141</v>
      </c>
      <c r="I1657" s="41" t="s">
        <v>338</v>
      </c>
      <c r="J1657" s="41" t="s">
        <v>380</v>
      </c>
      <c r="K1657" s="42"/>
      <c r="L1657" s="41" t="s">
        <v>513</v>
      </c>
      <c r="M1657" s="41">
        <v>220</v>
      </c>
      <c r="N1657" s="41" t="s">
        <v>1629</v>
      </c>
      <c r="O1657" s="41" t="s">
        <v>5722</v>
      </c>
      <c r="P1657" s="41" t="s">
        <v>382</v>
      </c>
      <c r="Q1657" s="41" t="s">
        <v>3148</v>
      </c>
      <c r="R1657" s="41" t="s">
        <v>62</v>
      </c>
      <c r="S1657" s="41" t="s">
        <v>5723</v>
      </c>
      <c r="T1657" s="41" t="s">
        <v>2187</v>
      </c>
      <c r="U1657" s="41" t="s">
        <v>40</v>
      </c>
    </row>
    <row r="1658" spans="1:21">
      <c r="A1658" s="41">
        <v>1163</v>
      </c>
      <c r="B1658" s="41" t="s">
        <v>5724</v>
      </c>
      <c r="D1658" s="41">
        <v>3455</v>
      </c>
      <c r="E1658" s="41" t="s">
        <v>2463</v>
      </c>
      <c r="F1658" s="41" t="s">
        <v>53</v>
      </c>
      <c r="G1658" s="41" t="s">
        <v>307</v>
      </c>
      <c r="I1658" s="41" t="s">
        <v>45</v>
      </c>
      <c r="J1658" s="41" t="s">
        <v>295</v>
      </c>
      <c r="K1658" s="42"/>
      <c r="L1658" s="41" t="s">
        <v>5725</v>
      </c>
      <c r="M1658" s="41">
        <v>154</v>
      </c>
      <c r="N1658" s="41" t="s">
        <v>5726</v>
      </c>
      <c r="O1658" s="41" t="s">
        <v>2202</v>
      </c>
      <c r="P1658" s="41" t="s">
        <v>60</v>
      </c>
      <c r="Q1658" s="41" t="s">
        <v>608</v>
      </c>
      <c r="R1658" s="41" t="s">
        <v>132</v>
      </c>
      <c r="S1658" s="41" t="s">
        <v>5727</v>
      </c>
      <c r="T1658" s="41" t="s">
        <v>3185</v>
      </c>
      <c r="U1658" s="41" t="s">
        <v>40</v>
      </c>
    </row>
    <row r="1659" spans="1:21">
      <c r="A1659" s="41">
        <v>1162</v>
      </c>
      <c r="B1659" s="41" t="s">
        <v>5728</v>
      </c>
      <c r="D1659" s="41">
        <v>3454</v>
      </c>
      <c r="E1659" s="41" t="s">
        <v>5729</v>
      </c>
      <c r="F1659" s="41" t="s">
        <v>42</v>
      </c>
      <c r="G1659" s="41" t="s">
        <v>121</v>
      </c>
      <c r="I1659" s="41" t="s">
        <v>231</v>
      </c>
      <c r="J1659" s="41" t="s">
        <v>672</v>
      </c>
      <c r="K1659" s="42"/>
      <c r="L1659" s="41" t="s">
        <v>5730</v>
      </c>
      <c r="M1659" s="41">
        <v>220</v>
      </c>
      <c r="N1659" s="41" t="s">
        <v>5731</v>
      </c>
      <c r="O1659" s="41" t="s">
        <v>5732</v>
      </c>
      <c r="P1659" s="41" t="s">
        <v>98</v>
      </c>
      <c r="Q1659" s="41" t="s">
        <v>98</v>
      </c>
      <c r="R1659" s="41" t="s">
        <v>39</v>
      </c>
      <c r="S1659" s="41" t="s">
        <v>40</v>
      </c>
      <c r="T1659" s="41" t="s">
        <v>3185</v>
      </c>
      <c r="U1659" s="41" t="s">
        <v>40</v>
      </c>
    </row>
    <row r="1660" spans="1:21">
      <c r="A1660" s="41">
        <v>1161</v>
      </c>
      <c r="B1660" s="41" t="s">
        <v>5733</v>
      </c>
      <c r="D1660" s="41">
        <v>3433</v>
      </c>
      <c r="E1660" s="41" t="s">
        <v>5734</v>
      </c>
      <c r="F1660" s="41" t="s">
        <v>53</v>
      </c>
      <c r="G1660" s="41" t="s">
        <v>64</v>
      </c>
      <c r="I1660" s="41" t="s">
        <v>5735</v>
      </c>
      <c r="J1660" s="41" t="s">
        <v>380</v>
      </c>
      <c r="K1660" s="42"/>
      <c r="L1660" s="41" t="s">
        <v>109</v>
      </c>
      <c r="M1660" s="41">
        <v>220</v>
      </c>
      <c r="N1660" s="41" t="s">
        <v>5736</v>
      </c>
      <c r="O1660" s="41" t="s">
        <v>2605</v>
      </c>
      <c r="P1660" s="41" t="s">
        <v>334</v>
      </c>
      <c r="Q1660" s="41" t="s">
        <v>2962</v>
      </c>
      <c r="R1660" s="41" t="s">
        <v>62</v>
      </c>
      <c r="S1660" s="41" t="s">
        <v>40</v>
      </c>
      <c r="T1660" s="41" t="s">
        <v>40</v>
      </c>
      <c r="U1660" s="41" t="s">
        <v>40</v>
      </c>
    </row>
    <row r="1661" spans="1:21">
      <c r="A1661" s="41">
        <v>1160</v>
      </c>
      <c r="B1661" s="41" t="s">
        <v>5737</v>
      </c>
      <c r="D1661" s="41">
        <v>3432</v>
      </c>
      <c r="E1661" s="41" t="s">
        <v>1222</v>
      </c>
      <c r="F1661" s="41" t="s">
        <v>28</v>
      </c>
      <c r="G1661" s="41" t="s">
        <v>64</v>
      </c>
      <c r="I1661" s="41" t="s">
        <v>1223</v>
      </c>
      <c r="J1661" s="41" t="s">
        <v>672</v>
      </c>
      <c r="K1661" s="42"/>
      <c r="L1661" s="41" t="s">
        <v>5738</v>
      </c>
      <c r="M1661" s="41">
        <v>220</v>
      </c>
      <c r="N1661" s="41" t="s">
        <v>67</v>
      </c>
      <c r="O1661" s="41" t="s">
        <v>5739</v>
      </c>
      <c r="P1661" s="41" t="s">
        <v>68</v>
      </c>
      <c r="Q1661" s="41" t="s">
        <v>699</v>
      </c>
      <c r="R1661" s="41" t="s">
        <v>39</v>
      </c>
      <c r="S1661" s="41" t="s">
        <v>5740</v>
      </c>
      <c r="T1661" s="41" t="s">
        <v>4545</v>
      </c>
      <c r="U1661" s="41" t="s">
        <v>1773</v>
      </c>
    </row>
    <row r="1662" spans="1:21">
      <c r="A1662" s="41">
        <v>1159</v>
      </c>
      <c r="B1662" s="41" t="s">
        <v>5741</v>
      </c>
      <c r="E1662" s="41" t="s">
        <v>3773</v>
      </c>
      <c r="F1662" s="41" t="s">
        <v>28</v>
      </c>
      <c r="G1662" s="41" t="s">
        <v>43</v>
      </c>
      <c r="I1662" s="41" t="s">
        <v>1223</v>
      </c>
      <c r="J1662" s="41" t="s">
        <v>672</v>
      </c>
      <c r="K1662" s="42"/>
      <c r="L1662" s="41" t="s">
        <v>5742</v>
      </c>
      <c r="M1662" s="41">
        <v>220</v>
      </c>
      <c r="N1662" s="41" t="s">
        <v>67</v>
      </c>
      <c r="O1662" s="41" t="s">
        <v>5739</v>
      </c>
      <c r="P1662" s="41" t="s">
        <v>68</v>
      </c>
      <c r="Q1662" s="41" t="s">
        <v>699</v>
      </c>
      <c r="R1662" s="41" t="s">
        <v>39</v>
      </c>
      <c r="S1662" s="41" t="s">
        <v>40</v>
      </c>
      <c r="T1662" s="41" t="s">
        <v>40</v>
      </c>
      <c r="U1662" s="41" t="s">
        <v>40</v>
      </c>
    </row>
    <row r="1663" spans="1:21">
      <c r="A1663" s="41">
        <v>1158</v>
      </c>
      <c r="B1663" s="41" t="s">
        <v>5743</v>
      </c>
      <c r="D1663" s="41">
        <v>3430</v>
      </c>
      <c r="E1663" s="41" t="s">
        <v>3500</v>
      </c>
      <c r="F1663" s="41" t="s">
        <v>53</v>
      </c>
      <c r="G1663" s="41" t="s">
        <v>64</v>
      </c>
      <c r="I1663" s="41" t="s">
        <v>426</v>
      </c>
      <c r="J1663" s="41" t="s">
        <v>672</v>
      </c>
      <c r="K1663" s="42"/>
      <c r="L1663" s="41" t="s">
        <v>3798</v>
      </c>
      <c r="M1663" s="41">
        <v>220</v>
      </c>
      <c r="N1663" s="41" t="s">
        <v>805</v>
      </c>
      <c r="O1663" s="41" t="s">
        <v>77</v>
      </c>
      <c r="P1663" s="41" t="s">
        <v>50</v>
      </c>
      <c r="Q1663" s="41" t="s">
        <v>496</v>
      </c>
      <c r="R1663" s="41" t="s">
        <v>62</v>
      </c>
      <c r="S1663" s="41" t="s">
        <v>5744</v>
      </c>
      <c r="T1663" s="41" t="s">
        <v>3185</v>
      </c>
      <c r="U1663" s="41" t="s">
        <v>40</v>
      </c>
    </row>
    <row r="1664" spans="1:21">
      <c r="A1664" s="41">
        <v>1157</v>
      </c>
      <c r="B1664" s="41" t="s">
        <v>5745</v>
      </c>
      <c r="D1664" s="41">
        <v>3427</v>
      </c>
      <c r="E1664" s="41" t="s">
        <v>5376</v>
      </c>
      <c r="F1664" s="41" t="s">
        <v>53</v>
      </c>
      <c r="G1664" s="41" t="s">
        <v>1071</v>
      </c>
      <c r="I1664" s="41" t="s">
        <v>3938</v>
      </c>
      <c r="J1664" s="41" t="s">
        <v>672</v>
      </c>
      <c r="K1664" s="42"/>
      <c r="L1664" s="41" t="s">
        <v>3750</v>
      </c>
      <c r="M1664" s="41">
        <v>23</v>
      </c>
      <c r="N1664" s="41" t="s">
        <v>59</v>
      </c>
      <c r="O1664" s="41" t="s">
        <v>565</v>
      </c>
      <c r="P1664" s="41" t="s">
        <v>83</v>
      </c>
      <c r="Q1664" s="41" t="s">
        <v>1206</v>
      </c>
      <c r="R1664" s="41" t="s">
        <v>132</v>
      </c>
      <c r="S1664" s="41" t="s">
        <v>40</v>
      </c>
      <c r="T1664" s="41" t="s">
        <v>40</v>
      </c>
      <c r="U1664" s="41" t="s">
        <v>40</v>
      </c>
    </row>
    <row r="1665" spans="1:21">
      <c r="A1665" s="41">
        <v>1156</v>
      </c>
      <c r="B1665" s="41" t="s">
        <v>358</v>
      </c>
      <c r="D1665" s="41">
        <v>3426</v>
      </c>
      <c r="E1665" s="41" t="s">
        <v>27</v>
      </c>
      <c r="F1665" s="41" t="s">
        <v>28</v>
      </c>
      <c r="G1665" s="41" t="s">
        <v>64</v>
      </c>
      <c r="I1665" s="41" t="s">
        <v>45</v>
      </c>
      <c r="J1665" s="41" t="s">
        <v>295</v>
      </c>
      <c r="K1665" s="42"/>
      <c r="L1665" s="41" t="s">
        <v>360</v>
      </c>
      <c r="M1665" s="41">
        <v>220</v>
      </c>
      <c r="N1665" s="41" t="s">
        <v>361</v>
      </c>
      <c r="O1665" s="41" t="s">
        <v>362</v>
      </c>
      <c r="P1665" s="41" t="s">
        <v>37</v>
      </c>
      <c r="Q1665" s="41" t="s">
        <v>363</v>
      </c>
      <c r="R1665" s="41" t="s">
        <v>39</v>
      </c>
      <c r="S1665" s="41" t="s">
        <v>40</v>
      </c>
      <c r="T1665" s="41" t="s">
        <v>40</v>
      </c>
      <c r="U1665" s="41" t="s">
        <v>40</v>
      </c>
    </row>
    <row r="1666" spans="1:21">
      <c r="A1666" s="41">
        <v>1155</v>
      </c>
      <c r="B1666" s="41" t="s">
        <v>5746</v>
      </c>
      <c r="D1666" s="41">
        <v>3493</v>
      </c>
      <c r="E1666" s="41" t="s">
        <v>4575</v>
      </c>
      <c r="F1666" s="41" t="s">
        <v>28</v>
      </c>
      <c r="G1666" s="41" t="s">
        <v>43</v>
      </c>
      <c r="I1666" s="41" t="s">
        <v>2817</v>
      </c>
      <c r="J1666" s="41" t="s">
        <v>295</v>
      </c>
      <c r="K1666" s="42"/>
      <c r="L1666" s="41" t="s">
        <v>5747</v>
      </c>
      <c r="M1666" s="41">
        <v>13</v>
      </c>
      <c r="N1666" s="41" t="s">
        <v>5748</v>
      </c>
      <c r="O1666" s="41" t="s">
        <v>5749</v>
      </c>
      <c r="P1666" s="41" t="s">
        <v>1046</v>
      </c>
      <c r="Q1666" s="41" t="s">
        <v>1110</v>
      </c>
      <c r="R1666" s="41" t="s">
        <v>39</v>
      </c>
      <c r="S1666" s="41" t="s">
        <v>5750</v>
      </c>
      <c r="T1666" s="41" t="s">
        <v>322</v>
      </c>
      <c r="U1666" s="41" t="s">
        <v>40</v>
      </c>
    </row>
    <row r="1667" spans="1:21">
      <c r="A1667" s="41">
        <v>1152</v>
      </c>
      <c r="B1667" s="41" t="s">
        <v>5751</v>
      </c>
      <c r="D1667" s="41">
        <v>3326</v>
      </c>
      <c r="E1667" s="41" t="s">
        <v>5752</v>
      </c>
      <c r="F1667" s="41" t="s">
        <v>53</v>
      </c>
      <c r="G1667" s="41" t="s">
        <v>141</v>
      </c>
      <c r="I1667" s="41" t="s">
        <v>1679</v>
      </c>
      <c r="J1667" s="41" t="s">
        <v>380</v>
      </c>
      <c r="K1667" s="42"/>
      <c r="L1667" s="41" t="s">
        <v>5753</v>
      </c>
      <c r="M1667" s="41">
        <v>66</v>
      </c>
      <c r="N1667" s="41" t="s">
        <v>67</v>
      </c>
      <c r="O1667" s="41" t="s">
        <v>1151</v>
      </c>
      <c r="P1667" s="41" t="s">
        <v>37</v>
      </c>
      <c r="Q1667" s="41" t="s">
        <v>5754</v>
      </c>
      <c r="R1667" s="41" t="s">
        <v>132</v>
      </c>
      <c r="S1667" s="41" t="s">
        <v>5755</v>
      </c>
      <c r="T1667" s="41" t="s">
        <v>210</v>
      </c>
      <c r="U1667" s="41" t="s">
        <v>40</v>
      </c>
    </row>
    <row r="1668" spans="1:21">
      <c r="A1668" s="41">
        <v>1136</v>
      </c>
      <c r="B1668" s="41" t="s">
        <v>5756</v>
      </c>
      <c r="D1668" s="41">
        <v>3407</v>
      </c>
      <c r="E1668" s="41" t="s">
        <v>2405</v>
      </c>
      <c r="F1668" s="41" t="s">
        <v>53</v>
      </c>
      <c r="G1668" s="41" t="s">
        <v>64</v>
      </c>
      <c r="I1668" s="41" t="s">
        <v>411</v>
      </c>
      <c r="J1668" s="41" t="s">
        <v>295</v>
      </c>
      <c r="K1668" s="42"/>
      <c r="L1668" s="41" t="s">
        <v>4527</v>
      </c>
      <c r="M1668" s="41">
        <v>66</v>
      </c>
      <c r="N1668" s="41" t="s">
        <v>67</v>
      </c>
      <c r="O1668" s="41" t="s">
        <v>482</v>
      </c>
      <c r="P1668" s="41" t="s">
        <v>334</v>
      </c>
      <c r="Q1668" s="41" t="s">
        <v>2815</v>
      </c>
      <c r="R1668" s="41" t="s">
        <v>132</v>
      </c>
      <c r="S1668" s="41" t="s">
        <v>40</v>
      </c>
      <c r="T1668" s="41" t="s">
        <v>40</v>
      </c>
      <c r="U1668" s="41" t="s">
        <v>40</v>
      </c>
    </row>
    <row r="1669" spans="1:21">
      <c r="A1669" s="41">
        <v>1135</v>
      </c>
      <c r="B1669" s="41" t="s">
        <v>736</v>
      </c>
      <c r="C1669" s="43">
        <v>1</v>
      </c>
      <c r="D1669" s="41">
        <v>3409</v>
      </c>
      <c r="E1669" s="41" t="s">
        <v>737</v>
      </c>
      <c r="F1669" s="41" t="s">
        <v>53</v>
      </c>
      <c r="G1669" s="41" t="s">
        <v>64</v>
      </c>
      <c r="I1669" s="41" t="s">
        <v>231</v>
      </c>
      <c r="J1669" s="41" t="s">
        <v>672</v>
      </c>
      <c r="K1669" s="42"/>
      <c r="L1669" s="41" t="s">
        <v>740</v>
      </c>
      <c r="M1669" s="41">
        <v>110</v>
      </c>
      <c r="N1669" s="41" t="s">
        <v>67</v>
      </c>
      <c r="O1669" s="41" t="s">
        <v>741</v>
      </c>
      <c r="P1669" s="41" t="s">
        <v>68</v>
      </c>
      <c r="Q1669" s="41" t="s">
        <v>742</v>
      </c>
      <c r="R1669" s="41" t="s">
        <v>132</v>
      </c>
      <c r="S1669" s="41" t="s">
        <v>40</v>
      </c>
      <c r="T1669" s="41" t="s">
        <v>40</v>
      </c>
      <c r="U1669" s="41" t="s">
        <v>40</v>
      </c>
    </row>
    <row r="1670" spans="1:21">
      <c r="A1670" s="41">
        <v>1134</v>
      </c>
      <c r="B1670" s="41" t="s">
        <v>5757</v>
      </c>
      <c r="D1670" s="41">
        <v>3408</v>
      </c>
      <c r="E1670" s="41" t="s">
        <v>1191</v>
      </c>
      <c r="F1670" s="41" t="s">
        <v>53</v>
      </c>
      <c r="G1670" s="41" t="s">
        <v>43</v>
      </c>
      <c r="I1670" s="41" t="s">
        <v>5758</v>
      </c>
      <c r="J1670" s="41" t="s">
        <v>380</v>
      </c>
      <c r="K1670" s="42"/>
      <c r="L1670" s="41" t="s">
        <v>1990</v>
      </c>
      <c r="M1670" s="41">
        <v>220</v>
      </c>
      <c r="N1670" s="41" t="s">
        <v>5759</v>
      </c>
      <c r="O1670" s="41" t="s">
        <v>1772</v>
      </c>
      <c r="P1670" s="41" t="s">
        <v>179</v>
      </c>
      <c r="Q1670" s="41" t="s">
        <v>1116</v>
      </c>
      <c r="R1670" s="41" t="s">
        <v>62</v>
      </c>
      <c r="S1670" s="41" t="s">
        <v>5760</v>
      </c>
      <c r="T1670" s="41" t="s">
        <v>3491</v>
      </c>
      <c r="U1670" s="41" t="s">
        <v>40</v>
      </c>
    </row>
    <row r="1671" spans="1:21">
      <c r="A1671" s="41">
        <v>1133</v>
      </c>
      <c r="B1671" s="41" t="s">
        <v>5761</v>
      </c>
      <c r="D1671" s="41">
        <v>3410</v>
      </c>
      <c r="E1671" s="41" t="s">
        <v>5637</v>
      </c>
      <c r="F1671" s="41" t="s">
        <v>28</v>
      </c>
      <c r="G1671" s="41" t="s">
        <v>64</v>
      </c>
      <c r="I1671" s="41" t="s">
        <v>4524</v>
      </c>
      <c r="J1671" s="41" t="s">
        <v>295</v>
      </c>
      <c r="K1671" s="42"/>
      <c r="L1671" s="41" t="s">
        <v>5762</v>
      </c>
      <c r="M1671" s="41">
        <v>220</v>
      </c>
      <c r="N1671" s="41" t="s">
        <v>3585</v>
      </c>
      <c r="O1671" s="41" t="s">
        <v>5763</v>
      </c>
      <c r="P1671" s="41" t="s">
        <v>179</v>
      </c>
      <c r="Q1671" s="41" t="s">
        <v>1116</v>
      </c>
      <c r="R1671" s="41" t="s">
        <v>39</v>
      </c>
      <c r="S1671" s="41" t="s">
        <v>40</v>
      </c>
      <c r="T1671" s="41" t="s">
        <v>40</v>
      </c>
      <c r="U1671" s="41" t="s">
        <v>40</v>
      </c>
    </row>
    <row r="1672" spans="1:21">
      <c r="A1672" s="41">
        <v>1132</v>
      </c>
      <c r="B1672" s="41" t="s">
        <v>5764</v>
      </c>
      <c r="E1672" s="41" t="s">
        <v>3500</v>
      </c>
      <c r="F1672" s="41" t="s">
        <v>53</v>
      </c>
      <c r="G1672" s="41" t="s">
        <v>43</v>
      </c>
      <c r="I1672" s="41" t="s">
        <v>426</v>
      </c>
      <c r="J1672" s="41" t="s">
        <v>672</v>
      </c>
      <c r="K1672" s="42"/>
      <c r="L1672" s="41" t="s">
        <v>3798</v>
      </c>
      <c r="M1672" s="41">
        <v>220</v>
      </c>
      <c r="N1672" s="41" t="s">
        <v>805</v>
      </c>
      <c r="O1672" s="41" t="s">
        <v>77</v>
      </c>
      <c r="P1672" s="41" t="s">
        <v>50</v>
      </c>
      <c r="Q1672" s="41" t="s">
        <v>496</v>
      </c>
      <c r="R1672" s="41" t="s">
        <v>62</v>
      </c>
      <c r="S1672" s="41" t="s">
        <v>40</v>
      </c>
      <c r="T1672" s="41" t="s">
        <v>40</v>
      </c>
      <c r="U1672" s="41" t="s">
        <v>40</v>
      </c>
    </row>
    <row r="1673" spans="1:21">
      <c r="A1673" s="41">
        <v>1131</v>
      </c>
      <c r="B1673" s="41" t="s">
        <v>5765</v>
      </c>
      <c r="D1673" s="41">
        <v>3392</v>
      </c>
      <c r="E1673" s="41" t="s">
        <v>5393</v>
      </c>
      <c r="F1673" s="41" t="s">
        <v>53</v>
      </c>
      <c r="G1673" s="41" t="s">
        <v>1071</v>
      </c>
      <c r="I1673" s="41" t="s">
        <v>1092</v>
      </c>
      <c r="J1673" s="41" t="s">
        <v>672</v>
      </c>
      <c r="K1673" s="42"/>
      <c r="L1673" s="41" t="s">
        <v>5766</v>
      </c>
      <c r="M1673" s="41">
        <v>12</v>
      </c>
      <c r="N1673" s="41" t="s">
        <v>5767</v>
      </c>
      <c r="O1673" s="41" t="s">
        <v>1925</v>
      </c>
      <c r="P1673" s="41" t="s">
        <v>68</v>
      </c>
      <c r="Q1673" s="41" t="s">
        <v>5768</v>
      </c>
      <c r="R1673" s="41" t="s">
        <v>132</v>
      </c>
      <c r="S1673" s="41" t="s">
        <v>40</v>
      </c>
      <c r="T1673" s="41" t="s">
        <v>40</v>
      </c>
      <c r="U1673" s="41" t="s">
        <v>40</v>
      </c>
    </row>
    <row r="1674" spans="1:21">
      <c r="A1674" s="41">
        <v>1130</v>
      </c>
      <c r="B1674" s="41" t="s">
        <v>729</v>
      </c>
      <c r="C1674" s="43">
        <v>1</v>
      </c>
      <c r="D1674" s="41">
        <v>3391</v>
      </c>
      <c r="E1674" s="41" t="s">
        <v>722</v>
      </c>
      <c r="F1674" s="41" t="s">
        <v>53</v>
      </c>
      <c r="G1674" s="41" t="s">
        <v>64</v>
      </c>
      <c r="I1674" s="41" t="s">
        <v>464</v>
      </c>
      <c r="J1674" s="41" t="s">
        <v>672</v>
      </c>
      <c r="K1674" s="42"/>
      <c r="L1674" s="41" t="s">
        <v>732</v>
      </c>
      <c r="M1674" s="41">
        <v>110</v>
      </c>
      <c r="N1674" s="41" t="s">
        <v>733</v>
      </c>
      <c r="O1674" s="41" t="s">
        <v>734</v>
      </c>
      <c r="P1674" s="41" t="s">
        <v>68</v>
      </c>
      <c r="Q1674" s="41" t="s">
        <v>728</v>
      </c>
      <c r="R1674" s="41" t="s">
        <v>132</v>
      </c>
      <c r="S1674" s="41" t="s">
        <v>735</v>
      </c>
      <c r="T1674" s="41" t="s">
        <v>205</v>
      </c>
      <c r="U1674" s="41" t="s">
        <v>40</v>
      </c>
    </row>
    <row r="1675" spans="1:21">
      <c r="A1675" s="41">
        <v>1129</v>
      </c>
      <c r="B1675" s="41" t="s">
        <v>5661</v>
      </c>
      <c r="D1675" s="41">
        <v>3390</v>
      </c>
      <c r="E1675" s="41" t="s">
        <v>5662</v>
      </c>
      <c r="F1675" s="41" t="s">
        <v>28</v>
      </c>
      <c r="G1675" s="41" t="s">
        <v>64</v>
      </c>
      <c r="I1675" s="41" t="s">
        <v>2572</v>
      </c>
      <c r="J1675" s="41" t="s">
        <v>295</v>
      </c>
      <c r="K1675" s="42"/>
      <c r="L1675" s="41" t="s">
        <v>3654</v>
      </c>
      <c r="M1675" s="41">
        <v>110</v>
      </c>
      <c r="N1675" s="41" t="s">
        <v>59</v>
      </c>
      <c r="O1675" s="41" t="s">
        <v>36</v>
      </c>
      <c r="P1675" s="41" t="s">
        <v>78</v>
      </c>
      <c r="Q1675" s="41" t="s">
        <v>3094</v>
      </c>
      <c r="R1675" s="41" t="s">
        <v>39</v>
      </c>
      <c r="S1675" s="41" t="s">
        <v>40</v>
      </c>
      <c r="T1675" s="41" t="s">
        <v>40</v>
      </c>
      <c r="U1675" s="41" t="s">
        <v>40</v>
      </c>
    </row>
    <row r="1676" spans="1:21">
      <c r="A1676" s="41">
        <v>1128</v>
      </c>
      <c r="B1676" s="41" t="s">
        <v>3503</v>
      </c>
      <c r="D1676" s="41">
        <v>3385</v>
      </c>
      <c r="E1676" s="41" t="s">
        <v>3504</v>
      </c>
      <c r="F1676" s="41" t="s">
        <v>28</v>
      </c>
      <c r="G1676" s="41" t="s">
        <v>307</v>
      </c>
      <c r="I1676" s="41" t="s">
        <v>3505</v>
      </c>
      <c r="J1676" s="41" t="s">
        <v>1906</v>
      </c>
      <c r="K1676" s="42"/>
      <c r="L1676" s="41" t="s">
        <v>5769</v>
      </c>
      <c r="M1676" s="41">
        <v>23</v>
      </c>
      <c r="N1676" s="41" t="s">
        <v>5770</v>
      </c>
      <c r="O1676" s="41" t="s">
        <v>5771</v>
      </c>
      <c r="P1676" s="41" t="s">
        <v>172</v>
      </c>
      <c r="Q1676" s="41" t="s">
        <v>1104</v>
      </c>
      <c r="R1676" s="41" t="s">
        <v>39</v>
      </c>
      <c r="S1676" s="41" t="s">
        <v>5772</v>
      </c>
      <c r="T1676" s="41" t="s">
        <v>693</v>
      </c>
      <c r="U1676" s="41" t="s">
        <v>40</v>
      </c>
    </row>
    <row r="1677" spans="1:21">
      <c r="A1677" s="41">
        <v>1127</v>
      </c>
      <c r="B1677" s="41" t="s">
        <v>721</v>
      </c>
      <c r="C1677" s="43">
        <v>1</v>
      </c>
      <c r="D1677" s="41">
        <v>3384</v>
      </c>
      <c r="E1677" s="41" t="s">
        <v>722</v>
      </c>
      <c r="F1677" s="41" t="s">
        <v>53</v>
      </c>
      <c r="G1677" s="41" t="s">
        <v>64</v>
      </c>
      <c r="I1677" s="41" t="s">
        <v>1068</v>
      </c>
      <c r="J1677" s="41" t="s">
        <v>672</v>
      </c>
      <c r="K1677" s="42"/>
      <c r="L1677" s="41" t="s">
        <v>725</v>
      </c>
      <c r="M1677" s="41">
        <v>12</v>
      </c>
      <c r="N1677" s="41" t="s">
        <v>726</v>
      </c>
      <c r="O1677" s="41" t="s">
        <v>727</v>
      </c>
      <c r="P1677" s="41" t="s">
        <v>68</v>
      </c>
      <c r="Q1677" s="41" t="s">
        <v>728</v>
      </c>
      <c r="R1677" s="41" t="s">
        <v>132</v>
      </c>
      <c r="S1677" s="41" t="s">
        <v>40</v>
      </c>
      <c r="T1677" s="41" t="s">
        <v>40</v>
      </c>
      <c r="U1677" s="41" t="s">
        <v>40</v>
      </c>
    </row>
    <row r="1678" spans="1:21">
      <c r="A1678" s="41">
        <v>1126</v>
      </c>
      <c r="B1678" s="41" t="s">
        <v>5773</v>
      </c>
      <c r="C1678" s="41">
        <v>1</v>
      </c>
      <c r="D1678" s="41">
        <v>3383</v>
      </c>
      <c r="E1678" s="41" t="s">
        <v>737</v>
      </c>
      <c r="F1678" s="41" t="s">
        <v>53</v>
      </c>
      <c r="G1678" s="41" t="s">
        <v>141</v>
      </c>
      <c r="H1678" s="42">
        <v>44652</v>
      </c>
      <c r="I1678" s="41">
        <v>20</v>
      </c>
      <c r="J1678" s="41" t="s">
        <v>672</v>
      </c>
      <c r="K1678" s="42">
        <v>44932</v>
      </c>
      <c r="L1678" s="41" t="s">
        <v>5774</v>
      </c>
      <c r="M1678" s="41">
        <v>23</v>
      </c>
      <c r="N1678" s="41" t="s">
        <v>67</v>
      </c>
      <c r="O1678" s="41" t="s">
        <v>5775</v>
      </c>
      <c r="P1678" s="41" t="s">
        <v>68</v>
      </c>
      <c r="Q1678" s="41" t="s">
        <v>742</v>
      </c>
      <c r="R1678" s="41" t="s">
        <v>132</v>
      </c>
      <c r="S1678" s="41" t="s">
        <v>5776</v>
      </c>
      <c r="T1678" s="41" t="s">
        <v>5264</v>
      </c>
      <c r="U1678" s="41" t="s">
        <v>313</v>
      </c>
    </row>
    <row r="1679" spans="1:21">
      <c r="A1679" s="41">
        <v>1125</v>
      </c>
      <c r="B1679" s="41" t="s">
        <v>5777</v>
      </c>
      <c r="D1679" s="41">
        <v>3382</v>
      </c>
      <c r="E1679" s="41" t="s">
        <v>3714</v>
      </c>
      <c r="F1679" s="41" t="s">
        <v>28</v>
      </c>
      <c r="G1679" s="41" t="s">
        <v>43</v>
      </c>
      <c r="I1679" s="41" t="s">
        <v>162</v>
      </c>
      <c r="J1679" s="41" t="s">
        <v>295</v>
      </c>
      <c r="K1679" s="42"/>
      <c r="L1679" s="41" t="s">
        <v>5778</v>
      </c>
      <c r="M1679" s="41">
        <v>220</v>
      </c>
      <c r="N1679" s="41" t="s">
        <v>1529</v>
      </c>
      <c r="O1679" s="41" t="s">
        <v>5779</v>
      </c>
      <c r="P1679" s="41" t="s">
        <v>98</v>
      </c>
      <c r="Q1679" s="41" t="s">
        <v>569</v>
      </c>
      <c r="R1679" s="41" t="s">
        <v>39</v>
      </c>
      <c r="S1679" s="41" t="s">
        <v>5780</v>
      </c>
      <c r="T1679" s="41" t="s">
        <v>1289</v>
      </c>
      <c r="U1679" s="41" t="s">
        <v>40</v>
      </c>
    </row>
    <row r="1680" spans="1:21">
      <c r="A1680" s="41">
        <v>1124</v>
      </c>
      <c r="B1680" s="41" t="s">
        <v>5781</v>
      </c>
      <c r="D1680" s="41">
        <v>3370</v>
      </c>
      <c r="E1680" s="41" t="s">
        <v>1041</v>
      </c>
      <c r="F1680" s="41" t="s">
        <v>28</v>
      </c>
      <c r="G1680" s="41" t="s">
        <v>301</v>
      </c>
      <c r="I1680" s="41" t="s">
        <v>45</v>
      </c>
      <c r="J1680" s="41" t="s">
        <v>380</v>
      </c>
      <c r="K1680" s="42"/>
      <c r="L1680" s="41" t="s">
        <v>5782</v>
      </c>
      <c r="M1680" s="41">
        <v>220</v>
      </c>
      <c r="N1680" s="41" t="s">
        <v>67</v>
      </c>
      <c r="O1680" s="41" t="s">
        <v>452</v>
      </c>
      <c r="P1680" s="41" t="s">
        <v>37</v>
      </c>
      <c r="Q1680" s="41" t="s">
        <v>5060</v>
      </c>
      <c r="R1680" s="41" t="s">
        <v>39</v>
      </c>
      <c r="S1680" s="41" t="s">
        <v>5783</v>
      </c>
      <c r="T1680" s="41" t="s">
        <v>205</v>
      </c>
      <c r="U1680" s="41" t="s">
        <v>266</v>
      </c>
    </row>
    <row r="1681" spans="1:21">
      <c r="A1681" s="41">
        <v>1123</v>
      </c>
      <c r="B1681" s="41" t="s">
        <v>5784</v>
      </c>
      <c r="D1681" s="41">
        <v>3369</v>
      </c>
      <c r="E1681" s="41" t="s">
        <v>1222</v>
      </c>
      <c r="F1681" s="41" t="s">
        <v>42</v>
      </c>
      <c r="G1681" s="41" t="s">
        <v>121</v>
      </c>
      <c r="I1681" s="41" t="s">
        <v>231</v>
      </c>
      <c r="J1681" s="41" t="s">
        <v>672</v>
      </c>
      <c r="K1681" s="42"/>
      <c r="L1681" s="41" t="s">
        <v>5785</v>
      </c>
      <c r="M1681" s="41">
        <v>66</v>
      </c>
      <c r="N1681" s="41" t="s">
        <v>67</v>
      </c>
      <c r="O1681" s="41" t="s">
        <v>5786</v>
      </c>
      <c r="P1681" s="41" t="s">
        <v>68</v>
      </c>
      <c r="Q1681" s="41" t="s">
        <v>2143</v>
      </c>
      <c r="R1681" s="41" t="s">
        <v>39</v>
      </c>
      <c r="S1681" s="41" t="s">
        <v>40</v>
      </c>
      <c r="T1681" s="41" t="s">
        <v>5787</v>
      </c>
      <c r="U1681" s="41" t="s">
        <v>40</v>
      </c>
    </row>
    <row r="1682" spans="1:21">
      <c r="A1682" s="41">
        <v>1122</v>
      </c>
      <c r="B1682" s="41" t="s">
        <v>5788</v>
      </c>
      <c r="D1682" s="41">
        <v>3366</v>
      </c>
      <c r="E1682" s="41" t="s">
        <v>1196</v>
      </c>
      <c r="F1682" s="41" t="s">
        <v>28</v>
      </c>
      <c r="G1682" s="41" t="s">
        <v>64</v>
      </c>
      <c r="I1682" s="41" t="s">
        <v>426</v>
      </c>
      <c r="J1682" s="41" t="s">
        <v>380</v>
      </c>
      <c r="K1682" s="42"/>
      <c r="L1682" s="41" t="s">
        <v>5789</v>
      </c>
      <c r="M1682" s="41">
        <v>220</v>
      </c>
      <c r="N1682" s="41" t="s">
        <v>3734</v>
      </c>
      <c r="O1682" s="41" t="s">
        <v>3734</v>
      </c>
      <c r="P1682" s="41" t="s">
        <v>83</v>
      </c>
      <c r="Q1682" s="41" t="s">
        <v>461</v>
      </c>
      <c r="R1682" s="41" t="s">
        <v>39</v>
      </c>
      <c r="S1682" s="41" t="s">
        <v>40</v>
      </c>
      <c r="T1682" s="41" t="s">
        <v>40</v>
      </c>
      <c r="U1682" s="41" t="s">
        <v>40</v>
      </c>
    </row>
    <row r="1683" spans="1:21">
      <c r="A1683" s="41">
        <v>1121</v>
      </c>
      <c r="B1683" s="41" t="s">
        <v>5790</v>
      </c>
      <c r="D1683" s="41">
        <v>3363</v>
      </c>
      <c r="E1683" s="41" t="s">
        <v>1286</v>
      </c>
      <c r="F1683" s="41" t="s">
        <v>28</v>
      </c>
      <c r="G1683" s="41" t="s">
        <v>64</v>
      </c>
      <c r="I1683" s="41" t="s">
        <v>135</v>
      </c>
      <c r="J1683" s="41" t="s">
        <v>32</v>
      </c>
      <c r="K1683" s="42"/>
      <c r="L1683" s="41" t="s">
        <v>5791</v>
      </c>
      <c r="M1683" s="41">
        <v>220</v>
      </c>
      <c r="N1683" s="41" t="s">
        <v>5792</v>
      </c>
      <c r="O1683" s="41" t="s">
        <v>1225</v>
      </c>
      <c r="P1683" s="41" t="s">
        <v>98</v>
      </c>
      <c r="Q1683" s="41" t="s">
        <v>99</v>
      </c>
      <c r="R1683" s="41" t="s">
        <v>39</v>
      </c>
      <c r="S1683" s="41" t="s">
        <v>40</v>
      </c>
      <c r="T1683" s="41" t="s">
        <v>40</v>
      </c>
      <c r="U1683" s="41" t="s">
        <v>40</v>
      </c>
    </row>
    <row r="1684" spans="1:21">
      <c r="A1684" s="41">
        <v>1120</v>
      </c>
      <c r="B1684" s="41" t="s">
        <v>5793</v>
      </c>
      <c r="D1684" s="41">
        <v>3442</v>
      </c>
      <c r="E1684" s="41" t="s">
        <v>5314</v>
      </c>
      <c r="F1684" s="41" t="s">
        <v>28</v>
      </c>
      <c r="G1684" s="41" t="s">
        <v>64</v>
      </c>
      <c r="I1684" s="41" t="s">
        <v>406</v>
      </c>
      <c r="J1684" s="41" t="s">
        <v>295</v>
      </c>
      <c r="K1684" s="42"/>
      <c r="L1684" s="41" t="s">
        <v>5794</v>
      </c>
      <c r="M1684" s="41">
        <v>220</v>
      </c>
      <c r="N1684" s="41" t="s">
        <v>5795</v>
      </c>
      <c r="O1684" s="41" t="s">
        <v>5796</v>
      </c>
      <c r="P1684" s="41" t="s">
        <v>68</v>
      </c>
      <c r="Q1684" s="41" t="s">
        <v>699</v>
      </c>
      <c r="R1684" s="41" t="s">
        <v>39</v>
      </c>
      <c r="S1684" s="41" t="s">
        <v>40</v>
      </c>
      <c r="T1684" s="41" t="s">
        <v>40</v>
      </c>
      <c r="U1684" s="41" t="s">
        <v>40</v>
      </c>
    </row>
    <row r="1685" spans="1:21">
      <c r="A1685" s="41">
        <v>1119</v>
      </c>
      <c r="B1685" s="41" t="s">
        <v>354</v>
      </c>
      <c r="D1685" s="41">
        <v>3350</v>
      </c>
      <c r="E1685" s="41" t="s">
        <v>5340</v>
      </c>
      <c r="F1685" s="41" t="s">
        <v>28</v>
      </c>
      <c r="G1685" s="41" t="s">
        <v>64</v>
      </c>
      <c r="I1685" s="41" t="s">
        <v>135</v>
      </c>
      <c r="J1685" s="41" t="s">
        <v>295</v>
      </c>
      <c r="K1685" s="42"/>
      <c r="L1685" s="41" t="s">
        <v>5797</v>
      </c>
      <c r="M1685" s="41">
        <v>220</v>
      </c>
      <c r="N1685" s="41" t="s">
        <v>77</v>
      </c>
      <c r="O1685" s="41" t="s">
        <v>77</v>
      </c>
      <c r="P1685" s="41" t="s">
        <v>78</v>
      </c>
      <c r="Q1685" s="41" t="s">
        <v>139</v>
      </c>
      <c r="R1685" s="41" t="s">
        <v>39</v>
      </c>
      <c r="S1685" s="41" t="s">
        <v>40</v>
      </c>
      <c r="T1685" s="41" t="s">
        <v>40</v>
      </c>
      <c r="U1685" s="41" t="s">
        <v>40</v>
      </c>
    </row>
    <row r="1686" spans="1:21">
      <c r="A1686" s="41">
        <v>1118</v>
      </c>
      <c r="B1686" s="41" t="s">
        <v>5798</v>
      </c>
      <c r="C1686" s="41">
        <v>1</v>
      </c>
      <c r="D1686" s="41">
        <v>3349</v>
      </c>
      <c r="E1686" s="41" t="s">
        <v>708</v>
      </c>
      <c r="F1686" s="41" t="s">
        <v>53</v>
      </c>
      <c r="G1686" s="41" t="s">
        <v>307</v>
      </c>
      <c r="H1686" s="42">
        <v>44629</v>
      </c>
      <c r="I1686" s="41">
        <v>40</v>
      </c>
      <c r="J1686" s="41" t="s">
        <v>672</v>
      </c>
      <c r="K1686" s="42">
        <v>45504</v>
      </c>
      <c r="L1686" s="41" t="s">
        <v>5799</v>
      </c>
      <c r="M1686" s="41">
        <v>110</v>
      </c>
      <c r="N1686" s="41" t="s">
        <v>690</v>
      </c>
      <c r="O1686" s="41" t="s">
        <v>5800</v>
      </c>
      <c r="P1686" s="41" t="s">
        <v>68</v>
      </c>
      <c r="Q1686" s="41" t="s">
        <v>699</v>
      </c>
      <c r="R1686" s="41" t="s">
        <v>132</v>
      </c>
      <c r="S1686" s="41" t="s">
        <v>5801</v>
      </c>
      <c r="T1686" s="41" t="s">
        <v>3185</v>
      </c>
      <c r="U1686" s="41" t="s">
        <v>5519</v>
      </c>
    </row>
    <row r="1687" spans="1:21">
      <c r="A1687" s="41">
        <v>1117</v>
      </c>
      <c r="B1687" s="41" t="s">
        <v>5802</v>
      </c>
      <c r="D1687" s="41">
        <v>3337</v>
      </c>
      <c r="E1687" s="41" t="s">
        <v>1286</v>
      </c>
      <c r="F1687" s="41" t="s">
        <v>42</v>
      </c>
      <c r="G1687" s="41" t="s">
        <v>43</v>
      </c>
      <c r="I1687" s="41" t="s">
        <v>231</v>
      </c>
      <c r="J1687" s="41" t="s">
        <v>32</v>
      </c>
      <c r="K1687" s="42"/>
      <c r="L1687" s="41" t="s">
        <v>4167</v>
      </c>
      <c r="M1687" s="41">
        <v>33</v>
      </c>
      <c r="N1687" s="41" t="s">
        <v>4168</v>
      </c>
      <c r="O1687" s="41" t="s">
        <v>2299</v>
      </c>
      <c r="P1687" s="41" t="s">
        <v>98</v>
      </c>
      <c r="Q1687" s="41" t="s">
        <v>204</v>
      </c>
      <c r="R1687" s="41" t="s">
        <v>39</v>
      </c>
      <c r="S1687" s="41" t="s">
        <v>40</v>
      </c>
      <c r="T1687" s="41" t="s">
        <v>40</v>
      </c>
      <c r="U1687" s="41" t="s">
        <v>40</v>
      </c>
    </row>
    <row r="1688" spans="1:21">
      <c r="A1688" s="41">
        <v>1116</v>
      </c>
      <c r="B1688" s="41" t="s">
        <v>5803</v>
      </c>
      <c r="D1688" s="41">
        <v>3339</v>
      </c>
      <c r="E1688" s="41" t="s">
        <v>5393</v>
      </c>
      <c r="F1688" s="41" t="s">
        <v>42</v>
      </c>
      <c r="G1688" s="41" t="s">
        <v>121</v>
      </c>
      <c r="I1688" s="41" t="s">
        <v>1966</v>
      </c>
      <c r="J1688" s="41" t="s">
        <v>672</v>
      </c>
      <c r="K1688" s="42"/>
      <c r="L1688" s="41" t="s">
        <v>3701</v>
      </c>
      <c r="M1688" s="41">
        <v>23</v>
      </c>
      <c r="N1688" s="41" t="s">
        <v>5804</v>
      </c>
      <c r="O1688" s="41" t="s">
        <v>1940</v>
      </c>
      <c r="P1688" s="41" t="s">
        <v>68</v>
      </c>
      <c r="Q1688" s="41" t="s">
        <v>69</v>
      </c>
      <c r="R1688" s="41" t="s">
        <v>39</v>
      </c>
      <c r="S1688" s="41" t="s">
        <v>40</v>
      </c>
      <c r="T1688" s="41" t="s">
        <v>5805</v>
      </c>
      <c r="U1688" s="41" t="s">
        <v>40</v>
      </c>
    </row>
    <row r="1689" spans="1:21">
      <c r="A1689" s="41">
        <v>1115</v>
      </c>
      <c r="B1689" s="41" t="s">
        <v>5806</v>
      </c>
      <c r="D1689" s="41">
        <v>3338</v>
      </c>
      <c r="E1689" s="41" t="s">
        <v>1435</v>
      </c>
      <c r="F1689" s="41" t="s">
        <v>28</v>
      </c>
      <c r="G1689" s="41" t="s">
        <v>64</v>
      </c>
      <c r="I1689" s="41" t="s">
        <v>194</v>
      </c>
      <c r="J1689" s="41" t="s">
        <v>295</v>
      </c>
      <c r="K1689" s="42"/>
      <c r="L1689" s="41" t="s">
        <v>5807</v>
      </c>
      <c r="M1689" s="41">
        <v>23</v>
      </c>
      <c r="N1689" s="41" t="s">
        <v>2742</v>
      </c>
      <c r="O1689" s="41" t="s">
        <v>5808</v>
      </c>
      <c r="P1689" s="41" t="s">
        <v>98</v>
      </c>
      <c r="Q1689" s="41" t="s">
        <v>98</v>
      </c>
      <c r="R1689" s="41" t="s">
        <v>39</v>
      </c>
      <c r="S1689" s="41" t="s">
        <v>40</v>
      </c>
      <c r="T1689" s="41" t="s">
        <v>40</v>
      </c>
      <c r="U1689" s="41" t="s">
        <v>40</v>
      </c>
    </row>
    <row r="1690" spans="1:21">
      <c r="A1690" s="41">
        <v>1114</v>
      </c>
      <c r="B1690" s="41" t="s">
        <v>5809</v>
      </c>
      <c r="D1690" s="41">
        <v>3332</v>
      </c>
      <c r="E1690" s="41" t="s">
        <v>5393</v>
      </c>
      <c r="F1690" s="41" t="s">
        <v>53</v>
      </c>
      <c r="G1690" s="41" t="s">
        <v>1071</v>
      </c>
      <c r="I1690" s="41" t="s">
        <v>1092</v>
      </c>
      <c r="J1690" s="41" t="s">
        <v>672</v>
      </c>
      <c r="K1690" s="42"/>
      <c r="L1690" s="41" t="s">
        <v>5810</v>
      </c>
      <c r="M1690" s="41">
        <v>12</v>
      </c>
      <c r="N1690" s="41" t="s">
        <v>5811</v>
      </c>
      <c r="O1690" s="41" t="s">
        <v>4302</v>
      </c>
      <c r="P1690" s="41" t="s">
        <v>68</v>
      </c>
      <c r="Q1690" s="41" t="s">
        <v>5812</v>
      </c>
      <c r="R1690" s="41" t="s">
        <v>132</v>
      </c>
      <c r="S1690" s="41" t="s">
        <v>40</v>
      </c>
      <c r="T1690" s="41" t="s">
        <v>40</v>
      </c>
      <c r="U1690" s="41" t="s">
        <v>40</v>
      </c>
    </row>
    <row r="1691" spans="1:21">
      <c r="A1691" s="41">
        <v>1113</v>
      </c>
      <c r="B1691" s="41" t="s">
        <v>5813</v>
      </c>
      <c r="D1691" s="41">
        <v>3331</v>
      </c>
      <c r="E1691" s="41" t="s">
        <v>5393</v>
      </c>
      <c r="F1691" s="41" t="s">
        <v>53</v>
      </c>
      <c r="G1691" s="41" t="s">
        <v>1071</v>
      </c>
      <c r="I1691" s="41" t="s">
        <v>5814</v>
      </c>
      <c r="J1691" s="41" t="s">
        <v>672</v>
      </c>
      <c r="K1691" s="42"/>
      <c r="L1691" s="41" t="s">
        <v>1265</v>
      </c>
      <c r="M1691" s="41">
        <v>23</v>
      </c>
      <c r="N1691" s="41" t="s">
        <v>5815</v>
      </c>
      <c r="O1691" s="41" t="s">
        <v>5816</v>
      </c>
      <c r="P1691" s="41" t="s">
        <v>68</v>
      </c>
      <c r="Q1691" s="41" t="s">
        <v>1268</v>
      </c>
      <c r="R1691" s="41" t="s">
        <v>132</v>
      </c>
      <c r="S1691" s="41" t="s">
        <v>40</v>
      </c>
      <c r="T1691" s="41" t="s">
        <v>40</v>
      </c>
      <c r="U1691" s="41" t="s">
        <v>40</v>
      </c>
    </row>
    <row r="1692" spans="1:21">
      <c r="A1692" s="41">
        <v>1112</v>
      </c>
      <c r="B1692" s="41" t="s">
        <v>5817</v>
      </c>
      <c r="D1692" s="41">
        <v>3330</v>
      </c>
      <c r="E1692" s="41" t="s">
        <v>1286</v>
      </c>
      <c r="F1692" s="41" t="s">
        <v>42</v>
      </c>
      <c r="G1692" s="41" t="s">
        <v>141</v>
      </c>
      <c r="I1692" s="41" t="s">
        <v>1679</v>
      </c>
      <c r="J1692" s="41" t="s">
        <v>32</v>
      </c>
      <c r="K1692" s="42"/>
      <c r="L1692" s="41" t="s">
        <v>5818</v>
      </c>
      <c r="M1692" s="41">
        <v>33</v>
      </c>
      <c r="N1692" s="41" t="s">
        <v>5819</v>
      </c>
      <c r="O1692" s="41" t="s">
        <v>5820</v>
      </c>
      <c r="P1692" s="41" t="s">
        <v>179</v>
      </c>
      <c r="Q1692" s="41" t="s">
        <v>592</v>
      </c>
      <c r="R1692" s="41" t="s">
        <v>39</v>
      </c>
      <c r="S1692" s="41" t="s">
        <v>40</v>
      </c>
      <c r="T1692" s="41" t="s">
        <v>5821</v>
      </c>
      <c r="U1692" s="41" t="s">
        <v>40</v>
      </c>
    </row>
    <row r="1693" spans="1:21">
      <c r="A1693" s="41">
        <v>1111</v>
      </c>
      <c r="B1693" s="41" t="s">
        <v>2326</v>
      </c>
      <c r="D1693" s="41">
        <v>3324</v>
      </c>
      <c r="E1693" s="41" t="s">
        <v>2327</v>
      </c>
      <c r="F1693" s="41" t="s">
        <v>28</v>
      </c>
      <c r="G1693" s="41" t="s">
        <v>64</v>
      </c>
      <c r="I1693" s="41" t="s">
        <v>5822</v>
      </c>
      <c r="J1693" s="41" t="s">
        <v>380</v>
      </c>
      <c r="K1693" s="42"/>
      <c r="L1693" s="41" t="s">
        <v>5823</v>
      </c>
      <c r="M1693" s="41">
        <v>23</v>
      </c>
      <c r="N1693" s="41" t="s">
        <v>290</v>
      </c>
      <c r="O1693" s="41" t="s">
        <v>2329</v>
      </c>
      <c r="P1693" s="41" t="s">
        <v>1046</v>
      </c>
      <c r="Q1693" s="41" t="s">
        <v>1047</v>
      </c>
      <c r="R1693" s="41" t="s">
        <v>39</v>
      </c>
      <c r="S1693" s="41" t="s">
        <v>5824</v>
      </c>
      <c r="T1693" s="41" t="s">
        <v>455</v>
      </c>
      <c r="U1693" s="41" t="s">
        <v>40</v>
      </c>
    </row>
    <row r="1694" spans="1:21">
      <c r="A1694" s="41">
        <v>1110</v>
      </c>
      <c r="B1694" s="41" t="s">
        <v>5825</v>
      </c>
      <c r="D1694" s="41">
        <v>3323</v>
      </c>
      <c r="E1694" s="41" t="s">
        <v>5340</v>
      </c>
      <c r="F1694" s="41" t="s">
        <v>28</v>
      </c>
      <c r="G1694" s="41" t="s">
        <v>64</v>
      </c>
      <c r="I1694" s="41" t="s">
        <v>45</v>
      </c>
      <c r="J1694" s="41" t="s">
        <v>295</v>
      </c>
      <c r="K1694" s="42"/>
      <c r="L1694" s="41" t="s">
        <v>5826</v>
      </c>
      <c r="M1694" s="41">
        <v>220</v>
      </c>
      <c r="N1694" s="41" t="s">
        <v>77</v>
      </c>
      <c r="O1694" s="41" t="s">
        <v>77</v>
      </c>
      <c r="P1694" s="41" t="s">
        <v>37</v>
      </c>
      <c r="Q1694" s="41" t="s">
        <v>363</v>
      </c>
      <c r="R1694" s="41" t="s">
        <v>39</v>
      </c>
      <c r="S1694" s="41" t="s">
        <v>40</v>
      </c>
      <c r="T1694" s="41" t="s">
        <v>40</v>
      </c>
      <c r="U1694" s="41" t="s">
        <v>40</v>
      </c>
    </row>
    <row r="1695" spans="1:21">
      <c r="A1695" s="41">
        <v>1109</v>
      </c>
      <c r="B1695" s="41" t="s">
        <v>5827</v>
      </c>
      <c r="D1695" s="41">
        <v>3322</v>
      </c>
      <c r="E1695" s="41" t="s">
        <v>2253</v>
      </c>
      <c r="F1695" s="41" t="s">
        <v>53</v>
      </c>
      <c r="G1695" s="41" t="s">
        <v>141</v>
      </c>
      <c r="I1695" s="41" t="s">
        <v>5113</v>
      </c>
      <c r="J1695" s="41" t="s">
        <v>295</v>
      </c>
      <c r="K1695" s="42"/>
      <c r="L1695" s="41" t="s">
        <v>5828</v>
      </c>
      <c r="M1695" s="41">
        <v>110</v>
      </c>
      <c r="N1695" s="41" t="s">
        <v>5829</v>
      </c>
      <c r="O1695" s="41" t="s">
        <v>1473</v>
      </c>
      <c r="P1695" s="41" t="s">
        <v>78</v>
      </c>
      <c r="Q1695" s="41" t="s">
        <v>1139</v>
      </c>
      <c r="R1695" s="41" t="s">
        <v>132</v>
      </c>
      <c r="S1695" s="41" t="s">
        <v>5830</v>
      </c>
      <c r="T1695" s="41" t="s">
        <v>604</v>
      </c>
      <c r="U1695" s="41" t="s">
        <v>2169</v>
      </c>
    </row>
    <row r="1696" spans="1:21">
      <c r="A1696" s="41">
        <v>1108</v>
      </c>
      <c r="B1696" s="41" t="s">
        <v>5831</v>
      </c>
      <c r="D1696" s="41">
        <v>3321</v>
      </c>
      <c r="E1696" s="41" t="s">
        <v>1435</v>
      </c>
      <c r="F1696" s="41" t="s">
        <v>28</v>
      </c>
      <c r="G1696" s="41" t="s">
        <v>64</v>
      </c>
      <c r="I1696" s="41" t="s">
        <v>194</v>
      </c>
      <c r="J1696" s="41" t="s">
        <v>295</v>
      </c>
      <c r="K1696" s="42"/>
      <c r="L1696" s="41" t="s">
        <v>5040</v>
      </c>
      <c r="M1696" s="41">
        <v>23</v>
      </c>
      <c r="N1696" s="41" t="s">
        <v>2742</v>
      </c>
      <c r="O1696" s="41" t="s">
        <v>2742</v>
      </c>
      <c r="P1696" s="41" t="s">
        <v>98</v>
      </c>
      <c r="Q1696" s="41" t="s">
        <v>491</v>
      </c>
      <c r="R1696" s="41" t="s">
        <v>39</v>
      </c>
      <c r="S1696" s="41" t="s">
        <v>5832</v>
      </c>
      <c r="T1696" s="41" t="s">
        <v>693</v>
      </c>
      <c r="U1696" s="41" t="s">
        <v>40</v>
      </c>
    </row>
    <row r="1697" spans="1:21">
      <c r="A1697" s="41">
        <v>1107</v>
      </c>
      <c r="B1697" s="41" t="s">
        <v>5833</v>
      </c>
      <c r="D1697" s="41">
        <v>3308</v>
      </c>
      <c r="E1697" s="41" t="s">
        <v>5629</v>
      </c>
      <c r="F1697" s="41" t="s">
        <v>53</v>
      </c>
      <c r="G1697" s="41" t="s">
        <v>141</v>
      </c>
      <c r="I1697" s="41" t="s">
        <v>338</v>
      </c>
      <c r="J1697" s="41" t="s">
        <v>295</v>
      </c>
      <c r="K1697" s="42"/>
      <c r="L1697" s="41" t="s">
        <v>5834</v>
      </c>
      <c r="M1697" s="41">
        <v>110</v>
      </c>
      <c r="N1697" s="41" t="s">
        <v>790</v>
      </c>
      <c r="O1697" s="41" t="s">
        <v>1473</v>
      </c>
      <c r="P1697" s="41" t="s">
        <v>68</v>
      </c>
      <c r="Q1697" s="41" t="s">
        <v>244</v>
      </c>
      <c r="R1697" s="41" t="s">
        <v>132</v>
      </c>
      <c r="S1697" s="41" t="s">
        <v>5835</v>
      </c>
      <c r="T1697" s="41" t="s">
        <v>1402</v>
      </c>
      <c r="U1697" s="41" t="s">
        <v>40</v>
      </c>
    </row>
    <row r="1698" spans="1:21">
      <c r="A1698" s="41">
        <v>1106</v>
      </c>
      <c r="B1698" s="41" t="s">
        <v>5836</v>
      </c>
      <c r="D1698" s="41">
        <v>3325</v>
      </c>
      <c r="E1698" s="41" t="s">
        <v>1286</v>
      </c>
      <c r="F1698" s="41" t="s">
        <v>42</v>
      </c>
      <c r="G1698" s="41" t="s">
        <v>121</v>
      </c>
      <c r="I1698" s="41" t="s">
        <v>464</v>
      </c>
      <c r="J1698" s="41" t="s">
        <v>32</v>
      </c>
      <c r="K1698" s="42"/>
      <c r="L1698" s="41" t="s">
        <v>3187</v>
      </c>
      <c r="M1698" s="41">
        <v>33</v>
      </c>
      <c r="N1698" s="41" t="s">
        <v>395</v>
      </c>
      <c r="O1698" s="41" t="s">
        <v>5837</v>
      </c>
      <c r="P1698" s="41" t="s">
        <v>68</v>
      </c>
      <c r="Q1698" s="41" t="s">
        <v>69</v>
      </c>
      <c r="R1698" s="41" t="s">
        <v>39</v>
      </c>
      <c r="S1698" s="41" t="s">
        <v>40</v>
      </c>
      <c r="T1698" s="41" t="s">
        <v>3185</v>
      </c>
      <c r="U1698" s="41" t="s">
        <v>40</v>
      </c>
    </row>
    <row r="1699" spans="1:21">
      <c r="A1699" s="41">
        <v>1105</v>
      </c>
      <c r="B1699" s="41" t="s">
        <v>5838</v>
      </c>
      <c r="D1699" s="41">
        <v>3307</v>
      </c>
      <c r="E1699" s="41" t="s">
        <v>1196</v>
      </c>
      <c r="F1699" s="41" t="s">
        <v>28</v>
      </c>
      <c r="G1699" s="41" t="s">
        <v>64</v>
      </c>
      <c r="I1699" s="41" t="s">
        <v>231</v>
      </c>
      <c r="J1699" s="41" t="s">
        <v>295</v>
      </c>
      <c r="K1699" s="42"/>
      <c r="L1699" s="41" t="s">
        <v>5839</v>
      </c>
      <c r="M1699" s="41">
        <v>220</v>
      </c>
      <c r="N1699" s="41" t="s">
        <v>1366</v>
      </c>
      <c r="O1699" s="41" t="s">
        <v>311</v>
      </c>
      <c r="P1699" s="41" t="s">
        <v>60</v>
      </c>
      <c r="Q1699" s="41" t="s">
        <v>1348</v>
      </c>
      <c r="R1699" s="41" t="s">
        <v>39</v>
      </c>
      <c r="S1699" s="41" t="s">
        <v>40</v>
      </c>
      <c r="T1699" s="41" t="s">
        <v>40</v>
      </c>
      <c r="U1699" s="41" t="s">
        <v>40</v>
      </c>
    </row>
    <row r="1700" spans="1:21">
      <c r="A1700" s="41">
        <v>1104</v>
      </c>
      <c r="B1700" s="41" t="s">
        <v>5840</v>
      </c>
      <c r="D1700" s="41">
        <v>3306</v>
      </c>
      <c r="E1700" s="41" t="s">
        <v>5841</v>
      </c>
      <c r="F1700" s="41" t="s">
        <v>53</v>
      </c>
      <c r="G1700" s="41" t="s">
        <v>141</v>
      </c>
      <c r="I1700" s="41" t="s">
        <v>102</v>
      </c>
      <c r="J1700" s="41" t="s">
        <v>295</v>
      </c>
      <c r="K1700" s="42"/>
      <c r="L1700" s="41" t="s">
        <v>5842</v>
      </c>
      <c r="M1700" s="41">
        <v>220</v>
      </c>
      <c r="N1700" s="41" t="s">
        <v>1629</v>
      </c>
      <c r="O1700" s="41" t="s">
        <v>36</v>
      </c>
      <c r="P1700" s="41" t="s">
        <v>98</v>
      </c>
      <c r="Q1700" s="41" t="s">
        <v>98</v>
      </c>
      <c r="R1700" s="41" t="s">
        <v>62</v>
      </c>
      <c r="S1700" s="41" t="s">
        <v>5843</v>
      </c>
      <c r="T1700" s="41" t="s">
        <v>146</v>
      </c>
      <c r="U1700" s="41" t="s">
        <v>40</v>
      </c>
    </row>
    <row r="1701" spans="1:21">
      <c r="A1701" s="41">
        <v>1103</v>
      </c>
      <c r="B1701" s="41" t="s">
        <v>5844</v>
      </c>
      <c r="D1701" s="41">
        <v>3301</v>
      </c>
      <c r="E1701" s="41" t="s">
        <v>5845</v>
      </c>
      <c r="F1701" s="41" t="s">
        <v>53</v>
      </c>
      <c r="G1701" s="41" t="s">
        <v>141</v>
      </c>
      <c r="I1701" s="41" t="s">
        <v>45</v>
      </c>
      <c r="J1701" s="41" t="s">
        <v>32</v>
      </c>
      <c r="K1701" s="42"/>
      <c r="L1701" s="41" t="s">
        <v>5846</v>
      </c>
      <c r="M1701" s="41">
        <v>110</v>
      </c>
      <c r="N1701" s="41" t="s">
        <v>67</v>
      </c>
      <c r="O1701" s="41" t="s">
        <v>5847</v>
      </c>
      <c r="P1701" s="41" t="s">
        <v>78</v>
      </c>
      <c r="Q1701" s="41" t="s">
        <v>5848</v>
      </c>
      <c r="R1701" s="41" t="s">
        <v>62</v>
      </c>
      <c r="S1701" s="41" t="s">
        <v>5849</v>
      </c>
      <c r="T1701" s="41" t="s">
        <v>1289</v>
      </c>
      <c r="U1701" s="41" t="s">
        <v>40</v>
      </c>
    </row>
    <row r="1702" spans="1:21">
      <c r="A1702" s="41">
        <v>1102</v>
      </c>
      <c r="B1702" s="41" t="s">
        <v>5850</v>
      </c>
      <c r="D1702" s="41">
        <v>3300</v>
      </c>
      <c r="E1702" s="41" t="s">
        <v>5340</v>
      </c>
      <c r="F1702" s="41" t="s">
        <v>28</v>
      </c>
      <c r="G1702" s="41" t="s">
        <v>64</v>
      </c>
      <c r="I1702" s="41" t="s">
        <v>56</v>
      </c>
      <c r="J1702" s="41" t="s">
        <v>295</v>
      </c>
      <c r="K1702" s="42"/>
      <c r="L1702" s="41" t="s">
        <v>5851</v>
      </c>
      <c r="M1702" s="41">
        <v>154</v>
      </c>
      <c r="N1702" s="41" t="s">
        <v>962</v>
      </c>
      <c r="O1702" s="41" t="s">
        <v>36</v>
      </c>
      <c r="P1702" s="41" t="s">
        <v>60</v>
      </c>
      <c r="Q1702" s="41" t="s">
        <v>352</v>
      </c>
      <c r="R1702" s="41" t="s">
        <v>39</v>
      </c>
      <c r="S1702" s="41" t="s">
        <v>40</v>
      </c>
      <c r="T1702" s="41" t="s">
        <v>40</v>
      </c>
      <c r="U1702" s="41" t="s">
        <v>40</v>
      </c>
    </row>
    <row r="1703" spans="1:21">
      <c r="A1703" s="41">
        <v>1101</v>
      </c>
      <c r="B1703" s="41" t="s">
        <v>5852</v>
      </c>
      <c r="D1703" s="41">
        <v>3297</v>
      </c>
      <c r="E1703" s="41" t="s">
        <v>4611</v>
      </c>
      <c r="F1703" s="41" t="s">
        <v>28</v>
      </c>
      <c r="G1703" s="41" t="s">
        <v>64</v>
      </c>
      <c r="I1703" s="41" t="s">
        <v>960</v>
      </c>
      <c r="J1703" s="41" t="s">
        <v>672</v>
      </c>
      <c r="K1703" s="42"/>
      <c r="L1703" s="41" t="s">
        <v>5853</v>
      </c>
      <c r="M1703" s="41">
        <v>220</v>
      </c>
      <c r="N1703" s="41" t="s">
        <v>1693</v>
      </c>
      <c r="O1703" s="41" t="s">
        <v>757</v>
      </c>
      <c r="P1703" s="41" t="s">
        <v>179</v>
      </c>
      <c r="Q1703" s="41" t="s">
        <v>524</v>
      </c>
      <c r="R1703" s="41" t="s">
        <v>39</v>
      </c>
      <c r="S1703" s="41" t="s">
        <v>40</v>
      </c>
      <c r="T1703" s="41" t="s">
        <v>40</v>
      </c>
      <c r="U1703" s="41" t="s">
        <v>40</v>
      </c>
    </row>
    <row r="1704" spans="1:21">
      <c r="A1704" s="41">
        <v>1100</v>
      </c>
      <c r="B1704" s="41" t="s">
        <v>5854</v>
      </c>
      <c r="D1704" s="41">
        <v>3296</v>
      </c>
      <c r="E1704" s="41" t="s">
        <v>1882</v>
      </c>
      <c r="F1704" s="41" t="s">
        <v>28</v>
      </c>
      <c r="G1704" s="41" t="s">
        <v>64</v>
      </c>
      <c r="I1704" s="41" t="s">
        <v>406</v>
      </c>
      <c r="J1704" s="41" t="s">
        <v>295</v>
      </c>
      <c r="K1704" s="42"/>
      <c r="L1704" s="41" t="s">
        <v>5855</v>
      </c>
      <c r="M1704" s="41">
        <v>66</v>
      </c>
      <c r="N1704" s="41" t="s">
        <v>5856</v>
      </c>
      <c r="O1704" s="41" t="s">
        <v>445</v>
      </c>
      <c r="P1704" s="41" t="s">
        <v>50</v>
      </c>
      <c r="Q1704" s="41" t="s">
        <v>496</v>
      </c>
      <c r="R1704" s="41" t="s">
        <v>39</v>
      </c>
      <c r="S1704" s="41" t="s">
        <v>40</v>
      </c>
      <c r="T1704" s="41" t="s">
        <v>40</v>
      </c>
      <c r="U1704" s="41" t="s">
        <v>40</v>
      </c>
    </row>
    <row r="1705" spans="1:21">
      <c r="A1705" s="41">
        <v>1098</v>
      </c>
      <c r="B1705" s="41" t="s">
        <v>5857</v>
      </c>
      <c r="D1705" s="41">
        <v>3250</v>
      </c>
      <c r="E1705" s="41" t="s">
        <v>1227</v>
      </c>
      <c r="F1705" s="41" t="s">
        <v>53</v>
      </c>
      <c r="G1705" s="41" t="s">
        <v>43</v>
      </c>
      <c r="I1705" s="41" t="s">
        <v>5510</v>
      </c>
      <c r="J1705" s="41" t="s">
        <v>295</v>
      </c>
      <c r="K1705" s="42"/>
      <c r="L1705" s="41" t="s">
        <v>3597</v>
      </c>
      <c r="M1705" s="41">
        <v>220</v>
      </c>
      <c r="N1705" s="41" t="s">
        <v>1241</v>
      </c>
      <c r="O1705" s="41" t="s">
        <v>5858</v>
      </c>
      <c r="P1705" s="41" t="s">
        <v>98</v>
      </c>
      <c r="Q1705" s="41" t="s">
        <v>116</v>
      </c>
      <c r="R1705" s="41" t="s">
        <v>62</v>
      </c>
      <c r="S1705" s="41" t="s">
        <v>40</v>
      </c>
      <c r="T1705" s="41" t="s">
        <v>40</v>
      </c>
      <c r="U1705" s="41" t="s">
        <v>40</v>
      </c>
    </row>
    <row r="1706" spans="1:21">
      <c r="A1706" s="41">
        <v>1097</v>
      </c>
      <c r="B1706" s="41" t="s">
        <v>5859</v>
      </c>
      <c r="D1706" s="41">
        <v>3123</v>
      </c>
      <c r="E1706" s="41" t="s">
        <v>1291</v>
      </c>
      <c r="F1706" s="41" t="s">
        <v>53</v>
      </c>
      <c r="G1706" s="41" t="s">
        <v>64</v>
      </c>
      <c r="I1706" s="41" t="s">
        <v>601</v>
      </c>
      <c r="J1706" s="41" t="s">
        <v>295</v>
      </c>
      <c r="K1706" s="42"/>
      <c r="L1706" s="41" t="s">
        <v>4722</v>
      </c>
      <c r="M1706" s="41">
        <v>220</v>
      </c>
      <c r="N1706" s="41" t="s">
        <v>5860</v>
      </c>
      <c r="O1706" s="41" t="s">
        <v>5861</v>
      </c>
      <c r="P1706" s="41" t="s">
        <v>179</v>
      </c>
      <c r="Q1706" s="41" t="s">
        <v>284</v>
      </c>
      <c r="R1706" s="41" t="s">
        <v>62</v>
      </c>
      <c r="S1706" s="41" t="s">
        <v>40</v>
      </c>
      <c r="T1706" s="41" t="s">
        <v>40</v>
      </c>
      <c r="U1706" s="41" t="s">
        <v>40</v>
      </c>
    </row>
    <row r="1707" spans="1:21">
      <c r="A1707" s="41">
        <v>1096</v>
      </c>
      <c r="B1707" s="41" t="s">
        <v>5862</v>
      </c>
      <c r="D1707" s="41">
        <v>3160</v>
      </c>
      <c r="E1707" s="41" t="s">
        <v>1227</v>
      </c>
      <c r="F1707" s="41" t="s">
        <v>28</v>
      </c>
      <c r="G1707" s="41" t="s">
        <v>301</v>
      </c>
      <c r="I1707" s="41" t="s">
        <v>1243</v>
      </c>
      <c r="J1707" s="41" t="s">
        <v>380</v>
      </c>
      <c r="K1707" s="42"/>
      <c r="L1707" s="41" t="s">
        <v>5863</v>
      </c>
      <c r="M1707" s="41">
        <v>220</v>
      </c>
      <c r="N1707" s="41" t="s">
        <v>2432</v>
      </c>
      <c r="O1707" s="41" t="s">
        <v>1525</v>
      </c>
      <c r="P1707" s="41" t="s">
        <v>98</v>
      </c>
      <c r="Q1707" s="41" t="s">
        <v>569</v>
      </c>
      <c r="R1707" s="41" t="s">
        <v>39</v>
      </c>
      <c r="S1707" s="41" t="s">
        <v>40</v>
      </c>
      <c r="T1707" s="41" t="s">
        <v>508</v>
      </c>
      <c r="U1707" s="41" t="s">
        <v>40</v>
      </c>
    </row>
    <row r="1708" spans="1:21">
      <c r="A1708" s="41">
        <v>1095</v>
      </c>
      <c r="B1708" s="41" t="s">
        <v>5864</v>
      </c>
      <c r="D1708" s="41">
        <v>3157</v>
      </c>
      <c r="E1708" s="41" t="s">
        <v>1286</v>
      </c>
      <c r="F1708" s="41" t="s">
        <v>28</v>
      </c>
      <c r="G1708" s="41" t="s">
        <v>43</v>
      </c>
      <c r="I1708" s="41" t="s">
        <v>458</v>
      </c>
      <c r="J1708" s="41" t="s">
        <v>32</v>
      </c>
      <c r="K1708" s="42"/>
      <c r="L1708" s="41" t="s">
        <v>5865</v>
      </c>
      <c r="M1708" s="41">
        <v>220</v>
      </c>
      <c r="N1708" s="41" t="s">
        <v>5866</v>
      </c>
      <c r="O1708" s="41" t="s">
        <v>5867</v>
      </c>
      <c r="P1708" s="41" t="s">
        <v>179</v>
      </c>
      <c r="Q1708" s="41" t="s">
        <v>524</v>
      </c>
      <c r="R1708" s="41" t="s">
        <v>39</v>
      </c>
      <c r="S1708" s="41" t="s">
        <v>40</v>
      </c>
      <c r="T1708" s="41" t="s">
        <v>40</v>
      </c>
      <c r="U1708" s="41" t="s">
        <v>40</v>
      </c>
    </row>
    <row r="1709" spans="1:21">
      <c r="A1709" s="41">
        <v>1094</v>
      </c>
      <c r="B1709" s="41" t="s">
        <v>714</v>
      </c>
      <c r="C1709" s="43">
        <v>1</v>
      </c>
      <c r="D1709" s="41">
        <v>3156</v>
      </c>
      <c r="E1709" s="41" t="s">
        <v>715</v>
      </c>
      <c r="F1709" s="41" t="s">
        <v>28</v>
      </c>
      <c r="G1709" s="41" t="s">
        <v>64</v>
      </c>
      <c r="I1709" s="41" t="s">
        <v>149</v>
      </c>
      <c r="J1709" s="41" t="s">
        <v>672</v>
      </c>
      <c r="K1709" s="42"/>
      <c r="L1709" s="41" t="s">
        <v>718</v>
      </c>
      <c r="M1709" s="41">
        <v>23</v>
      </c>
      <c r="N1709" s="41" t="s">
        <v>719</v>
      </c>
      <c r="O1709" s="41" t="s">
        <v>720</v>
      </c>
      <c r="P1709" s="41" t="s">
        <v>68</v>
      </c>
      <c r="Q1709" s="41" t="s">
        <v>677</v>
      </c>
      <c r="R1709" s="41" t="s">
        <v>39</v>
      </c>
      <c r="S1709" s="41" t="s">
        <v>40</v>
      </c>
      <c r="T1709" s="41" t="s">
        <v>40</v>
      </c>
      <c r="U1709" s="41" t="s">
        <v>40</v>
      </c>
    </row>
    <row r="1710" spans="1:21">
      <c r="A1710" s="41">
        <v>1093</v>
      </c>
      <c r="B1710" s="41" t="s">
        <v>5868</v>
      </c>
      <c r="D1710" s="41">
        <v>3155</v>
      </c>
      <c r="E1710" s="41" t="s">
        <v>5393</v>
      </c>
      <c r="F1710" s="41" t="s">
        <v>53</v>
      </c>
      <c r="G1710" s="41" t="s">
        <v>1071</v>
      </c>
      <c r="I1710" s="41" t="s">
        <v>1092</v>
      </c>
      <c r="J1710" s="41" t="s">
        <v>672</v>
      </c>
      <c r="K1710" s="42"/>
      <c r="L1710" s="41" t="s">
        <v>5869</v>
      </c>
      <c r="M1710" s="41">
        <v>12</v>
      </c>
      <c r="N1710" s="41" t="s">
        <v>5870</v>
      </c>
      <c r="O1710" s="41" t="s">
        <v>5871</v>
      </c>
      <c r="P1710" s="41" t="s">
        <v>68</v>
      </c>
      <c r="Q1710" s="41" t="s">
        <v>1096</v>
      </c>
      <c r="R1710" s="41" t="s">
        <v>132</v>
      </c>
      <c r="S1710" s="41" t="s">
        <v>40</v>
      </c>
      <c r="T1710" s="41" t="s">
        <v>40</v>
      </c>
      <c r="U1710" s="41" t="s">
        <v>40</v>
      </c>
    </row>
    <row r="1711" spans="1:21">
      <c r="A1711" s="41">
        <v>1092</v>
      </c>
      <c r="B1711" s="41" t="s">
        <v>5872</v>
      </c>
      <c r="D1711" s="41">
        <v>3154</v>
      </c>
      <c r="E1711" s="41" t="s">
        <v>5845</v>
      </c>
      <c r="F1711" s="41" t="s">
        <v>53</v>
      </c>
      <c r="G1711" s="41" t="s">
        <v>141</v>
      </c>
      <c r="I1711" s="41" t="s">
        <v>966</v>
      </c>
      <c r="J1711" s="41" t="s">
        <v>295</v>
      </c>
      <c r="K1711" s="42"/>
      <c r="L1711" s="41" t="s">
        <v>5176</v>
      </c>
      <c r="M1711" s="41">
        <v>110</v>
      </c>
      <c r="N1711" s="41" t="s">
        <v>5873</v>
      </c>
      <c r="O1711" s="41" t="s">
        <v>5874</v>
      </c>
      <c r="P1711" s="41" t="s">
        <v>78</v>
      </c>
      <c r="Q1711" s="41" t="s">
        <v>79</v>
      </c>
      <c r="R1711" s="41" t="s">
        <v>132</v>
      </c>
      <c r="S1711" s="41" t="s">
        <v>5875</v>
      </c>
      <c r="T1711" s="41" t="s">
        <v>210</v>
      </c>
      <c r="U1711" s="41" t="s">
        <v>1621</v>
      </c>
    </row>
    <row r="1712" spans="1:21">
      <c r="A1712" s="41">
        <v>1091</v>
      </c>
      <c r="B1712" s="41" t="s">
        <v>5876</v>
      </c>
      <c r="D1712" s="41">
        <v>3159</v>
      </c>
      <c r="E1712" s="41" t="s">
        <v>5877</v>
      </c>
      <c r="F1712" s="41" t="s">
        <v>53</v>
      </c>
      <c r="G1712" s="41" t="s">
        <v>64</v>
      </c>
      <c r="I1712" s="41" t="s">
        <v>966</v>
      </c>
      <c r="J1712" s="41" t="s">
        <v>380</v>
      </c>
      <c r="K1712" s="42"/>
      <c r="L1712" s="41" t="s">
        <v>5878</v>
      </c>
      <c r="M1712" s="41">
        <v>220</v>
      </c>
      <c r="N1712" s="41" t="s">
        <v>67</v>
      </c>
      <c r="O1712" s="41" t="s">
        <v>77</v>
      </c>
      <c r="P1712" s="41" t="s">
        <v>1046</v>
      </c>
      <c r="Q1712" s="41" t="s">
        <v>1110</v>
      </c>
      <c r="R1712" s="41" t="s">
        <v>132</v>
      </c>
      <c r="S1712" s="41" t="s">
        <v>40</v>
      </c>
      <c r="T1712" s="41" t="s">
        <v>40</v>
      </c>
      <c r="U1712" s="41" t="s">
        <v>40</v>
      </c>
    </row>
    <row r="1713" spans="1:21">
      <c r="A1713" s="41">
        <v>1090</v>
      </c>
      <c r="B1713" s="41" t="s">
        <v>3730</v>
      </c>
      <c r="D1713" s="41">
        <v>3153</v>
      </c>
      <c r="E1713" s="41" t="s">
        <v>3731</v>
      </c>
      <c r="F1713" s="41" t="s">
        <v>28</v>
      </c>
      <c r="G1713" s="41" t="s">
        <v>43</v>
      </c>
      <c r="I1713" s="41" t="s">
        <v>5879</v>
      </c>
      <c r="J1713" s="41" t="s">
        <v>380</v>
      </c>
      <c r="K1713" s="42"/>
      <c r="L1713" s="41" t="s">
        <v>5880</v>
      </c>
      <c r="M1713" s="41">
        <v>220</v>
      </c>
      <c r="N1713" s="41" t="s">
        <v>5881</v>
      </c>
      <c r="O1713" s="41" t="s">
        <v>5882</v>
      </c>
      <c r="P1713" s="41" t="s">
        <v>83</v>
      </c>
      <c r="Q1713" s="41" t="s">
        <v>461</v>
      </c>
      <c r="R1713" s="41" t="s">
        <v>39</v>
      </c>
      <c r="S1713" s="41" t="s">
        <v>5883</v>
      </c>
      <c r="T1713" s="41" t="s">
        <v>205</v>
      </c>
      <c r="U1713" s="41" t="s">
        <v>40</v>
      </c>
    </row>
    <row r="1714" spans="1:21">
      <c r="A1714" s="41">
        <v>1089</v>
      </c>
      <c r="B1714" s="41" t="s">
        <v>5884</v>
      </c>
      <c r="D1714" s="41">
        <v>3139</v>
      </c>
      <c r="E1714" s="41" t="s">
        <v>1286</v>
      </c>
      <c r="F1714" s="41" t="s">
        <v>53</v>
      </c>
      <c r="G1714" s="41" t="s">
        <v>141</v>
      </c>
      <c r="I1714" s="41" t="s">
        <v>5501</v>
      </c>
      <c r="J1714" s="41" t="s">
        <v>32</v>
      </c>
      <c r="K1714" s="42"/>
      <c r="L1714" s="41" t="s">
        <v>5885</v>
      </c>
      <c r="M1714" s="41">
        <v>220</v>
      </c>
      <c r="N1714" s="41" t="s">
        <v>1014</v>
      </c>
      <c r="O1714" s="41" t="s">
        <v>5886</v>
      </c>
      <c r="P1714" s="41" t="s">
        <v>179</v>
      </c>
      <c r="Q1714" s="41" t="s">
        <v>524</v>
      </c>
      <c r="R1714" s="41" t="s">
        <v>62</v>
      </c>
      <c r="S1714" s="41" t="s">
        <v>5887</v>
      </c>
      <c r="T1714" s="41" t="s">
        <v>1796</v>
      </c>
      <c r="U1714" s="41" t="s">
        <v>40</v>
      </c>
    </row>
    <row r="1715" spans="1:21">
      <c r="A1715" s="41">
        <v>1088</v>
      </c>
      <c r="B1715" s="41" t="s">
        <v>5888</v>
      </c>
      <c r="D1715" s="41">
        <v>3138</v>
      </c>
      <c r="E1715" s="41" t="s">
        <v>5889</v>
      </c>
      <c r="F1715" s="41" t="s">
        <v>53</v>
      </c>
      <c r="G1715" s="41" t="s">
        <v>64</v>
      </c>
      <c r="I1715" s="41" t="s">
        <v>149</v>
      </c>
      <c r="J1715" s="41" t="s">
        <v>295</v>
      </c>
      <c r="K1715" s="42"/>
      <c r="L1715" s="41" t="s">
        <v>5890</v>
      </c>
      <c r="M1715" s="41">
        <v>110</v>
      </c>
      <c r="N1715" s="41" t="s">
        <v>5891</v>
      </c>
      <c r="O1715" s="41" t="s">
        <v>333</v>
      </c>
      <c r="P1715" s="41" t="s">
        <v>153</v>
      </c>
      <c r="Q1715" s="41" t="s">
        <v>329</v>
      </c>
      <c r="R1715" s="41" t="s">
        <v>62</v>
      </c>
      <c r="S1715" s="41" t="s">
        <v>40</v>
      </c>
      <c r="T1715" s="41" t="s">
        <v>40</v>
      </c>
      <c r="U1715" s="41" t="s">
        <v>40</v>
      </c>
    </row>
    <row r="1716" spans="1:21">
      <c r="A1716" s="41">
        <v>1087</v>
      </c>
      <c r="B1716" s="41" t="s">
        <v>5892</v>
      </c>
      <c r="D1716" s="41">
        <v>3137</v>
      </c>
      <c r="E1716" s="41" t="s">
        <v>3714</v>
      </c>
      <c r="F1716" s="41" t="s">
        <v>28</v>
      </c>
      <c r="G1716" s="41" t="s">
        <v>301</v>
      </c>
      <c r="I1716" s="41" t="s">
        <v>5893</v>
      </c>
      <c r="J1716" s="41" t="s">
        <v>380</v>
      </c>
      <c r="K1716" s="42"/>
      <c r="L1716" s="41" t="s">
        <v>3716</v>
      </c>
      <c r="M1716" s="41">
        <v>220</v>
      </c>
      <c r="N1716" s="41" t="s">
        <v>1988</v>
      </c>
      <c r="O1716" s="41" t="s">
        <v>1988</v>
      </c>
      <c r="P1716" s="41" t="s">
        <v>83</v>
      </c>
      <c r="Q1716" s="41" t="s">
        <v>2000</v>
      </c>
      <c r="R1716" s="41" t="s">
        <v>39</v>
      </c>
      <c r="S1716" s="41" t="s">
        <v>5894</v>
      </c>
      <c r="T1716" s="41" t="s">
        <v>2246</v>
      </c>
      <c r="U1716" s="41" t="s">
        <v>40</v>
      </c>
    </row>
    <row r="1717" spans="1:21">
      <c r="A1717" s="41">
        <v>1086</v>
      </c>
      <c r="B1717" s="41" t="s">
        <v>5895</v>
      </c>
      <c r="D1717" s="41">
        <v>3130</v>
      </c>
      <c r="E1717" s="41" t="s">
        <v>2487</v>
      </c>
      <c r="F1717" s="41" t="s">
        <v>28</v>
      </c>
      <c r="G1717" s="41" t="s">
        <v>301</v>
      </c>
      <c r="I1717" s="41" t="s">
        <v>5896</v>
      </c>
      <c r="J1717" s="41" t="s">
        <v>380</v>
      </c>
      <c r="K1717" s="42"/>
      <c r="L1717" s="41" t="s">
        <v>5897</v>
      </c>
      <c r="M1717" s="41">
        <v>220</v>
      </c>
      <c r="N1717" s="41" t="s">
        <v>5898</v>
      </c>
      <c r="O1717" s="41" t="s">
        <v>5899</v>
      </c>
      <c r="P1717" s="41" t="s">
        <v>153</v>
      </c>
      <c r="Q1717" s="41" t="s">
        <v>1280</v>
      </c>
      <c r="R1717" s="41" t="s">
        <v>39</v>
      </c>
      <c r="S1717" s="41" t="s">
        <v>5900</v>
      </c>
      <c r="T1717" s="41" t="s">
        <v>1894</v>
      </c>
      <c r="U1717" s="41" t="s">
        <v>40</v>
      </c>
    </row>
    <row r="1718" spans="1:21">
      <c r="A1718" s="41">
        <v>1085</v>
      </c>
      <c r="B1718" s="41" t="s">
        <v>5901</v>
      </c>
      <c r="C1718" s="41">
        <v>1</v>
      </c>
      <c r="D1718" s="41">
        <v>3129</v>
      </c>
      <c r="E1718" s="41" t="s">
        <v>1430</v>
      </c>
      <c r="F1718" s="41" t="s">
        <v>53</v>
      </c>
      <c r="G1718" s="41" t="s">
        <v>307</v>
      </c>
      <c r="H1718" s="42">
        <v>44540</v>
      </c>
      <c r="I1718" s="41">
        <v>60</v>
      </c>
      <c r="J1718" s="41" t="s">
        <v>672</v>
      </c>
      <c r="K1718" s="42">
        <v>45473</v>
      </c>
      <c r="L1718" s="41" t="s">
        <v>5902</v>
      </c>
      <c r="M1718" s="41">
        <v>110</v>
      </c>
      <c r="N1718" s="41" t="s">
        <v>5903</v>
      </c>
      <c r="O1718" s="41" t="s">
        <v>5904</v>
      </c>
      <c r="P1718" s="41" t="s">
        <v>68</v>
      </c>
      <c r="Q1718" s="41" t="s">
        <v>91</v>
      </c>
      <c r="R1718" s="41" t="s">
        <v>132</v>
      </c>
      <c r="S1718" s="41" t="s">
        <v>5905</v>
      </c>
      <c r="T1718" s="41" t="s">
        <v>5264</v>
      </c>
      <c r="U1718" s="41" t="s">
        <v>40</v>
      </c>
    </row>
    <row r="1719" spans="1:21">
      <c r="A1719" s="41">
        <v>1084</v>
      </c>
      <c r="B1719" s="41" t="s">
        <v>5906</v>
      </c>
      <c r="D1719" s="41">
        <v>3128</v>
      </c>
      <c r="E1719" s="41" t="s">
        <v>5907</v>
      </c>
      <c r="F1719" s="41" t="s">
        <v>53</v>
      </c>
      <c r="G1719" s="41" t="s">
        <v>307</v>
      </c>
      <c r="I1719" s="41" t="s">
        <v>1966</v>
      </c>
      <c r="J1719" s="41" t="s">
        <v>672</v>
      </c>
      <c r="K1719" s="42"/>
      <c r="L1719" s="41" t="s">
        <v>5908</v>
      </c>
      <c r="M1719" s="41">
        <v>23</v>
      </c>
      <c r="N1719" s="41" t="s">
        <v>67</v>
      </c>
      <c r="O1719" s="41" t="s">
        <v>565</v>
      </c>
      <c r="P1719" s="41" t="s">
        <v>334</v>
      </c>
      <c r="Q1719" s="41" t="s">
        <v>4538</v>
      </c>
      <c r="R1719" s="41" t="s">
        <v>132</v>
      </c>
      <c r="S1719" s="41" t="s">
        <v>5909</v>
      </c>
      <c r="T1719" s="41" t="s">
        <v>508</v>
      </c>
      <c r="U1719" s="41" t="s">
        <v>40</v>
      </c>
    </row>
    <row r="1720" spans="1:21">
      <c r="A1720" s="41">
        <v>1083</v>
      </c>
      <c r="B1720" s="41" t="s">
        <v>5910</v>
      </c>
      <c r="D1720" s="41">
        <v>3127</v>
      </c>
      <c r="E1720" s="41" t="s">
        <v>5907</v>
      </c>
      <c r="F1720" s="41" t="s">
        <v>53</v>
      </c>
      <c r="G1720" s="41" t="s">
        <v>307</v>
      </c>
      <c r="I1720" s="41" t="s">
        <v>1966</v>
      </c>
      <c r="J1720" s="41" t="s">
        <v>672</v>
      </c>
      <c r="K1720" s="42"/>
      <c r="L1720" s="41" t="s">
        <v>5908</v>
      </c>
      <c r="M1720" s="41">
        <v>23</v>
      </c>
      <c r="N1720" s="41" t="s">
        <v>5911</v>
      </c>
      <c r="O1720" s="41" t="s">
        <v>291</v>
      </c>
      <c r="P1720" s="41" t="s">
        <v>334</v>
      </c>
      <c r="Q1720" s="41" t="s">
        <v>4538</v>
      </c>
      <c r="R1720" s="41" t="s">
        <v>132</v>
      </c>
      <c r="S1720" s="41" t="s">
        <v>5912</v>
      </c>
      <c r="T1720" s="41" t="s">
        <v>508</v>
      </c>
      <c r="U1720" s="41" t="s">
        <v>40</v>
      </c>
    </row>
    <row r="1721" spans="1:21">
      <c r="A1721" s="41">
        <v>1082</v>
      </c>
      <c r="B1721" s="41" t="s">
        <v>5913</v>
      </c>
      <c r="D1721" s="41">
        <v>3126</v>
      </c>
      <c r="E1721" s="41" t="s">
        <v>1227</v>
      </c>
      <c r="F1721" s="41" t="s">
        <v>28</v>
      </c>
      <c r="G1721" s="41" t="s">
        <v>307</v>
      </c>
      <c r="I1721" s="41" t="s">
        <v>2817</v>
      </c>
      <c r="J1721" s="41" t="s">
        <v>380</v>
      </c>
      <c r="K1721" s="42"/>
      <c r="L1721" s="41" t="s">
        <v>5914</v>
      </c>
      <c r="M1721" s="41">
        <v>220</v>
      </c>
      <c r="N1721" s="41" t="s">
        <v>2432</v>
      </c>
      <c r="O1721" s="41" t="s">
        <v>5915</v>
      </c>
      <c r="P1721" s="41" t="s">
        <v>98</v>
      </c>
      <c r="Q1721" s="41" t="s">
        <v>569</v>
      </c>
      <c r="R1721" s="41" t="s">
        <v>39</v>
      </c>
      <c r="S1721" s="41" t="s">
        <v>40</v>
      </c>
      <c r="T1721" s="41" t="s">
        <v>5916</v>
      </c>
      <c r="U1721" s="41" t="s">
        <v>40</v>
      </c>
    </row>
    <row r="1722" spans="1:21">
      <c r="A1722" s="41">
        <v>1081</v>
      </c>
      <c r="B1722" s="41" t="s">
        <v>5917</v>
      </c>
      <c r="D1722" s="41">
        <v>3125</v>
      </c>
      <c r="E1722" s="41" t="s">
        <v>5918</v>
      </c>
      <c r="F1722" s="41" t="s">
        <v>28</v>
      </c>
      <c r="G1722" s="41" t="s">
        <v>43</v>
      </c>
      <c r="I1722" s="41" t="s">
        <v>162</v>
      </c>
      <c r="J1722" s="41" t="s">
        <v>295</v>
      </c>
      <c r="K1722" s="42"/>
      <c r="L1722" s="41" t="s">
        <v>5919</v>
      </c>
      <c r="M1722" s="41">
        <v>220</v>
      </c>
      <c r="N1722" s="41" t="s">
        <v>3585</v>
      </c>
      <c r="O1722" s="41" t="s">
        <v>5920</v>
      </c>
      <c r="P1722" s="41" t="s">
        <v>153</v>
      </c>
      <c r="Q1722" s="41" t="s">
        <v>1567</v>
      </c>
      <c r="R1722" s="41" t="s">
        <v>39</v>
      </c>
      <c r="S1722" s="41" t="s">
        <v>40</v>
      </c>
      <c r="T1722" s="41" t="s">
        <v>40</v>
      </c>
      <c r="U1722" s="41" t="s">
        <v>40</v>
      </c>
    </row>
    <row r="1723" spans="1:21">
      <c r="A1723" s="41">
        <v>1080</v>
      </c>
      <c r="B1723" s="41" t="s">
        <v>1254</v>
      </c>
      <c r="D1723" s="41">
        <v>3110</v>
      </c>
      <c r="E1723" s="41" t="s">
        <v>1286</v>
      </c>
      <c r="F1723" s="41" t="s">
        <v>53</v>
      </c>
      <c r="G1723" s="41" t="s">
        <v>64</v>
      </c>
      <c r="I1723" s="41" t="s">
        <v>1018</v>
      </c>
      <c r="J1723" s="41" t="s">
        <v>32</v>
      </c>
      <c r="K1723" s="42"/>
      <c r="L1723" s="41" t="s">
        <v>740</v>
      </c>
      <c r="M1723" s="41">
        <v>110</v>
      </c>
      <c r="N1723" s="41" t="s">
        <v>395</v>
      </c>
      <c r="O1723" s="41" t="s">
        <v>5921</v>
      </c>
      <c r="P1723" s="41" t="s">
        <v>68</v>
      </c>
      <c r="Q1723" s="41" t="s">
        <v>1254</v>
      </c>
      <c r="R1723" s="41" t="s">
        <v>132</v>
      </c>
      <c r="S1723" s="41" t="s">
        <v>40</v>
      </c>
      <c r="T1723" s="41" t="s">
        <v>40</v>
      </c>
      <c r="U1723" s="41" t="s">
        <v>40</v>
      </c>
    </row>
    <row r="1724" spans="1:21">
      <c r="A1724" s="41">
        <v>1079</v>
      </c>
      <c r="B1724" s="41" t="s">
        <v>5922</v>
      </c>
      <c r="D1724" s="41">
        <v>3109</v>
      </c>
      <c r="E1724" s="41" t="s">
        <v>5923</v>
      </c>
      <c r="F1724" s="41" t="s">
        <v>28</v>
      </c>
      <c r="G1724" s="41" t="s">
        <v>64</v>
      </c>
      <c r="I1724" s="41" t="s">
        <v>194</v>
      </c>
      <c r="J1724" s="41" t="s">
        <v>295</v>
      </c>
      <c r="K1724" s="42"/>
      <c r="L1724" s="41" t="s">
        <v>5924</v>
      </c>
      <c r="M1724" s="41">
        <v>23</v>
      </c>
      <c r="N1724" s="41" t="s">
        <v>67</v>
      </c>
      <c r="O1724" s="41" t="s">
        <v>5925</v>
      </c>
      <c r="P1724" s="41" t="s">
        <v>98</v>
      </c>
      <c r="Q1724" s="41" t="s">
        <v>491</v>
      </c>
      <c r="R1724" s="41" t="s">
        <v>39</v>
      </c>
      <c r="S1724" s="41" t="s">
        <v>40</v>
      </c>
      <c r="T1724" s="41" t="s">
        <v>40</v>
      </c>
      <c r="U1724" s="41" t="s">
        <v>40</v>
      </c>
    </row>
    <row r="1725" spans="1:21">
      <c r="A1725" s="41">
        <v>1078</v>
      </c>
      <c r="B1725" s="41" t="s">
        <v>5926</v>
      </c>
      <c r="D1725" s="41">
        <v>3108</v>
      </c>
      <c r="E1725" s="41" t="s">
        <v>1739</v>
      </c>
      <c r="F1725" s="41" t="s">
        <v>28</v>
      </c>
      <c r="G1725" s="41" t="s">
        <v>64</v>
      </c>
      <c r="I1725" s="41" t="s">
        <v>2432</v>
      </c>
      <c r="J1725" s="41" t="s">
        <v>672</v>
      </c>
      <c r="K1725" s="42"/>
      <c r="L1725" s="41" t="s">
        <v>5927</v>
      </c>
      <c r="M1725" s="41">
        <v>23</v>
      </c>
      <c r="N1725" s="41" t="s">
        <v>1623</v>
      </c>
      <c r="O1725" s="41" t="s">
        <v>1124</v>
      </c>
      <c r="P1725" s="41" t="s">
        <v>179</v>
      </c>
      <c r="Q1725" s="41" t="s">
        <v>1116</v>
      </c>
      <c r="R1725" s="41" t="s">
        <v>39</v>
      </c>
      <c r="S1725" s="41" t="s">
        <v>5928</v>
      </c>
      <c r="T1725" s="41" t="s">
        <v>5264</v>
      </c>
      <c r="U1725" s="41" t="s">
        <v>40</v>
      </c>
    </row>
    <row r="1726" spans="1:21">
      <c r="A1726" s="41">
        <v>1077</v>
      </c>
      <c r="B1726" s="41" t="s">
        <v>5929</v>
      </c>
      <c r="D1726" s="41">
        <v>3124</v>
      </c>
      <c r="E1726" s="41" t="s">
        <v>5930</v>
      </c>
      <c r="F1726" s="41" t="s">
        <v>53</v>
      </c>
      <c r="G1726" s="41" t="s">
        <v>141</v>
      </c>
      <c r="I1726" s="41" t="s">
        <v>5931</v>
      </c>
      <c r="J1726" s="41" t="s">
        <v>32</v>
      </c>
      <c r="K1726" s="42"/>
      <c r="L1726" s="41" t="s">
        <v>1990</v>
      </c>
      <c r="M1726" s="41">
        <v>220</v>
      </c>
      <c r="N1726" s="41" t="s">
        <v>67</v>
      </c>
      <c r="O1726" s="41" t="s">
        <v>5932</v>
      </c>
      <c r="P1726" s="41" t="s">
        <v>153</v>
      </c>
      <c r="Q1726" s="41" t="s">
        <v>1865</v>
      </c>
      <c r="R1726" s="41" t="s">
        <v>62</v>
      </c>
      <c r="S1726" s="41" t="s">
        <v>5933</v>
      </c>
      <c r="T1726" s="41" t="s">
        <v>4822</v>
      </c>
      <c r="U1726" s="41" t="s">
        <v>186</v>
      </c>
    </row>
    <row r="1727" spans="1:21">
      <c r="A1727" s="41">
        <v>1076</v>
      </c>
      <c r="B1727" s="41" t="s">
        <v>3936</v>
      </c>
      <c r="D1727" s="41">
        <v>3122</v>
      </c>
      <c r="E1727" s="41" t="s">
        <v>3937</v>
      </c>
      <c r="F1727" s="41" t="s">
        <v>28</v>
      </c>
      <c r="G1727" s="41" t="s">
        <v>64</v>
      </c>
      <c r="I1727" s="41" t="s">
        <v>194</v>
      </c>
      <c r="J1727" s="41" t="s">
        <v>295</v>
      </c>
      <c r="K1727" s="42"/>
      <c r="L1727" s="41" t="s">
        <v>5934</v>
      </c>
      <c r="M1727" s="41">
        <v>4</v>
      </c>
      <c r="N1727" s="41" t="s">
        <v>67</v>
      </c>
      <c r="O1727" s="41" t="s">
        <v>3940</v>
      </c>
      <c r="P1727" s="41" t="s">
        <v>179</v>
      </c>
      <c r="Q1727" s="41" t="s">
        <v>524</v>
      </c>
      <c r="R1727" s="41" t="s">
        <v>39</v>
      </c>
      <c r="S1727" s="41" t="s">
        <v>5935</v>
      </c>
      <c r="T1727" s="41" t="s">
        <v>506</v>
      </c>
      <c r="U1727" s="41" t="s">
        <v>40</v>
      </c>
    </row>
    <row r="1728" spans="1:21">
      <c r="A1728" s="41">
        <v>1075</v>
      </c>
      <c r="B1728" s="41" t="s">
        <v>5936</v>
      </c>
      <c r="D1728" s="41">
        <v>3121</v>
      </c>
      <c r="E1728" s="41" t="s">
        <v>5393</v>
      </c>
      <c r="F1728" s="41" t="s">
        <v>53</v>
      </c>
      <c r="G1728" s="41" t="s">
        <v>1071</v>
      </c>
      <c r="I1728" s="41" t="s">
        <v>5814</v>
      </c>
      <c r="J1728" s="41" t="s">
        <v>672</v>
      </c>
      <c r="K1728" s="42"/>
      <c r="L1728" s="41" t="s">
        <v>5937</v>
      </c>
      <c r="M1728" s="41">
        <v>23</v>
      </c>
      <c r="N1728" s="41" t="s">
        <v>5938</v>
      </c>
      <c r="O1728" s="41" t="s">
        <v>5939</v>
      </c>
      <c r="P1728" s="41" t="s">
        <v>68</v>
      </c>
      <c r="Q1728" s="41" t="s">
        <v>403</v>
      </c>
      <c r="R1728" s="41" t="s">
        <v>132</v>
      </c>
      <c r="S1728" s="41" t="s">
        <v>40</v>
      </c>
      <c r="T1728" s="41" t="s">
        <v>40</v>
      </c>
      <c r="U1728" s="41" t="s">
        <v>40</v>
      </c>
    </row>
    <row r="1729" spans="1:21">
      <c r="A1729" s="41">
        <v>1074</v>
      </c>
      <c r="B1729" s="41" t="s">
        <v>5940</v>
      </c>
      <c r="D1729" s="41">
        <v>3120</v>
      </c>
      <c r="E1729" s="41" t="s">
        <v>5393</v>
      </c>
      <c r="F1729" s="41" t="s">
        <v>53</v>
      </c>
      <c r="G1729" s="41" t="s">
        <v>1071</v>
      </c>
      <c r="I1729" s="41" t="s">
        <v>5814</v>
      </c>
      <c r="J1729" s="41" t="s">
        <v>672</v>
      </c>
      <c r="K1729" s="42"/>
      <c r="L1729" s="41" t="s">
        <v>5941</v>
      </c>
      <c r="M1729" s="41">
        <v>23</v>
      </c>
      <c r="N1729" s="41" t="s">
        <v>5942</v>
      </c>
      <c r="O1729" s="41" t="s">
        <v>5943</v>
      </c>
      <c r="P1729" s="41" t="s">
        <v>68</v>
      </c>
      <c r="Q1729" s="41" t="s">
        <v>699</v>
      </c>
      <c r="R1729" s="41" t="s">
        <v>132</v>
      </c>
      <c r="S1729" s="41" t="s">
        <v>40</v>
      </c>
      <c r="T1729" s="41" t="s">
        <v>40</v>
      </c>
      <c r="U1729" s="41" t="s">
        <v>40</v>
      </c>
    </row>
    <row r="1730" spans="1:21">
      <c r="A1730" s="41">
        <v>1073</v>
      </c>
      <c r="B1730" s="41" t="s">
        <v>3572</v>
      </c>
      <c r="D1730" s="41">
        <v>3119</v>
      </c>
      <c r="E1730" s="41" t="s">
        <v>1691</v>
      </c>
      <c r="F1730" s="41" t="s">
        <v>28</v>
      </c>
      <c r="G1730" s="41" t="s">
        <v>43</v>
      </c>
      <c r="I1730" s="41" t="s">
        <v>194</v>
      </c>
      <c r="J1730" s="41" t="s">
        <v>295</v>
      </c>
      <c r="K1730" s="42"/>
      <c r="L1730" s="41" t="s">
        <v>5944</v>
      </c>
      <c r="M1730" s="41">
        <v>23</v>
      </c>
      <c r="N1730" s="41" t="s">
        <v>5945</v>
      </c>
      <c r="O1730" s="41" t="s">
        <v>3296</v>
      </c>
      <c r="P1730" s="41" t="s">
        <v>78</v>
      </c>
      <c r="Q1730" s="41" t="s">
        <v>1065</v>
      </c>
      <c r="R1730" s="41" t="s">
        <v>39</v>
      </c>
      <c r="S1730" s="41" t="s">
        <v>5946</v>
      </c>
      <c r="T1730" s="41" t="s">
        <v>3185</v>
      </c>
      <c r="U1730" s="41" t="s">
        <v>205</v>
      </c>
    </row>
    <row r="1731" spans="1:21">
      <c r="A1731" s="41">
        <v>1072</v>
      </c>
      <c r="B1731" s="41" t="s">
        <v>5947</v>
      </c>
      <c r="D1731" s="41">
        <v>3118</v>
      </c>
      <c r="E1731" s="41" t="s">
        <v>2196</v>
      </c>
      <c r="F1731" s="41" t="s">
        <v>53</v>
      </c>
      <c r="G1731" s="41" t="s">
        <v>307</v>
      </c>
      <c r="I1731" s="41" t="s">
        <v>325</v>
      </c>
      <c r="J1731" s="41" t="s">
        <v>295</v>
      </c>
      <c r="K1731" s="42"/>
      <c r="L1731" s="41" t="s">
        <v>1304</v>
      </c>
      <c r="M1731" s="41">
        <v>220</v>
      </c>
      <c r="N1731" s="41" t="s">
        <v>18</v>
      </c>
      <c r="O1731" s="41" t="s">
        <v>2041</v>
      </c>
      <c r="P1731" s="41" t="s">
        <v>98</v>
      </c>
      <c r="Q1731" s="41" t="s">
        <v>116</v>
      </c>
      <c r="R1731" s="41" t="s">
        <v>62</v>
      </c>
      <c r="S1731" s="41" t="s">
        <v>5948</v>
      </c>
      <c r="T1731" s="41" t="s">
        <v>5821</v>
      </c>
      <c r="U1731" s="41" t="s">
        <v>40</v>
      </c>
    </row>
    <row r="1732" spans="1:21">
      <c r="A1732" s="41">
        <v>1071</v>
      </c>
      <c r="B1732" s="41" t="s">
        <v>5949</v>
      </c>
      <c r="D1732" s="41">
        <v>3117</v>
      </c>
      <c r="E1732" s="41" t="s">
        <v>869</v>
      </c>
      <c r="F1732" s="41" t="s">
        <v>53</v>
      </c>
      <c r="G1732" s="41" t="s">
        <v>141</v>
      </c>
      <c r="I1732" s="41" t="s">
        <v>338</v>
      </c>
      <c r="J1732" s="41" t="s">
        <v>32</v>
      </c>
      <c r="K1732" s="42"/>
      <c r="L1732" s="41" t="s">
        <v>5950</v>
      </c>
      <c r="M1732" s="41">
        <v>220</v>
      </c>
      <c r="N1732" s="41" t="s">
        <v>2432</v>
      </c>
      <c r="O1732" s="41" t="s">
        <v>2566</v>
      </c>
      <c r="P1732" s="41" t="s">
        <v>153</v>
      </c>
      <c r="Q1732" s="41" t="s">
        <v>153</v>
      </c>
      <c r="R1732" s="41" t="s">
        <v>62</v>
      </c>
      <c r="S1732" s="41" t="s">
        <v>5951</v>
      </c>
      <c r="T1732" s="41" t="s">
        <v>1500</v>
      </c>
      <c r="U1732" s="41" t="s">
        <v>40</v>
      </c>
    </row>
    <row r="1733" spans="1:21">
      <c r="A1733" s="41">
        <v>1070</v>
      </c>
      <c r="B1733" s="41" t="s">
        <v>5952</v>
      </c>
      <c r="D1733" s="41">
        <v>3116</v>
      </c>
      <c r="E1733" s="41" t="s">
        <v>1739</v>
      </c>
      <c r="F1733" s="41" t="s">
        <v>53</v>
      </c>
      <c r="G1733" s="41" t="s">
        <v>1071</v>
      </c>
      <c r="I1733" s="41" t="s">
        <v>1966</v>
      </c>
      <c r="J1733" s="41" t="s">
        <v>672</v>
      </c>
      <c r="K1733" s="42"/>
      <c r="L1733" s="41" t="s">
        <v>5953</v>
      </c>
      <c r="M1733" s="41">
        <v>12</v>
      </c>
      <c r="N1733" s="41" t="s">
        <v>5954</v>
      </c>
      <c r="O1733" s="41" t="s">
        <v>4895</v>
      </c>
      <c r="P1733" s="41" t="s">
        <v>68</v>
      </c>
      <c r="Q1733" s="41" t="s">
        <v>184</v>
      </c>
      <c r="R1733" s="41" t="s">
        <v>132</v>
      </c>
      <c r="S1733" s="41" t="s">
        <v>40</v>
      </c>
      <c r="T1733" s="41" t="s">
        <v>40</v>
      </c>
      <c r="U1733" s="41" t="s">
        <v>40</v>
      </c>
    </row>
    <row r="1734" spans="1:21">
      <c r="A1734" s="41">
        <v>1069</v>
      </c>
      <c r="B1734" s="41" t="s">
        <v>5955</v>
      </c>
      <c r="D1734" s="41">
        <v>3088</v>
      </c>
      <c r="E1734" s="41" t="s">
        <v>5956</v>
      </c>
      <c r="F1734" s="41" t="s">
        <v>28</v>
      </c>
      <c r="G1734" s="41" t="s">
        <v>64</v>
      </c>
      <c r="I1734" s="41" t="s">
        <v>1188</v>
      </c>
      <c r="J1734" s="41" t="s">
        <v>295</v>
      </c>
      <c r="K1734" s="42"/>
      <c r="L1734" s="41" t="s">
        <v>5957</v>
      </c>
      <c r="M1734" s="41">
        <v>220</v>
      </c>
      <c r="N1734" s="41" t="s">
        <v>1578</v>
      </c>
      <c r="O1734" s="41" t="s">
        <v>1578</v>
      </c>
      <c r="P1734" s="41" t="s">
        <v>78</v>
      </c>
      <c r="Q1734" s="41" t="s">
        <v>3094</v>
      </c>
      <c r="R1734" s="41" t="s">
        <v>39</v>
      </c>
      <c r="S1734" s="41" t="s">
        <v>40</v>
      </c>
      <c r="T1734" s="41" t="s">
        <v>40</v>
      </c>
      <c r="U1734" s="41" t="s">
        <v>40</v>
      </c>
    </row>
    <row r="1735" spans="1:21">
      <c r="A1735" s="41">
        <v>1068</v>
      </c>
      <c r="B1735" s="41" t="s">
        <v>5958</v>
      </c>
      <c r="E1735" s="41" t="s">
        <v>1739</v>
      </c>
      <c r="F1735" s="41" t="s">
        <v>53</v>
      </c>
      <c r="G1735" s="41" t="s">
        <v>1071</v>
      </c>
      <c r="I1735" s="41" t="s">
        <v>194</v>
      </c>
      <c r="J1735" s="41" t="s">
        <v>672</v>
      </c>
      <c r="K1735" s="42"/>
      <c r="L1735" s="41" t="s">
        <v>5959</v>
      </c>
      <c r="M1735" s="41">
        <v>15</v>
      </c>
      <c r="N1735" s="41" t="s">
        <v>1623</v>
      </c>
      <c r="O1735" s="41" t="s">
        <v>1261</v>
      </c>
      <c r="P1735" s="41" t="s">
        <v>37</v>
      </c>
      <c r="Q1735" s="41" t="s">
        <v>264</v>
      </c>
      <c r="R1735" s="41" t="s">
        <v>132</v>
      </c>
      <c r="S1735" s="41" t="s">
        <v>40</v>
      </c>
      <c r="T1735" s="41" t="s">
        <v>40</v>
      </c>
      <c r="U1735" s="41" t="s">
        <v>40</v>
      </c>
    </row>
    <row r="1736" spans="1:21">
      <c r="A1736" s="41">
        <v>1067</v>
      </c>
      <c r="B1736" s="41" t="s">
        <v>5960</v>
      </c>
      <c r="D1736" s="41">
        <v>3086</v>
      </c>
      <c r="E1736" s="41" t="s">
        <v>1286</v>
      </c>
      <c r="F1736" s="41" t="s">
        <v>53</v>
      </c>
      <c r="G1736" s="41" t="s">
        <v>760</v>
      </c>
      <c r="I1736" s="41" t="s">
        <v>102</v>
      </c>
      <c r="J1736" s="41" t="s">
        <v>32</v>
      </c>
      <c r="K1736" s="42"/>
      <c r="L1736" s="41" t="s">
        <v>5961</v>
      </c>
      <c r="M1736" s="41">
        <v>220</v>
      </c>
      <c r="N1736" s="41" t="s">
        <v>5962</v>
      </c>
      <c r="O1736" s="41" t="s">
        <v>5963</v>
      </c>
      <c r="P1736" s="41" t="s">
        <v>172</v>
      </c>
      <c r="Q1736" s="41" t="s">
        <v>432</v>
      </c>
      <c r="R1736" s="41" t="s">
        <v>62</v>
      </c>
      <c r="S1736" s="41" t="s">
        <v>40</v>
      </c>
      <c r="T1736" s="41" t="s">
        <v>40</v>
      </c>
      <c r="U1736" s="41" t="s">
        <v>40</v>
      </c>
    </row>
    <row r="1737" spans="1:21">
      <c r="A1737" s="41">
        <v>1066</v>
      </c>
      <c r="B1737" s="41" t="s">
        <v>5964</v>
      </c>
      <c r="D1737" s="41">
        <v>3085</v>
      </c>
      <c r="E1737" s="41" t="s">
        <v>5845</v>
      </c>
      <c r="F1737" s="41" t="s">
        <v>53</v>
      </c>
      <c r="G1737" s="41" t="s">
        <v>64</v>
      </c>
      <c r="I1737" s="41" t="s">
        <v>45</v>
      </c>
      <c r="J1737" s="41" t="s">
        <v>32</v>
      </c>
      <c r="K1737" s="42"/>
      <c r="L1737" s="41" t="s">
        <v>5965</v>
      </c>
      <c r="M1737" s="41">
        <v>110</v>
      </c>
      <c r="N1737" s="41" t="s">
        <v>67</v>
      </c>
      <c r="O1737" s="41" t="s">
        <v>5847</v>
      </c>
      <c r="P1737" s="41" t="s">
        <v>78</v>
      </c>
      <c r="Q1737" s="41" t="s">
        <v>5848</v>
      </c>
      <c r="R1737" s="41" t="s">
        <v>62</v>
      </c>
      <c r="S1737" s="41" t="s">
        <v>40</v>
      </c>
      <c r="T1737" s="41" t="s">
        <v>40</v>
      </c>
      <c r="U1737" s="41" t="s">
        <v>40</v>
      </c>
    </row>
    <row r="1738" spans="1:21">
      <c r="A1738" s="41">
        <v>1065</v>
      </c>
      <c r="B1738" s="41" t="s">
        <v>5966</v>
      </c>
      <c r="D1738" s="41">
        <v>3084</v>
      </c>
      <c r="E1738" s="41" t="s">
        <v>5194</v>
      </c>
      <c r="F1738" s="41" t="s">
        <v>53</v>
      </c>
      <c r="G1738" s="41" t="s">
        <v>188</v>
      </c>
      <c r="I1738" s="41" t="s">
        <v>392</v>
      </c>
      <c r="J1738" s="41" t="s">
        <v>32</v>
      </c>
      <c r="K1738" s="42"/>
      <c r="L1738" s="41" t="s">
        <v>5036</v>
      </c>
      <c r="M1738" s="41">
        <v>220</v>
      </c>
      <c r="N1738" s="41" t="s">
        <v>67</v>
      </c>
      <c r="O1738" s="41" t="s">
        <v>3045</v>
      </c>
      <c r="P1738" s="41" t="s">
        <v>172</v>
      </c>
      <c r="Q1738" s="41" t="s">
        <v>253</v>
      </c>
      <c r="R1738" s="41" t="s">
        <v>62</v>
      </c>
      <c r="S1738" s="41" t="s">
        <v>40</v>
      </c>
      <c r="T1738" s="41" t="s">
        <v>40</v>
      </c>
      <c r="U1738" s="41" t="s">
        <v>40</v>
      </c>
    </row>
    <row r="1739" spans="1:21">
      <c r="A1739" s="41">
        <v>1064</v>
      </c>
      <c r="B1739" s="41" t="s">
        <v>5967</v>
      </c>
      <c r="D1739" s="41">
        <v>3083</v>
      </c>
      <c r="E1739" s="41" t="s">
        <v>3737</v>
      </c>
      <c r="F1739" s="41" t="s">
        <v>53</v>
      </c>
      <c r="G1739" s="41" t="s">
        <v>307</v>
      </c>
      <c r="I1739" s="41" t="s">
        <v>464</v>
      </c>
      <c r="J1739" s="41" t="s">
        <v>295</v>
      </c>
      <c r="K1739" s="42"/>
      <c r="L1739" s="41" t="s">
        <v>3623</v>
      </c>
      <c r="M1739" s="41">
        <v>220</v>
      </c>
      <c r="N1739" s="41" t="s">
        <v>5968</v>
      </c>
      <c r="O1739" s="41" t="s">
        <v>5969</v>
      </c>
      <c r="P1739" s="41" t="s">
        <v>179</v>
      </c>
      <c r="Q1739" s="41" t="s">
        <v>284</v>
      </c>
      <c r="R1739" s="41" t="s">
        <v>62</v>
      </c>
      <c r="S1739" s="41" t="s">
        <v>5970</v>
      </c>
      <c r="T1739" s="41" t="s">
        <v>509</v>
      </c>
      <c r="U1739" s="41" t="s">
        <v>305</v>
      </c>
    </row>
    <row r="1740" spans="1:21">
      <c r="A1740" s="41">
        <v>1063</v>
      </c>
      <c r="B1740" s="41" t="s">
        <v>5971</v>
      </c>
      <c r="D1740" s="41">
        <v>3053</v>
      </c>
      <c r="E1740" s="41" t="s">
        <v>1286</v>
      </c>
      <c r="F1740" s="41" t="s">
        <v>28</v>
      </c>
      <c r="G1740" s="41" t="s">
        <v>301</v>
      </c>
      <c r="I1740" s="41" t="s">
        <v>5972</v>
      </c>
      <c r="J1740" s="41" t="s">
        <v>32</v>
      </c>
      <c r="K1740" s="42"/>
      <c r="L1740" s="41" t="s">
        <v>5973</v>
      </c>
      <c r="M1740" s="41">
        <v>220</v>
      </c>
      <c r="N1740" s="41" t="s">
        <v>59</v>
      </c>
      <c r="O1740" s="41" t="s">
        <v>1225</v>
      </c>
      <c r="P1740" s="41" t="s">
        <v>98</v>
      </c>
      <c r="Q1740" s="41" t="s">
        <v>98</v>
      </c>
      <c r="R1740" s="41" t="s">
        <v>39</v>
      </c>
      <c r="S1740" s="41" t="s">
        <v>5974</v>
      </c>
      <c r="T1740" s="41" t="s">
        <v>125</v>
      </c>
      <c r="U1740" s="41" t="s">
        <v>186</v>
      </c>
    </row>
    <row r="1741" spans="1:21">
      <c r="A1741" s="41">
        <v>1062</v>
      </c>
      <c r="B1741" s="41" t="s">
        <v>5975</v>
      </c>
      <c r="D1741" s="41">
        <v>3052</v>
      </c>
      <c r="E1741" s="41" t="s">
        <v>1739</v>
      </c>
      <c r="F1741" s="41" t="s">
        <v>53</v>
      </c>
      <c r="G1741" s="41" t="s">
        <v>64</v>
      </c>
      <c r="I1741" s="41" t="s">
        <v>1966</v>
      </c>
      <c r="J1741" s="41" t="s">
        <v>672</v>
      </c>
      <c r="K1741" s="42"/>
      <c r="L1741" s="41" t="s">
        <v>5976</v>
      </c>
      <c r="M1741" s="41">
        <v>12</v>
      </c>
      <c r="N1741" s="41" t="s">
        <v>1908</v>
      </c>
      <c r="O1741" s="41" t="s">
        <v>5977</v>
      </c>
      <c r="P1741" s="41" t="s">
        <v>68</v>
      </c>
      <c r="Q1741" s="41" t="s">
        <v>1750</v>
      </c>
      <c r="R1741" s="41" t="s">
        <v>132</v>
      </c>
      <c r="S1741" s="41" t="s">
        <v>40</v>
      </c>
      <c r="T1741" s="41" t="s">
        <v>40</v>
      </c>
      <c r="U1741" s="41" t="s">
        <v>40</v>
      </c>
    </row>
    <row r="1742" spans="1:21">
      <c r="A1742" s="41">
        <v>1061</v>
      </c>
      <c r="B1742" s="41" t="s">
        <v>5978</v>
      </c>
      <c r="E1742" s="41" t="s">
        <v>1739</v>
      </c>
      <c r="F1742" s="41" t="s">
        <v>53</v>
      </c>
      <c r="G1742" s="41" t="s">
        <v>1071</v>
      </c>
      <c r="I1742" s="41" t="s">
        <v>1966</v>
      </c>
      <c r="J1742" s="41" t="s">
        <v>672</v>
      </c>
      <c r="K1742" s="42"/>
      <c r="L1742" s="41" t="s">
        <v>5979</v>
      </c>
      <c r="M1742" s="41">
        <v>23</v>
      </c>
      <c r="N1742" s="41" t="s">
        <v>1908</v>
      </c>
      <c r="O1742" s="41" t="s">
        <v>3296</v>
      </c>
      <c r="P1742" s="41" t="s">
        <v>153</v>
      </c>
      <c r="Q1742" s="41" t="s">
        <v>2397</v>
      </c>
      <c r="R1742" s="41" t="s">
        <v>132</v>
      </c>
      <c r="S1742" s="41" t="s">
        <v>40</v>
      </c>
      <c r="T1742" s="41" t="s">
        <v>40</v>
      </c>
      <c r="U1742" s="41" t="s">
        <v>40</v>
      </c>
    </row>
    <row r="1743" spans="1:21">
      <c r="A1743" s="41">
        <v>1060</v>
      </c>
      <c r="B1743" s="41" t="s">
        <v>5980</v>
      </c>
      <c r="D1743" s="41">
        <v>3050</v>
      </c>
      <c r="E1743" s="41" t="s">
        <v>2426</v>
      </c>
      <c r="F1743" s="41" t="s">
        <v>53</v>
      </c>
      <c r="G1743" s="41" t="s">
        <v>64</v>
      </c>
      <c r="I1743" s="41" t="s">
        <v>56</v>
      </c>
      <c r="J1743" s="41" t="s">
        <v>295</v>
      </c>
      <c r="K1743" s="42"/>
      <c r="L1743" s="41" t="s">
        <v>5981</v>
      </c>
      <c r="M1743" s="41">
        <v>66</v>
      </c>
      <c r="N1743" s="41" t="s">
        <v>1333</v>
      </c>
      <c r="O1743" s="41" t="s">
        <v>5982</v>
      </c>
      <c r="P1743" s="41" t="s">
        <v>78</v>
      </c>
      <c r="Q1743" s="41" t="s">
        <v>1763</v>
      </c>
      <c r="R1743" s="41" t="s">
        <v>132</v>
      </c>
      <c r="S1743" s="41" t="s">
        <v>40</v>
      </c>
      <c r="T1743" s="41" t="s">
        <v>40</v>
      </c>
      <c r="U1743" s="41" t="s">
        <v>40</v>
      </c>
    </row>
    <row r="1744" spans="1:21">
      <c r="A1744" s="41">
        <v>1059</v>
      </c>
      <c r="B1744" s="41" t="s">
        <v>5983</v>
      </c>
      <c r="D1744" s="41">
        <v>3049</v>
      </c>
      <c r="E1744" s="41" t="s">
        <v>1836</v>
      </c>
      <c r="F1744" s="41" t="s">
        <v>28</v>
      </c>
      <c r="G1744" s="41" t="s">
        <v>43</v>
      </c>
      <c r="I1744" s="41" t="s">
        <v>231</v>
      </c>
      <c r="J1744" s="41" t="s">
        <v>295</v>
      </c>
      <c r="K1744" s="42"/>
      <c r="L1744" s="41" t="s">
        <v>5984</v>
      </c>
      <c r="M1744" s="41">
        <v>33</v>
      </c>
      <c r="N1744" s="41" t="s">
        <v>5985</v>
      </c>
      <c r="O1744" s="41" t="s">
        <v>77</v>
      </c>
      <c r="P1744" s="41" t="s">
        <v>78</v>
      </c>
      <c r="Q1744" s="41" t="s">
        <v>1295</v>
      </c>
      <c r="R1744" s="41" t="s">
        <v>39</v>
      </c>
      <c r="S1744" s="41" t="s">
        <v>40</v>
      </c>
      <c r="T1744" s="41" t="s">
        <v>40</v>
      </c>
      <c r="U1744" s="41" t="s">
        <v>40</v>
      </c>
    </row>
    <row r="1745" spans="1:21">
      <c r="A1745" s="41">
        <v>1058</v>
      </c>
      <c r="B1745" s="41" t="s">
        <v>5986</v>
      </c>
      <c r="D1745" s="41">
        <v>3047</v>
      </c>
      <c r="E1745" s="41" t="s">
        <v>3122</v>
      </c>
      <c r="F1745" s="41" t="s">
        <v>53</v>
      </c>
      <c r="G1745" s="41" t="s">
        <v>64</v>
      </c>
      <c r="I1745" s="41" t="s">
        <v>194</v>
      </c>
      <c r="J1745" s="41" t="s">
        <v>295</v>
      </c>
      <c r="K1745" s="42"/>
      <c r="L1745" s="41" t="s">
        <v>5987</v>
      </c>
      <c r="M1745" s="41">
        <v>44</v>
      </c>
      <c r="N1745" s="41" t="s">
        <v>1020</v>
      </c>
      <c r="O1745" s="41" t="s">
        <v>5988</v>
      </c>
      <c r="P1745" s="41" t="s">
        <v>78</v>
      </c>
      <c r="Q1745" s="41" t="s">
        <v>5212</v>
      </c>
      <c r="R1745" s="41" t="s">
        <v>132</v>
      </c>
      <c r="S1745" s="41" t="s">
        <v>40</v>
      </c>
      <c r="T1745" s="41" t="s">
        <v>40</v>
      </c>
      <c r="U1745" s="41" t="s">
        <v>40</v>
      </c>
    </row>
    <row r="1746" spans="1:21">
      <c r="A1746" s="41">
        <v>1057</v>
      </c>
      <c r="B1746" s="41" t="s">
        <v>5803</v>
      </c>
      <c r="E1746" s="41" t="s">
        <v>5393</v>
      </c>
      <c r="F1746" s="41" t="s">
        <v>28</v>
      </c>
      <c r="G1746" s="41" t="s">
        <v>64</v>
      </c>
      <c r="I1746" s="41" t="s">
        <v>1966</v>
      </c>
      <c r="J1746" s="41" t="s">
        <v>672</v>
      </c>
      <c r="K1746" s="42"/>
      <c r="L1746" s="41" t="s">
        <v>5989</v>
      </c>
      <c r="M1746" s="41">
        <v>23</v>
      </c>
      <c r="N1746" s="41" t="s">
        <v>5990</v>
      </c>
      <c r="O1746" s="41" t="s">
        <v>1940</v>
      </c>
      <c r="P1746" s="41" t="s">
        <v>68</v>
      </c>
      <c r="Q1746" s="41" t="s">
        <v>69</v>
      </c>
      <c r="R1746" s="41" t="s">
        <v>39</v>
      </c>
      <c r="S1746" s="41" t="s">
        <v>40</v>
      </c>
      <c r="T1746" s="41" t="s">
        <v>40</v>
      </c>
      <c r="U1746" s="41" t="s">
        <v>40</v>
      </c>
    </row>
    <row r="1747" spans="1:21">
      <c r="A1747" s="41">
        <v>1056</v>
      </c>
      <c r="B1747" s="41" t="s">
        <v>5991</v>
      </c>
      <c r="C1747" s="41">
        <v>1</v>
      </c>
      <c r="D1747" s="41">
        <v>3016</v>
      </c>
      <c r="E1747" s="41" t="s">
        <v>708</v>
      </c>
      <c r="F1747" s="41" t="s">
        <v>53</v>
      </c>
      <c r="G1747" s="41" t="s">
        <v>307</v>
      </c>
      <c r="H1747" s="42">
        <v>44489</v>
      </c>
      <c r="I1747" s="41">
        <v>40</v>
      </c>
      <c r="J1747" s="41" t="s">
        <v>672</v>
      </c>
      <c r="K1747" s="42">
        <v>45122</v>
      </c>
      <c r="L1747" s="41" t="s">
        <v>5799</v>
      </c>
      <c r="M1747" s="41">
        <v>110</v>
      </c>
      <c r="N1747" s="41" t="s">
        <v>712</v>
      </c>
      <c r="O1747" s="41" t="s">
        <v>77</v>
      </c>
      <c r="P1747" s="41" t="s">
        <v>68</v>
      </c>
      <c r="Q1747" s="41" t="s">
        <v>699</v>
      </c>
      <c r="R1747" s="41" t="s">
        <v>132</v>
      </c>
      <c r="S1747" s="41" t="s">
        <v>5992</v>
      </c>
      <c r="T1747" s="41" t="s">
        <v>3185</v>
      </c>
      <c r="U1747" s="41" t="s">
        <v>40</v>
      </c>
    </row>
    <row r="1748" spans="1:21">
      <c r="A1748" s="41">
        <v>1055</v>
      </c>
      <c r="B1748" s="41" t="s">
        <v>5993</v>
      </c>
      <c r="D1748" s="41">
        <v>3034</v>
      </c>
      <c r="E1748" s="41" t="s">
        <v>3379</v>
      </c>
      <c r="F1748" s="41" t="s">
        <v>28</v>
      </c>
      <c r="G1748" s="41" t="s">
        <v>64</v>
      </c>
      <c r="I1748" s="41" t="s">
        <v>194</v>
      </c>
      <c r="J1748" s="41" t="s">
        <v>295</v>
      </c>
      <c r="K1748" s="42"/>
      <c r="L1748" s="41" t="s">
        <v>5994</v>
      </c>
      <c r="M1748" s="41">
        <v>13</v>
      </c>
      <c r="N1748" s="41" t="s">
        <v>5995</v>
      </c>
      <c r="O1748" s="41" t="s">
        <v>36</v>
      </c>
      <c r="P1748" s="41" t="s">
        <v>60</v>
      </c>
      <c r="Q1748" s="41" t="s">
        <v>608</v>
      </c>
      <c r="R1748" s="41" t="s">
        <v>39</v>
      </c>
      <c r="S1748" s="41" t="s">
        <v>40</v>
      </c>
      <c r="T1748" s="41" t="s">
        <v>40</v>
      </c>
      <c r="U1748" s="41" t="s">
        <v>40</v>
      </c>
    </row>
    <row r="1749" spans="1:21">
      <c r="A1749" s="41">
        <v>1054</v>
      </c>
      <c r="B1749" s="41" t="s">
        <v>5996</v>
      </c>
      <c r="E1749" s="41" t="s">
        <v>5393</v>
      </c>
      <c r="F1749" s="41" t="s">
        <v>53</v>
      </c>
      <c r="G1749" s="41" t="s">
        <v>1071</v>
      </c>
      <c r="I1749" s="41" t="s">
        <v>3151</v>
      </c>
      <c r="J1749" s="41" t="s">
        <v>672</v>
      </c>
      <c r="K1749" s="42"/>
      <c r="L1749" s="41" t="s">
        <v>4919</v>
      </c>
      <c r="M1749" s="41">
        <v>23</v>
      </c>
      <c r="N1749" s="41" t="s">
        <v>5997</v>
      </c>
      <c r="O1749" s="41" t="s">
        <v>5998</v>
      </c>
      <c r="P1749" s="41" t="s">
        <v>68</v>
      </c>
      <c r="Q1749" s="41" t="s">
        <v>699</v>
      </c>
      <c r="R1749" s="41" t="s">
        <v>132</v>
      </c>
      <c r="S1749" s="41" t="s">
        <v>40</v>
      </c>
      <c r="T1749" s="41" t="s">
        <v>40</v>
      </c>
      <c r="U1749" s="41" t="s">
        <v>40</v>
      </c>
    </row>
    <row r="1750" spans="1:21">
      <c r="A1750" s="41">
        <v>1053</v>
      </c>
      <c r="B1750" s="41" t="s">
        <v>5999</v>
      </c>
      <c r="D1750" s="41">
        <v>3048</v>
      </c>
      <c r="E1750" s="41" t="s">
        <v>6000</v>
      </c>
      <c r="F1750" s="41" t="s">
        <v>28</v>
      </c>
      <c r="G1750" s="41" t="s">
        <v>301</v>
      </c>
      <c r="I1750" s="41" t="s">
        <v>1142</v>
      </c>
      <c r="J1750" s="41" t="s">
        <v>295</v>
      </c>
      <c r="K1750" s="42"/>
      <c r="L1750" s="41" t="s">
        <v>6001</v>
      </c>
      <c r="M1750" s="41">
        <v>6</v>
      </c>
      <c r="N1750" s="41" t="s">
        <v>67</v>
      </c>
      <c r="O1750" s="41" t="s">
        <v>6002</v>
      </c>
      <c r="P1750" s="41" t="s">
        <v>60</v>
      </c>
      <c r="Q1750" s="41" t="s">
        <v>472</v>
      </c>
      <c r="R1750" s="41" t="s">
        <v>39</v>
      </c>
      <c r="S1750" s="41" t="s">
        <v>40</v>
      </c>
      <c r="T1750" s="41" t="s">
        <v>693</v>
      </c>
      <c r="U1750" s="41" t="s">
        <v>40</v>
      </c>
    </row>
    <row r="1751" spans="1:21">
      <c r="A1751" s="41">
        <v>1052</v>
      </c>
      <c r="B1751" s="41" t="s">
        <v>6003</v>
      </c>
      <c r="D1751" s="41">
        <v>3005</v>
      </c>
      <c r="E1751" s="41" t="s">
        <v>3583</v>
      </c>
      <c r="F1751" s="41" t="s">
        <v>28</v>
      </c>
      <c r="G1751" s="41" t="s">
        <v>43</v>
      </c>
      <c r="I1751" s="41" t="s">
        <v>1443</v>
      </c>
      <c r="J1751" s="41" t="s">
        <v>295</v>
      </c>
      <c r="K1751" s="42"/>
      <c r="L1751" s="41" t="s">
        <v>3584</v>
      </c>
      <c r="M1751" s="41">
        <v>220</v>
      </c>
      <c r="N1751" s="41" t="s">
        <v>3585</v>
      </c>
      <c r="O1751" s="41" t="s">
        <v>6004</v>
      </c>
      <c r="P1751" s="41" t="s">
        <v>179</v>
      </c>
      <c r="Q1751" s="41" t="s">
        <v>1116</v>
      </c>
      <c r="R1751" s="41" t="s">
        <v>39</v>
      </c>
      <c r="S1751" s="41" t="s">
        <v>6005</v>
      </c>
      <c r="T1751" s="41" t="s">
        <v>40</v>
      </c>
      <c r="U1751" s="41" t="s">
        <v>40</v>
      </c>
    </row>
    <row r="1752" spans="1:21">
      <c r="A1752" s="41">
        <v>1051</v>
      </c>
      <c r="B1752" s="41" t="s">
        <v>2939</v>
      </c>
      <c r="D1752" s="41">
        <v>3018</v>
      </c>
      <c r="E1752" s="41" t="s">
        <v>6006</v>
      </c>
      <c r="F1752" s="41" t="s">
        <v>53</v>
      </c>
      <c r="G1752" s="41" t="s">
        <v>64</v>
      </c>
      <c r="I1752" s="41" t="s">
        <v>2580</v>
      </c>
      <c r="J1752" s="41" t="s">
        <v>380</v>
      </c>
      <c r="K1752" s="42"/>
      <c r="L1752" s="41" t="s">
        <v>103</v>
      </c>
      <c r="M1752" s="41">
        <v>220</v>
      </c>
      <c r="N1752" s="41" t="s">
        <v>805</v>
      </c>
      <c r="O1752" s="41" t="s">
        <v>77</v>
      </c>
      <c r="P1752" s="41" t="s">
        <v>98</v>
      </c>
      <c r="Q1752" s="41" t="s">
        <v>99</v>
      </c>
      <c r="R1752" s="41" t="s">
        <v>62</v>
      </c>
      <c r="S1752" s="41" t="s">
        <v>40</v>
      </c>
      <c r="T1752" s="41" t="s">
        <v>40</v>
      </c>
      <c r="U1752" s="41" t="s">
        <v>40</v>
      </c>
    </row>
    <row r="1753" spans="1:21">
      <c r="A1753" s="41">
        <v>1050</v>
      </c>
      <c r="B1753" s="41" t="s">
        <v>6007</v>
      </c>
      <c r="D1753" s="41">
        <v>3017</v>
      </c>
      <c r="E1753" s="41" t="s">
        <v>6008</v>
      </c>
      <c r="F1753" s="41" t="s">
        <v>28</v>
      </c>
      <c r="G1753" s="41" t="s">
        <v>64</v>
      </c>
      <c r="I1753" s="41" t="s">
        <v>973</v>
      </c>
      <c r="J1753" s="41" t="s">
        <v>295</v>
      </c>
      <c r="K1753" s="42"/>
      <c r="L1753" s="41" t="s">
        <v>6009</v>
      </c>
      <c r="M1753" s="41">
        <v>220</v>
      </c>
      <c r="N1753" s="41" t="s">
        <v>6010</v>
      </c>
      <c r="O1753" s="41" t="s">
        <v>36</v>
      </c>
      <c r="P1753" s="41" t="s">
        <v>78</v>
      </c>
      <c r="Q1753" s="41" t="s">
        <v>3094</v>
      </c>
      <c r="R1753" s="41" t="s">
        <v>39</v>
      </c>
      <c r="S1753" s="41" t="s">
        <v>40</v>
      </c>
      <c r="T1753" s="41" t="s">
        <v>40</v>
      </c>
      <c r="U1753" s="41" t="s">
        <v>40</v>
      </c>
    </row>
    <row r="1754" spans="1:21">
      <c r="A1754" s="41">
        <v>1049</v>
      </c>
      <c r="B1754" s="41" t="s">
        <v>707</v>
      </c>
      <c r="C1754" s="43">
        <v>1</v>
      </c>
      <c r="E1754" s="41" t="s">
        <v>708</v>
      </c>
      <c r="F1754" s="41" t="s">
        <v>53</v>
      </c>
      <c r="G1754" s="41" t="s">
        <v>43</v>
      </c>
      <c r="I1754" s="41" t="s">
        <v>399</v>
      </c>
      <c r="J1754" s="41" t="s">
        <v>672</v>
      </c>
      <c r="K1754" s="42"/>
      <c r="L1754" s="41" t="s">
        <v>711</v>
      </c>
      <c r="M1754" s="41">
        <v>110</v>
      </c>
      <c r="N1754" s="41" t="s">
        <v>712</v>
      </c>
      <c r="O1754" s="41" t="s">
        <v>713</v>
      </c>
      <c r="P1754" s="41" t="s">
        <v>68</v>
      </c>
      <c r="Q1754" s="41" t="s">
        <v>699</v>
      </c>
      <c r="R1754" s="41" t="s">
        <v>132</v>
      </c>
      <c r="S1754" s="41" t="s">
        <v>40</v>
      </c>
      <c r="T1754" s="41" t="s">
        <v>40</v>
      </c>
      <c r="U1754" s="41" t="s">
        <v>40</v>
      </c>
    </row>
    <row r="1755" spans="1:21">
      <c r="A1755" s="41">
        <v>1048</v>
      </c>
      <c r="B1755" s="41" t="s">
        <v>6011</v>
      </c>
      <c r="D1755" s="41">
        <v>3015</v>
      </c>
      <c r="E1755" s="41" t="s">
        <v>1227</v>
      </c>
      <c r="F1755" s="41" t="s">
        <v>53</v>
      </c>
      <c r="G1755" s="41" t="s">
        <v>760</v>
      </c>
      <c r="I1755" s="41" t="s">
        <v>325</v>
      </c>
      <c r="J1755" s="41" t="s">
        <v>32</v>
      </c>
      <c r="K1755" s="42"/>
      <c r="L1755" s="41" t="s">
        <v>5036</v>
      </c>
      <c r="M1755" s="41">
        <v>220</v>
      </c>
      <c r="N1755" s="41" t="s">
        <v>1335</v>
      </c>
      <c r="O1755" s="41" t="s">
        <v>794</v>
      </c>
      <c r="P1755" s="41" t="s">
        <v>172</v>
      </c>
      <c r="Q1755" s="41" t="s">
        <v>253</v>
      </c>
      <c r="R1755" s="41" t="s">
        <v>132</v>
      </c>
      <c r="S1755" s="41" t="s">
        <v>40</v>
      </c>
      <c r="T1755" s="41" t="s">
        <v>40</v>
      </c>
      <c r="U1755" s="41" t="s">
        <v>40</v>
      </c>
    </row>
    <row r="1756" spans="1:21">
      <c r="A1756" s="41">
        <v>1047</v>
      </c>
      <c r="B1756" s="41" t="s">
        <v>6012</v>
      </c>
      <c r="D1756" s="41">
        <v>3004</v>
      </c>
      <c r="E1756" s="41" t="s">
        <v>5637</v>
      </c>
      <c r="F1756" s="41" t="s">
        <v>28</v>
      </c>
      <c r="G1756" s="41" t="s">
        <v>64</v>
      </c>
      <c r="I1756" s="41" t="s">
        <v>5523</v>
      </c>
      <c r="J1756" s="41" t="s">
        <v>295</v>
      </c>
      <c r="K1756" s="42"/>
      <c r="L1756" s="41" t="s">
        <v>5762</v>
      </c>
      <c r="M1756" s="41">
        <v>220</v>
      </c>
      <c r="N1756" s="41" t="s">
        <v>3585</v>
      </c>
      <c r="O1756" s="41" t="s">
        <v>5763</v>
      </c>
      <c r="P1756" s="41" t="s">
        <v>179</v>
      </c>
      <c r="Q1756" s="41" t="s">
        <v>1116</v>
      </c>
      <c r="R1756" s="41" t="s">
        <v>39</v>
      </c>
      <c r="S1756" s="41" t="s">
        <v>40</v>
      </c>
      <c r="T1756" s="41" t="s">
        <v>40</v>
      </c>
      <c r="U1756" s="41" t="s">
        <v>40</v>
      </c>
    </row>
    <row r="1757" spans="1:21">
      <c r="A1757" s="41">
        <v>1046</v>
      </c>
      <c r="B1757" s="41" t="s">
        <v>6013</v>
      </c>
      <c r="D1757" s="41">
        <v>3003</v>
      </c>
      <c r="E1757" s="41" t="s">
        <v>4090</v>
      </c>
      <c r="F1757" s="41" t="s">
        <v>28</v>
      </c>
      <c r="G1757" s="41" t="s">
        <v>307</v>
      </c>
      <c r="I1757" s="41" t="s">
        <v>231</v>
      </c>
      <c r="J1757" s="41" t="s">
        <v>295</v>
      </c>
      <c r="K1757" s="42"/>
      <c r="L1757" s="41" t="s">
        <v>6014</v>
      </c>
      <c r="M1757" s="41">
        <v>110</v>
      </c>
      <c r="N1757" s="41" t="s">
        <v>4266</v>
      </c>
      <c r="O1757" s="41" t="s">
        <v>341</v>
      </c>
      <c r="P1757" s="41" t="s">
        <v>179</v>
      </c>
      <c r="Q1757" s="41" t="s">
        <v>284</v>
      </c>
      <c r="R1757" s="41" t="s">
        <v>39</v>
      </c>
      <c r="S1757" s="41" t="s">
        <v>40</v>
      </c>
      <c r="T1757" s="41" t="s">
        <v>40</v>
      </c>
      <c r="U1757" s="41" t="s">
        <v>40</v>
      </c>
    </row>
    <row r="1758" spans="1:21">
      <c r="A1758" s="41">
        <v>1045</v>
      </c>
      <c r="B1758" s="41" t="s">
        <v>6015</v>
      </c>
      <c r="D1758" s="41">
        <v>3002</v>
      </c>
      <c r="E1758" s="41" t="s">
        <v>6016</v>
      </c>
      <c r="F1758" s="41" t="s">
        <v>53</v>
      </c>
      <c r="G1758" s="41" t="s">
        <v>141</v>
      </c>
      <c r="I1758" s="41" t="s">
        <v>973</v>
      </c>
      <c r="J1758" s="41" t="s">
        <v>295</v>
      </c>
      <c r="K1758" s="42"/>
      <c r="L1758" s="41" t="s">
        <v>4039</v>
      </c>
      <c r="M1758" s="41">
        <v>220</v>
      </c>
      <c r="N1758" s="41" t="s">
        <v>805</v>
      </c>
      <c r="O1758" s="41" t="s">
        <v>77</v>
      </c>
      <c r="P1758" s="41" t="s">
        <v>78</v>
      </c>
      <c r="Q1758" s="41" t="s">
        <v>1139</v>
      </c>
      <c r="R1758" s="41" t="s">
        <v>62</v>
      </c>
      <c r="S1758" s="41" t="s">
        <v>6017</v>
      </c>
      <c r="T1758" s="41" t="s">
        <v>266</v>
      </c>
      <c r="U1758" s="41" t="s">
        <v>40</v>
      </c>
    </row>
    <row r="1759" spans="1:21">
      <c r="A1759" s="41">
        <v>1044</v>
      </c>
      <c r="B1759" s="41" t="s">
        <v>6018</v>
      </c>
      <c r="E1759" s="41" t="s">
        <v>5956</v>
      </c>
      <c r="F1759" s="41" t="s">
        <v>28</v>
      </c>
      <c r="G1759" s="41" t="s">
        <v>43</v>
      </c>
      <c r="I1759" s="41" t="s">
        <v>973</v>
      </c>
      <c r="J1759" s="41" t="s">
        <v>295</v>
      </c>
      <c r="K1759" s="42"/>
      <c r="L1759" s="41" t="s">
        <v>3785</v>
      </c>
      <c r="M1759" s="41">
        <v>220</v>
      </c>
      <c r="N1759" s="41" t="s">
        <v>1578</v>
      </c>
      <c r="O1759" s="41" t="s">
        <v>77</v>
      </c>
      <c r="P1759" s="41" t="s">
        <v>78</v>
      </c>
      <c r="Q1759" s="41" t="s">
        <v>3094</v>
      </c>
      <c r="R1759" s="41" t="s">
        <v>39</v>
      </c>
      <c r="S1759" s="41" t="s">
        <v>40</v>
      </c>
      <c r="T1759" s="41" t="s">
        <v>40</v>
      </c>
      <c r="U1759" s="41" t="s">
        <v>40</v>
      </c>
    </row>
    <row r="1760" spans="1:21">
      <c r="A1760" s="41">
        <v>1043</v>
      </c>
      <c r="B1760" s="41" t="s">
        <v>700</v>
      </c>
      <c r="C1760" s="43">
        <v>1</v>
      </c>
      <c r="D1760" s="41">
        <v>3000</v>
      </c>
      <c r="E1760" s="41" t="s">
        <v>686</v>
      </c>
      <c r="F1760" s="41" t="s">
        <v>28</v>
      </c>
      <c r="G1760" s="41" t="s">
        <v>64</v>
      </c>
      <c r="I1760" s="41" t="s">
        <v>411</v>
      </c>
      <c r="J1760" s="41" t="s">
        <v>672</v>
      </c>
      <c r="K1760" s="42"/>
      <c r="L1760" s="41" t="s">
        <v>703</v>
      </c>
      <c r="M1760" s="41">
        <v>220</v>
      </c>
      <c r="N1760" s="41" t="s">
        <v>704</v>
      </c>
      <c r="O1760" s="41" t="s">
        <v>698</v>
      </c>
      <c r="P1760" s="41" t="s">
        <v>68</v>
      </c>
      <c r="Q1760" s="41" t="s">
        <v>677</v>
      </c>
      <c r="R1760" s="41" t="s">
        <v>39</v>
      </c>
      <c r="S1760" s="41" t="s">
        <v>705</v>
      </c>
      <c r="T1760" s="41" t="s">
        <v>706</v>
      </c>
      <c r="U1760" s="41" t="s">
        <v>40</v>
      </c>
    </row>
    <row r="1761" spans="1:21">
      <c r="A1761" s="41">
        <v>1042</v>
      </c>
      <c r="B1761" s="41" t="s">
        <v>6019</v>
      </c>
      <c r="D1761" s="41">
        <v>2978</v>
      </c>
      <c r="E1761" s="41" t="s">
        <v>2021</v>
      </c>
      <c r="F1761" s="41" t="s">
        <v>53</v>
      </c>
      <c r="G1761" s="41" t="s">
        <v>141</v>
      </c>
      <c r="I1761" s="41" t="s">
        <v>162</v>
      </c>
      <c r="J1761" s="41" t="s">
        <v>295</v>
      </c>
      <c r="K1761" s="42"/>
      <c r="L1761" s="41" t="s">
        <v>3793</v>
      </c>
      <c r="M1761" s="41">
        <v>220</v>
      </c>
      <c r="N1761" s="41" t="s">
        <v>6020</v>
      </c>
      <c r="O1761" s="41" t="s">
        <v>1294</v>
      </c>
      <c r="P1761" s="41" t="s">
        <v>98</v>
      </c>
      <c r="Q1761" s="41" t="s">
        <v>116</v>
      </c>
      <c r="R1761" s="41" t="s">
        <v>62</v>
      </c>
      <c r="S1761" s="41" t="s">
        <v>6021</v>
      </c>
      <c r="T1761" s="41" t="s">
        <v>1449</v>
      </c>
      <c r="U1761" s="41" t="s">
        <v>1449</v>
      </c>
    </row>
    <row r="1762" spans="1:21">
      <c r="A1762" s="41">
        <v>1041</v>
      </c>
      <c r="B1762" s="41" t="s">
        <v>6022</v>
      </c>
      <c r="D1762" s="41">
        <v>2986</v>
      </c>
      <c r="E1762" s="41" t="s">
        <v>6023</v>
      </c>
      <c r="F1762" s="41" t="s">
        <v>53</v>
      </c>
      <c r="G1762" s="41" t="s">
        <v>127</v>
      </c>
      <c r="I1762" s="41" t="s">
        <v>6024</v>
      </c>
      <c r="J1762" s="41" t="s">
        <v>295</v>
      </c>
      <c r="K1762" s="42"/>
      <c r="L1762" s="41" t="s">
        <v>3867</v>
      </c>
      <c r="M1762" s="41">
        <v>220</v>
      </c>
      <c r="N1762" s="41" t="s">
        <v>1623</v>
      </c>
      <c r="O1762" s="41" t="s">
        <v>1045</v>
      </c>
      <c r="P1762" s="41" t="s">
        <v>60</v>
      </c>
      <c r="Q1762" s="41" t="s">
        <v>6025</v>
      </c>
      <c r="R1762" s="41" t="s">
        <v>132</v>
      </c>
      <c r="S1762" s="41" t="s">
        <v>40</v>
      </c>
      <c r="T1762" s="41" t="s">
        <v>40</v>
      </c>
      <c r="U1762" s="41" t="s">
        <v>40</v>
      </c>
    </row>
    <row r="1763" spans="1:21">
      <c r="A1763" s="41">
        <v>1040</v>
      </c>
      <c r="B1763" s="41" t="s">
        <v>6026</v>
      </c>
      <c r="D1763" s="41">
        <v>2985</v>
      </c>
      <c r="E1763" s="41" t="s">
        <v>1395</v>
      </c>
      <c r="F1763" s="41" t="s">
        <v>28</v>
      </c>
      <c r="G1763" s="41" t="s">
        <v>64</v>
      </c>
      <c r="I1763" s="41" t="s">
        <v>5043</v>
      </c>
      <c r="J1763" s="41" t="s">
        <v>295</v>
      </c>
      <c r="K1763" s="42"/>
      <c r="L1763" s="41" t="s">
        <v>6027</v>
      </c>
      <c r="M1763" s="41">
        <v>220</v>
      </c>
      <c r="N1763" s="41" t="s">
        <v>1052</v>
      </c>
      <c r="O1763" s="41" t="s">
        <v>1578</v>
      </c>
      <c r="P1763" s="41" t="s">
        <v>98</v>
      </c>
      <c r="Q1763" s="41" t="s">
        <v>116</v>
      </c>
      <c r="R1763" s="41" t="s">
        <v>39</v>
      </c>
      <c r="S1763" s="41" t="s">
        <v>40</v>
      </c>
      <c r="T1763" s="41" t="s">
        <v>40</v>
      </c>
      <c r="U1763" s="41" t="s">
        <v>40</v>
      </c>
    </row>
    <row r="1764" spans="1:21">
      <c r="A1764" s="41">
        <v>1039</v>
      </c>
      <c r="B1764" s="41" t="s">
        <v>364</v>
      </c>
      <c r="D1764" s="41">
        <v>2984</v>
      </c>
      <c r="E1764" s="41" t="s">
        <v>27</v>
      </c>
      <c r="F1764" s="41" t="s">
        <v>28</v>
      </c>
      <c r="G1764" s="41" t="s">
        <v>64</v>
      </c>
      <c r="I1764" s="41" t="s">
        <v>366</v>
      </c>
      <c r="J1764" s="41" t="s">
        <v>295</v>
      </c>
      <c r="K1764" s="42"/>
      <c r="L1764" s="41" t="s">
        <v>368</v>
      </c>
      <c r="M1764" s="41">
        <v>110</v>
      </c>
      <c r="N1764" s="41" t="s">
        <v>369</v>
      </c>
      <c r="O1764" s="41" t="s">
        <v>369</v>
      </c>
      <c r="P1764" s="41" t="s">
        <v>98</v>
      </c>
      <c r="Q1764" s="41" t="s">
        <v>370</v>
      </c>
      <c r="R1764" s="41" t="s">
        <v>39</v>
      </c>
      <c r="S1764" s="41" t="s">
        <v>40</v>
      </c>
      <c r="T1764" s="41" t="s">
        <v>40</v>
      </c>
      <c r="U1764" s="41" t="s">
        <v>40</v>
      </c>
    </row>
    <row r="1765" spans="1:21">
      <c r="A1765" s="41">
        <v>1038</v>
      </c>
      <c r="B1765" s="41" t="s">
        <v>6028</v>
      </c>
      <c r="D1765" s="41">
        <v>2983</v>
      </c>
      <c r="E1765" s="41" t="s">
        <v>6029</v>
      </c>
      <c r="F1765" s="41" t="s">
        <v>28</v>
      </c>
      <c r="G1765" s="41" t="s">
        <v>307</v>
      </c>
      <c r="I1765" s="41" t="s">
        <v>194</v>
      </c>
      <c r="J1765" s="41" t="s">
        <v>295</v>
      </c>
      <c r="K1765" s="42"/>
      <c r="L1765" s="41" t="s">
        <v>1508</v>
      </c>
      <c r="M1765" s="41">
        <v>23</v>
      </c>
      <c r="N1765" s="41" t="s">
        <v>59</v>
      </c>
      <c r="O1765" s="41" t="s">
        <v>36</v>
      </c>
      <c r="P1765" s="41" t="s">
        <v>68</v>
      </c>
      <c r="Q1765" s="41" t="s">
        <v>91</v>
      </c>
      <c r="R1765" s="41" t="s">
        <v>39</v>
      </c>
      <c r="S1765" s="41" t="s">
        <v>40</v>
      </c>
      <c r="T1765" s="41" t="s">
        <v>40</v>
      </c>
      <c r="U1765" s="41" t="s">
        <v>40</v>
      </c>
    </row>
    <row r="1766" spans="1:21">
      <c r="A1766" s="41">
        <v>1037</v>
      </c>
      <c r="B1766" s="41" t="s">
        <v>6030</v>
      </c>
      <c r="D1766" s="41">
        <v>2982</v>
      </c>
      <c r="E1766" s="41" t="s">
        <v>5284</v>
      </c>
      <c r="F1766" s="41" t="s">
        <v>28</v>
      </c>
      <c r="G1766" s="41" t="s">
        <v>64</v>
      </c>
      <c r="I1766" s="41" t="s">
        <v>194</v>
      </c>
      <c r="J1766" s="41" t="s">
        <v>295</v>
      </c>
      <c r="K1766" s="42"/>
      <c r="L1766" s="41" t="s">
        <v>6031</v>
      </c>
      <c r="M1766" s="41">
        <v>13</v>
      </c>
      <c r="N1766" s="41" t="s">
        <v>67</v>
      </c>
      <c r="O1766" s="41" t="s">
        <v>4827</v>
      </c>
      <c r="P1766" s="41" t="s">
        <v>153</v>
      </c>
      <c r="Q1766" s="41" t="s">
        <v>2224</v>
      </c>
      <c r="R1766" s="41" t="s">
        <v>39</v>
      </c>
      <c r="S1766" s="41" t="s">
        <v>40</v>
      </c>
      <c r="T1766" s="41" t="s">
        <v>40</v>
      </c>
      <c r="U1766" s="41" t="s">
        <v>40</v>
      </c>
    </row>
    <row r="1767" spans="1:21">
      <c r="A1767" s="41">
        <v>1036</v>
      </c>
      <c r="B1767" s="41" t="s">
        <v>6032</v>
      </c>
      <c r="D1767" s="41">
        <v>2981</v>
      </c>
      <c r="E1767" s="41" t="s">
        <v>5284</v>
      </c>
      <c r="F1767" s="41" t="s">
        <v>28</v>
      </c>
      <c r="G1767" s="41" t="s">
        <v>64</v>
      </c>
      <c r="I1767" s="41" t="s">
        <v>194</v>
      </c>
      <c r="J1767" s="41" t="s">
        <v>295</v>
      </c>
      <c r="K1767" s="42"/>
      <c r="L1767" s="41" t="s">
        <v>6031</v>
      </c>
      <c r="M1767" s="41">
        <v>13</v>
      </c>
      <c r="N1767" s="41" t="s">
        <v>59</v>
      </c>
      <c r="O1767" s="41" t="s">
        <v>5871</v>
      </c>
      <c r="P1767" s="41" t="s">
        <v>153</v>
      </c>
      <c r="Q1767" s="41" t="s">
        <v>2224</v>
      </c>
      <c r="R1767" s="41" t="s">
        <v>39</v>
      </c>
      <c r="S1767" s="41" t="s">
        <v>40</v>
      </c>
      <c r="T1767" s="41" t="s">
        <v>40</v>
      </c>
      <c r="U1767" s="41" t="s">
        <v>40</v>
      </c>
    </row>
    <row r="1768" spans="1:21">
      <c r="A1768" s="41">
        <v>1035</v>
      </c>
      <c r="B1768" s="41" t="s">
        <v>6033</v>
      </c>
      <c r="D1768" s="41">
        <v>2980</v>
      </c>
      <c r="E1768" s="41" t="s">
        <v>1227</v>
      </c>
      <c r="F1768" s="41" t="s">
        <v>53</v>
      </c>
      <c r="G1768" s="41" t="s">
        <v>141</v>
      </c>
      <c r="I1768" s="41" t="s">
        <v>45</v>
      </c>
      <c r="J1768" s="41" t="s">
        <v>380</v>
      </c>
      <c r="K1768" s="42"/>
      <c r="L1768" s="41" t="s">
        <v>3038</v>
      </c>
      <c r="M1768" s="41">
        <v>220</v>
      </c>
      <c r="N1768" s="41" t="s">
        <v>697</v>
      </c>
      <c r="O1768" s="41" t="s">
        <v>1615</v>
      </c>
      <c r="P1768" s="41" t="s">
        <v>37</v>
      </c>
      <c r="Q1768" s="41" t="s">
        <v>969</v>
      </c>
      <c r="R1768" s="41" t="s">
        <v>62</v>
      </c>
      <c r="S1768" s="41" t="s">
        <v>6034</v>
      </c>
      <c r="T1768" s="41" t="s">
        <v>753</v>
      </c>
      <c r="U1768" s="41" t="s">
        <v>1289</v>
      </c>
    </row>
    <row r="1769" spans="1:21">
      <c r="A1769" s="41">
        <v>1034</v>
      </c>
      <c r="B1769" s="41" t="s">
        <v>6035</v>
      </c>
      <c r="E1769" s="41" t="s">
        <v>1739</v>
      </c>
      <c r="F1769" s="41" t="s">
        <v>53</v>
      </c>
      <c r="G1769" s="41" t="s">
        <v>1071</v>
      </c>
      <c r="I1769" s="41" t="s">
        <v>475</v>
      </c>
      <c r="J1769" s="41" t="s">
        <v>672</v>
      </c>
      <c r="K1769" s="42"/>
      <c r="L1769" s="41" t="s">
        <v>6036</v>
      </c>
      <c r="M1769" s="41">
        <v>13</v>
      </c>
      <c r="N1769" s="41" t="s">
        <v>395</v>
      </c>
      <c r="O1769" s="41" t="s">
        <v>6037</v>
      </c>
      <c r="P1769" s="41" t="s">
        <v>50</v>
      </c>
      <c r="Q1769" s="41" t="s">
        <v>3801</v>
      </c>
      <c r="R1769" s="41" t="s">
        <v>132</v>
      </c>
      <c r="S1769" s="41" t="s">
        <v>40</v>
      </c>
      <c r="T1769" s="41" t="s">
        <v>40</v>
      </c>
      <c r="U1769" s="41" t="s">
        <v>40</v>
      </c>
    </row>
    <row r="1770" spans="1:21">
      <c r="A1770" s="41">
        <v>1033</v>
      </c>
      <c r="B1770" s="41" t="s">
        <v>6038</v>
      </c>
      <c r="D1770" s="41">
        <v>2965</v>
      </c>
      <c r="E1770" s="41" t="s">
        <v>6039</v>
      </c>
      <c r="F1770" s="41" t="s">
        <v>53</v>
      </c>
      <c r="G1770" s="41" t="s">
        <v>43</v>
      </c>
      <c r="I1770" s="41" t="s">
        <v>464</v>
      </c>
      <c r="J1770" s="41" t="s">
        <v>295</v>
      </c>
      <c r="K1770" s="42"/>
      <c r="L1770" s="41" t="s">
        <v>6040</v>
      </c>
      <c r="M1770" s="41">
        <v>110</v>
      </c>
      <c r="N1770" s="41" t="s">
        <v>6041</v>
      </c>
      <c r="O1770" s="41" t="s">
        <v>178</v>
      </c>
      <c r="P1770" s="41" t="s">
        <v>153</v>
      </c>
      <c r="Q1770" s="41" t="s">
        <v>2397</v>
      </c>
      <c r="R1770" s="41" t="s">
        <v>132</v>
      </c>
      <c r="S1770" s="41" t="s">
        <v>6042</v>
      </c>
      <c r="T1770" s="41" t="s">
        <v>4640</v>
      </c>
      <c r="U1770" s="41" t="s">
        <v>1699</v>
      </c>
    </row>
    <row r="1771" spans="1:21">
      <c r="A1771" s="41">
        <v>1032</v>
      </c>
      <c r="B1771" s="41" t="s">
        <v>371</v>
      </c>
      <c r="D1771" s="41">
        <v>2964</v>
      </c>
      <c r="E1771" s="41" t="s">
        <v>27</v>
      </c>
      <c r="F1771" s="41" t="s">
        <v>53</v>
      </c>
      <c r="G1771" s="41" t="s">
        <v>64</v>
      </c>
      <c r="I1771" s="41" t="s">
        <v>231</v>
      </c>
      <c r="J1771" s="41" t="s">
        <v>295</v>
      </c>
      <c r="K1771" s="42"/>
      <c r="L1771" s="41" t="s">
        <v>374</v>
      </c>
      <c r="M1771" s="41">
        <v>66</v>
      </c>
      <c r="N1771" s="41" t="s">
        <v>375</v>
      </c>
      <c r="O1771" s="41" t="s">
        <v>376</v>
      </c>
      <c r="P1771" s="41" t="s">
        <v>334</v>
      </c>
      <c r="Q1771" s="41" t="s">
        <v>335</v>
      </c>
      <c r="R1771" s="41" t="s">
        <v>132</v>
      </c>
      <c r="S1771" s="41" t="s">
        <v>377</v>
      </c>
      <c r="T1771" s="41" t="s">
        <v>322</v>
      </c>
      <c r="U1771" s="41" t="s">
        <v>40</v>
      </c>
    </row>
    <row r="1772" spans="1:21">
      <c r="A1772" s="41">
        <v>1031</v>
      </c>
      <c r="B1772" s="41" t="s">
        <v>6043</v>
      </c>
      <c r="D1772" s="41">
        <v>2963</v>
      </c>
      <c r="E1772" s="41" t="s">
        <v>1286</v>
      </c>
      <c r="F1772" s="41" t="s">
        <v>53</v>
      </c>
      <c r="G1772" s="41" t="s">
        <v>141</v>
      </c>
      <c r="I1772" s="41" t="s">
        <v>4863</v>
      </c>
      <c r="J1772" s="41" t="s">
        <v>295</v>
      </c>
      <c r="K1772" s="42"/>
      <c r="L1772" s="41" t="s">
        <v>6044</v>
      </c>
      <c r="M1772" s="41">
        <v>220</v>
      </c>
      <c r="N1772" s="41" t="s">
        <v>5962</v>
      </c>
      <c r="O1772" s="41" t="s">
        <v>6045</v>
      </c>
      <c r="P1772" s="41" t="s">
        <v>546</v>
      </c>
      <c r="Q1772" s="41" t="s">
        <v>547</v>
      </c>
      <c r="R1772" s="41" t="s">
        <v>62</v>
      </c>
      <c r="S1772" s="41" t="s">
        <v>6046</v>
      </c>
      <c r="T1772" s="41" t="s">
        <v>2145</v>
      </c>
      <c r="U1772" s="41" t="s">
        <v>40</v>
      </c>
    </row>
    <row r="1773" spans="1:21">
      <c r="A1773" s="41">
        <v>1030</v>
      </c>
      <c r="B1773" s="41" t="s">
        <v>6047</v>
      </c>
      <c r="D1773" s="41">
        <v>2962</v>
      </c>
      <c r="E1773" s="41" t="s">
        <v>1136</v>
      </c>
      <c r="F1773" s="41" t="s">
        <v>53</v>
      </c>
      <c r="G1773" s="41" t="s">
        <v>64</v>
      </c>
      <c r="I1773" s="41" t="s">
        <v>201</v>
      </c>
      <c r="J1773" s="41" t="s">
        <v>380</v>
      </c>
      <c r="K1773" s="42"/>
      <c r="L1773" s="41" t="s">
        <v>5026</v>
      </c>
      <c r="M1773" s="41">
        <v>220</v>
      </c>
      <c r="N1773" s="41" t="s">
        <v>67</v>
      </c>
      <c r="O1773" s="41" t="s">
        <v>757</v>
      </c>
      <c r="P1773" s="41" t="s">
        <v>60</v>
      </c>
      <c r="Q1773" s="41" t="s">
        <v>419</v>
      </c>
      <c r="R1773" s="41" t="s">
        <v>132</v>
      </c>
      <c r="S1773" s="41" t="s">
        <v>40</v>
      </c>
      <c r="T1773" s="41" t="s">
        <v>40</v>
      </c>
      <c r="U1773" s="41" t="s">
        <v>40</v>
      </c>
    </row>
    <row r="1774" spans="1:21">
      <c r="A1774" s="41">
        <v>1029</v>
      </c>
      <c r="B1774" s="41" t="s">
        <v>6048</v>
      </c>
      <c r="E1774" s="41" t="s">
        <v>6049</v>
      </c>
      <c r="F1774" s="41" t="s">
        <v>53</v>
      </c>
      <c r="G1774" s="41" t="s">
        <v>64</v>
      </c>
      <c r="I1774" s="41" t="s">
        <v>4690</v>
      </c>
      <c r="J1774" s="41" t="s">
        <v>32</v>
      </c>
      <c r="K1774" s="42"/>
      <c r="L1774" s="41" t="s">
        <v>6050</v>
      </c>
      <c r="M1774" s="41">
        <v>220</v>
      </c>
      <c r="N1774" s="41" t="s">
        <v>6051</v>
      </c>
      <c r="O1774" s="41" t="s">
        <v>6052</v>
      </c>
      <c r="P1774" s="41" t="s">
        <v>68</v>
      </c>
      <c r="Q1774" s="41" t="s">
        <v>69</v>
      </c>
      <c r="R1774" s="41" t="s">
        <v>62</v>
      </c>
      <c r="S1774" s="41" t="s">
        <v>40</v>
      </c>
      <c r="T1774" s="41" t="s">
        <v>40</v>
      </c>
      <c r="U1774" s="41" t="s">
        <v>40</v>
      </c>
    </row>
    <row r="1775" spans="1:21">
      <c r="A1775" s="41">
        <v>1028</v>
      </c>
      <c r="B1775" s="41" t="s">
        <v>6053</v>
      </c>
      <c r="D1775" s="41">
        <v>2959</v>
      </c>
      <c r="E1775" s="41" t="s">
        <v>6054</v>
      </c>
      <c r="F1775" s="41" t="s">
        <v>28</v>
      </c>
      <c r="G1775" s="41" t="s">
        <v>301</v>
      </c>
      <c r="I1775" s="41" t="s">
        <v>149</v>
      </c>
      <c r="J1775" s="41" t="s">
        <v>672</v>
      </c>
      <c r="K1775" s="42"/>
      <c r="L1775" s="41" t="s">
        <v>6055</v>
      </c>
      <c r="M1775" s="41">
        <v>110</v>
      </c>
      <c r="N1775" s="41" t="s">
        <v>67</v>
      </c>
      <c r="O1775" s="41" t="s">
        <v>97</v>
      </c>
      <c r="P1775" s="41" t="s">
        <v>98</v>
      </c>
      <c r="Q1775" s="41" t="s">
        <v>98</v>
      </c>
      <c r="R1775" s="41" t="s">
        <v>39</v>
      </c>
      <c r="S1775" s="41" t="s">
        <v>40</v>
      </c>
      <c r="T1775" s="41" t="s">
        <v>693</v>
      </c>
      <c r="U1775" s="41" t="s">
        <v>3185</v>
      </c>
    </row>
    <row r="1776" spans="1:21">
      <c r="A1776" s="41">
        <v>1027</v>
      </c>
      <c r="B1776" s="41" t="s">
        <v>6053</v>
      </c>
      <c r="E1776" s="41" t="s">
        <v>6054</v>
      </c>
      <c r="F1776" s="41" t="s">
        <v>28</v>
      </c>
      <c r="G1776" s="41" t="s">
        <v>43</v>
      </c>
      <c r="I1776" s="41" t="s">
        <v>149</v>
      </c>
      <c r="J1776" s="41" t="s">
        <v>672</v>
      </c>
      <c r="K1776" s="42"/>
      <c r="L1776" s="41" t="s">
        <v>6056</v>
      </c>
      <c r="M1776" s="41">
        <v>110</v>
      </c>
      <c r="N1776" s="41" t="s">
        <v>67</v>
      </c>
      <c r="O1776" s="41" t="s">
        <v>97</v>
      </c>
      <c r="P1776" s="41" t="s">
        <v>98</v>
      </c>
      <c r="Q1776" s="41" t="s">
        <v>98</v>
      </c>
      <c r="R1776" s="41" t="s">
        <v>39</v>
      </c>
      <c r="S1776" s="41" t="s">
        <v>40</v>
      </c>
      <c r="T1776" s="41" t="s">
        <v>40</v>
      </c>
      <c r="U1776" s="41" t="s">
        <v>40</v>
      </c>
    </row>
    <row r="1777" spans="1:21">
      <c r="A1777" s="41">
        <v>1026</v>
      </c>
      <c r="B1777" s="41" t="s">
        <v>6057</v>
      </c>
      <c r="D1777" s="41">
        <v>2948</v>
      </c>
      <c r="E1777" s="41" t="s">
        <v>5393</v>
      </c>
      <c r="F1777" s="41" t="s">
        <v>53</v>
      </c>
      <c r="G1777" s="41" t="s">
        <v>1071</v>
      </c>
      <c r="I1777" s="41" t="s">
        <v>6058</v>
      </c>
      <c r="J1777" s="41" t="s">
        <v>672</v>
      </c>
      <c r="K1777" s="42"/>
      <c r="L1777" s="41" t="s">
        <v>3267</v>
      </c>
      <c r="M1777" s="41">
        <v>12</v>
      </c>
      <c r="N1777" s="41" t="s">
        <v>6059</v>
      </c>
      <c r="O1777" s="41" t="s">
        <v>3250</v>
      </c>
      <c r="P1777" s="41" t="s">
        <v>68</v>
      </c>
      <c r="Q1777" s="41" t="s">
        <v>3269</v>
      </c>
      <c r="R1777" s="41" t="s">
        <v>132</v>
      </c>
      <c r="S1777" s="41" t="s">
        <v>40</v>
      </c>
      <c r="T1777" s="41" t="s">
        <v>40</v>
      </c>
      <c r="U1777" s="41" t="s">
        <v>40</v>
      </c>
    </row>
    <row r="1778" spans="1:21">
      <c r="A1778" s="41">
        <v>1024</v>
      </c>
      <c r="B1778" s="41" t="s">
        <v>6060</v>
      </c>
      <c r="D1778" s="41">
        <v>2331</v>
      </c>
      <c r="E1778" s="41" t="s">
        <v>5007</v>
      </c>
      <c r="F1778" s="41" t="s">
        <v>28</v>
      </c>
      <c r="G1778" s="41" t="s">
        <v>43</v>
      </c>
      <c r="I1778" s="41" t="s">
        <v>2649</v>
      </c>
      <c r="J1778" s="41" t="s">
        <v>380</v>
      </c>
      <c r="K1778" s="42"/>
      <c r="L1778" s="41" t="s">
        <v>6061</v>
      </c>
      <c r="M1778" s="41">
        <v>220</v>
      </c>
      <c r="N1778" s="41" t="s">
        <v>6062</v>
      </c>
      <c r="O1778" s="41" t="s">
        <v>138</v>
      </c>
      <c r="P1778" s="41" t="s">
        <v>153</v>
      </c>
      <c r="Q1778" s="41" t="s">
        <v>329</v>
      </c>
      <c r="R1778" s="41" t="s">
        <v>39</v>
      </c>
      <c r="S1778" s="41" t="s">
        <v>40</v>
      </c>
      <c r="T1778" s="41" t="s">
        <v>40</v>
      </c>
      <c r="U1778" s="41" t="s">
        <v>40</v>
      </c>
    </row>
    <row r="1779" spans="1:21">
      <c r="A1779" s="41">
        <v>1023</v>
      </c>
      <c r="B1779" s="41" t="s">
        <v>6063</v>
      </c>
      <c r="C1779" s="41">
        <v>1</v>
      </c>
      <c r="D1779" s="41">
        <v>2829</v>
      </c>
      <c r="E1779" s="41" t="s">
        <v>715</v>
      </c>
      <c r="F1779" s="41" t="s">
        <v>53</v>
      </c>
      <c r="G1779" s="41" t="s">
        <v>307</v>
      </c>
      <c r="H1779" s="42">
        <v>44425</v>
      </c>
      <c r="I1779" s="41">
        <v>200</v>
      </c>
      <c r="J1779" s="41" t="s">
        <v>672</v>
      </c>
      <c r="K1779" s="42">
        <v>44985</v>
      </c>
      <c r="L1779" s="41" t="s">
        <v>674</v>
      </c>
      <c r="M1779" s="41">
        <v>220</v>
      </c>
      <c r="N1779" s="41" t="s">
        <v>6064</v>
      </c>
      <c r="O1779" s="41" t="s">
        <v>6065</v>
      </c>
      <c r="P1779" s="41" t="s">
        <v>68</v>
      </c>
      <c r="Q1779" s="41" t="s">
        <v>677</v>
      </c>
      <c r="R1779" s="41" t="s">
        <v>62</v>
      </c>
      <c r="S1779" s="41" t="s">
        <v>6066</v>
      </c>
      <c r="T1779" s="41" t="s">
        <v>5421</v>
      </c>
      <c r="U1779" s="41" t="s">
        <v>770</v>
      </c>
    </row>
    <row r="1780" spans="1:21">
      <c r="A1780" s="41">
        <v>1022</v>
      </c>
      <c r="B1780" s="41" t="s">
        <v>6067</v>
      </c>
      <c r="D1780" s="41">
        <v>2828</v>
      </c>
      <c r="E1780" s="41" t="s">
        <v>5393</v>
      </c>
      <c r="F1780" s="41" t="s">
        <v>53</v>
      </c>
      <c r="G1780" s="41" t="s">
        <v>1071</v>
      </c>
      <c r="I1780" s="41" t="s">
        <v>3151</v>
      </c>
      <c r="J1780" s="41" t="s">
        <v>672</v>
      </c>
      <c r="K1780" s="42"/>
      <c r="L1780" s="41" t="s">
        <v>4919</v>
      </c>
      <c r="M1780" s="41">
        <v>23</v>
      </c>
      <c r="N1780" s="41" t="s">
        <v>5942</v>
      </c>
      <c r="O1780" s="41" t="s">
        <v>6068</v>
      </c>
      <c r="P1780" s="41" t="s">
        <v>68</v>
      </c>
      <c r="Q1780" s="41" t="s">
        <v>699</v>
      </c>
      <c r="R1780" s="41" t="s">
        <v>132</v>
      </c>
      <c r="S1780" s="41" t="s">
        <v>40</v>
      </c>
      <c r="T1780" s="41" t="s">
        <v>40</v>
      </c>
      <c r="U1780" s="41" t="s">
        <v>40</v>
      </c>
    </row>
    <row r="1781" spans="1:21">
      <c r="A1781" s="41">
        <v>1020</v>
      </c>
      <c r="B1781" s="41" t="s">
        <v>3936</v>
      </c>
      <c r="D1781" s="41">
        <v>2814</v>
      </c>
      <c r="E1781" s="41" t="s">
        <v>3937</v>
      </c>
      <c r="F1781" s="41" t="s">
        <v>28</v>
      </c>
      <c r="G1781" s="41" t="s">
        <v>64</v>
      </c>
      <c r="I1781" s="41" t="s">
        <v>194</v>
      </c>
      <c r="J1781" s="41" t="s">
        <v>295</v>
      </c>
      <c r="K1781" s="42"/>
      <c r="L1781" s="41" t="s">
        <v>6069</v>
      </c>
      <c r="M1781" s="41">
        <v>4</v>
      </c>
      <c r="N1781" s="41" t="s">
        <v>67</v>
      </c>
      <c r="O1781" s="41" t="s">
        <v>3940</v>
      </c>
      <c r="P1781" s="41" t="s">
        <v>179</v>
      </c>
      <c r="Q1781" s="41" t="s">
        <v>524</v>
      </c>
      <c r="R1781" s="41" t="s">
        <v>39</v>
      </c>
      <c r="S1781" s="41" t="s">
        <v>40</v>
      </c>
      <c r="T1781" s="41" t="s">
        <v>40</v>
      </c>
      <c r="U1781" s="41" t="s">
        <v>40</v>
      </c>
    </row>
    <row r="1782" spans="1:21">
      <c r="A1782" s="41">
        <v>1019</v>
      </c>
      <c r="B1782" s="41" t="s">
        <v>378</v>
      </c>
      <c r="D1782" s="41">
        <v>2813</v>
      </c>
      <c r="E1782" s="41" t="s">
        <v>27</v>
      </c>
      <c r="F1782" s="41" t="s">
        <v>53</v>
      </c>
      <c r="G1782" s="41" t="s">
        <v>64</v>
      </c>
      <c r="I1782" s="41" t="s">
        <v>325</v>
      </c>
      <c r="J1782" s="41" t="s">
        <v>380</v>
      </c>
      <c r="K1782" s="42"/>
      <c r="L1782" s="41" t="s">
        <v>381</v>
      </c>
      <c r="M1782" s="41">
        <v>220</v>
      </c>
      <c r="N1782" s="41" t="s">
        <v>59</v>
      </c>
      <c r="O1782" s="41" t="s">
        <v>77</v>
      </c>
      <c r="P1782" s="41" t="s">
        <v>382</v>
      </c>
      <c r="Q1782" s="41" t="s">
        <v>383</v>
      </c>
      <c r="R1782" s="41" t="s">
        <v>132</v>
      </c>
      <c r="S1782" s="41" t="s">
        <v>40</v>
      </c>
      <c r="T1782" s="41" t="s">
        <v>40</v>
      </c>
      <c r="U1782" s="41" t="s">
        <v>40</v>
      </c>
    </row>
    <row r="1783" spans="1:21">
      <c r="A1783" s="41">
        <v>1018</v>
      </c>
      <c r="B1783" s="41" t="s">
        <v>6070</v>
      </c>
      <c r="D1783" s="41">
        <v>2812</v>
      </c>
      <c r="E1783" s="41" t="s">
        <v>1227</v>
      </c>
      <c r="F1783" s="41" t="s">
        <v>53</v>
      </c>
      <c r="G1783" s="41" t="s">
        <v>141</v>
      </c>
      <c r="I1783" s="41" t="s">
        <v>6071</v>
      </c>
      <c r="J1783" s="41" t="s">
        <v>380</v>
      </c>
      <c r="K1783" s="42"/>
      <c r="L1783" s="41" t="s">
        <v>4683</v>
      </c>
      <c r="M1783" s="41">
        <v>66</v>
      </c>
      <c r="N1783" s="41" t="s">
        <v>1596</v>
      </c>
      <c r="O1783" s="41" t="s">
        <v>482</v>
      </c>
      <c r="P1783" s="41" t="s">
        <v>334</v>
      </c>
      <c r="Q1783" s="41" t="s">
        <v>6072</v>
      </c>
      <c r="R1783" s="41" t="s">
        <v>132</v>
      </c>
      <c r="S1783" s="41" t="s">
        <v>6073</v>
      </c>
      <c r="T1783" s="41" t="s">
        <v>198</v>
      </c>
      <c r="U1783" s="41" t="s">
        <v>146</v>
      </c>
    </row>
    <row r="1784" spans="1:21">
      <c r="A1784" s="41">
        <v>1017</v>
      </c>
      <c r="B1784" s="41" t="s">
        <v>6074</v>
      </c>
      <c r="E1784" s="41" t="s">
        <v>5393</v>
      </c>
      <c r="F1784" s="41" t="s">
        <v>53</v>
      </c>
      <c r="G1784" s="41" t="s">
        <v>1071</v>
      </c>
      <c r="I1784" s="41" t="s">
        <v>521</v>
      </c>
      <c r="J1784" s="41" t="s">
        <v>672</v>
      </c>
      <c r="K1784" s="42"/>
      <c r="L1784" s="41" t="s">
        <v>6075</v>
      </c>
      <c r="M1784" s="41">
        <v>12</v>
      </c>
      <c r="N1784" s="41" t="s">
        <v>5938</v>
      </c>
      <c r="O1784" s="41" t="s">
        <v>1925</v>
      </c>
      <c r="P1784" s="41" t="s">
        <v>68</v>
      </c>
      <c r="Q1784" s="41" t="s">
        <v>1668</v>
      </c>
      <c r="R1784" s="41" t="s">
        <v>132</v>
      </c>
      <c r="S1784" s="41" t="s">
        <v>40</v>
      </c>
      <c r="T1784" s="41" t="s">
        <v>40</v>
      </c>
      <c r="U1784" s="41" t="s">
        <v>40</v>
      </c>
    </row>
    <row r="1785" spans="1:21">
      <c r="A1785" s="41">
        <v>1016</v>
      </c>
      <c r="B1785" s="41" t="s">
        <v>384</v>
      </c>
      <c r="E1785" s="41" t="s">
        <v>27</v>
      </c>
      <c r="F1785" s="41" t="s">
        <v>53</v>
      </c>
      <c r="G1785" s="41" t="s">
        <v>64</v>
      </c>
      <c r="I1785" s="41" t="s">
        <v>231</v>
      </c>
      <c r="J1785" s="41" t="s">
        <v>380</v>
      </c>
      <c r="K1785" s="42"/>
      <c r="L1785" s="41" t="s">
        <v>387</v>
      </c>
      <c r="M1785" s="41">
        <v>66</v>
      </c>
      <c r="N1785" s="41" t="s">
        <v>59</v>
      </c>
      <c r="O1785" s="41" t="s">
        <v>388</v>
      </c>
      <c r="P1785" s="41" t="s">
        <v>334</v>
      </c>
      <c r="Q1785" s="41" t="s">
        <v>389</v>
      </c>
      <c r="R1785" s="41" t="s">
        <v>132</v>
      </c>
      <c r="S1785" s="41" t="s">
        <v>40</v>
      </c>
      <c r="T1785" s="41" t="s">
        <v>40</v>
      </c>
      <c r="U1785" s="41" t="s">
        <v>40</v>
      </c>
    </row>
    <row r="1786" spans="1:21">
      <c r="A1786" s="41">
        <v>1015</v>
      </c>
      <c r="B1786" s="41" t="s">
        <v>390</v>
      </c>
      <c r="E1786" s="41" t="s">
        <v>27</v>
      </c>
      <c r="F1786" s="41" t="s">
        <v>53</v>
      </c>
      <c r="G1786" s="41" t="s">
        <v>64</v>
      </c>
      <c r="I1786" s="41" t="s">
        <v>392</v>
      </c>
      <c r="J1786" s="41" t="s">
        <v>380</v>
      </c>
      <c r="K1786" s="42"/>
      <c r="L1786" s="41" t="s">
        <v>394</v>
      </c>
      <c r="M1786" s="41">
        <v>220</v>
      </c>
      <c r="N1786" s="41" t="s">
        <v>395</v>
      </c>
      <c r="O1786" s="41" t="s">
        <v>396</v>
      </c>
      <c r="P1786" s="41" t="s">
        <v>153</v>
      </c>
      <c r="Q1786" s="41" t="s">
        <v>329</v>
      </c>
      <c r="R1786" s="41" t="s">
        <v>62</v>
      </c>
      <c r="S1786" s="41" t="s">
        <v>40</v>
      </c>
      <c r="T1786" s="41" t="s">
        <v>40</v>
      </c>
      <c r="U1786" s="41" t="s">
        <v>40</v>
      </c>
    </row>
    <row r="1787" spans="1:21">
      <c r="A1787" s="41">
        <v>1014</v>
      </c>
      <c r="B1787" s="41" t="s">
        <v>5852</v>
      </c>
      <c r="D1787" s="41">
        <v>2805</v>
      </c>
      <c r="E1787" s="41" t="s">
        <v>4611</v>
      </c>
      <c r="F1787" s="41" t="s">
        <v>28</v>
      </c>
      <c r="G1787" s="41" t="s">
        <v>64</v>
      </c>
      <c r="I1787" s="41" t="s">
        <v>960</v>
      </c>
      <c r="J1787" s="41" t="s">
        <v>672</v>
      </c>
      <c r="K1787" s="42"/>
      <c r="L1787" s="41" t="s">
        <v>6076</v>
      </c>
      <c r="M1787" s="41">
        <v>220</v>
      </c>
      <c r="N1787" s="41" t="s">
        <v>1693</v>
      </c>
      <c r="O1787" s="41" t="s">
        <v>757</v>
      </c>
      <c r="P1787" s="41" t="s">
        <v>179</v>
      </c>
      <c r="Q1787" s="41" t="s">
        <v>524</v>
      </c>
      <c r="R1787" s="41" t="s">
        <v>39</v>
      </c>
      <c r="S1787" s="41" t="s">
        <v>40</v>
      </c>
      <c r="T1787" s="41" t="s">
        <v>40</v>
      </c>
      <c r="U1787" s="41" t="s">
        <v>40</v>
      </c>
    </row>
    <row r="1788" spans="1:21">
      <c r="A1788" s="41">
        <v>1012</v>
      </c>
      <c r="B1788" s="41" t="s">
        <v>6077</v>
      </c>
      <c r="D1788" s="41">
        <v>2804</v>
      </c>
      <c r="E1788" s="41" t="s">
        <v>1248</v>
      </c>
      <c r="F1788" s="41" t="s">
        <v>53</v>
      </c>
      <c r="G1788" s="41" t="s">
        <v>1071</v>
      </c>
      <c r="I1788" s="41" t="s">
        <v>1142</v>
      </c>
      <c r="J1788" s="41" t="s">
        <v>672</v>
      </c>
      <c r="K1788" s="42"/>
      <c r="L1788" s="41" t="s">
        <v>6078</v>
      </c>
      <c r="M1788" s="41">
        <v>66</v>
      </c>
      <c r="N1788" s="41" t="s">
        <v>67</v>
      </c>
      <c r="O1788" s="41" t="s">
        <v>1002</v>
      </c>
      <c r="P1788" s="41" t="s">
        <v>334</v>
      </c>
      <c r="Q1788" s="41" t="s">
        <v>4538</v>
      </c>
      <c r="R1788" s="41" t="s">
        <v>132</v>
      </c>
      <c r="S1788" s="41" t="s">
        <v>40</v>
      </c>
      <c r="T1788" s="41" t="s">
        <v>40</v>
      </c>
      <c r="U1788" s="41" t="s">
        <v>40</v>
      </c>
    </row>
    <row r="1789" spans="1:21">
      <c r="A1789" s="41">
        <v>1011</v>
      </c>
      <c r="B1789" s="41" t="s">
        <v>2414</v>
      </c>
      <c r="E1789" s="41" t="s">
        <v>1136</v>
      </c>
      <c r="F1789" s="41" t="s">
        <v>53</v>
      </c>
      <c r="G1789" s="41" t="s">
        <v>43</v>
      </c>
      <c r="I1789" s="41" t="s">
        <v>6079</v>
      </c>
      <c r="J1789" s="41" t="s">
        <v>380</v>
      </c>
      <c r="K1789" s="42"/>
      <c r="L1789" s="41" t="s">
        <v>6080</v>
      </c>
      <c r="M1789" s="41">
        <v>220</v>
      </c>
      <c r="N1789" s="41" t="s">
        <v>67</v>
      </c>
      <c r="O1789" s="41" t="s">
        <v>36</v>
      </c>
      <c r="P1789" s="41" t="s">
        <v>60</v>
      </c>
      <c r="Q1789" s="41" t="s">
        <v>963</v>
      </c>
      <c r="R1789" s="41" t="s">
        <v>132</v>
      </c>
      <c r="S1789" s="41" t="s">
        <v>40</v>
      </c>
      <c r="T1789" s="41" t="s">
        <v>40</v>
      </c>
      <c r="U1789" s="41" t="s">
        <v>40</v>
      </c>
    </row>
    <row r="1790" spans="1:21">
      <c r="A1790" s="41">
        <v>1010</v>
      </c>
      <c r="B1790" s="41" t="s">
        <v>6081</v>
      </c>
      <c r="E1790" s="41" t="s">
        <v>5393</v>
      </c>
      <c r="F1790" s="41" t="s">
        <v>53</v>
      </c>
      <c r="G1790" s="41" t="s">
        <v>1071</v>
      </c>
      <c r="I1790" s="41" t="s">
        <v>521</v>
      </c>
      <c r="J1790" s="41" t="s">
        <v>672</v>
      </c>
      <c r="K1790" s="42"/>
      <c r="L1790" s="41" t="s">
        <v>6082</v>
      </c>
      <c r="M1790" s="41">
        <v>12</v>
      </c>
      <c r="N1790" s="41" t="s">
        <v>6083</v>
      </c>
      <c r="O1790" s="41" t="s">
        <v>6084</v>
      </c>
      <c r="P1790" s="41" t="s">
        <v>68</v>
      </c>
      <c r="Q1790" s="41" t="s">
        <v>5397</v>
      </c>
      <c r="R1790" s="41" t="s">
        <v>132</v>
      </c>
      <c r="S1790" s="41" t="s">
        <v>40</v>
      </c>
      <c r="T1790" s="41" t="s">
        <v>40</v>
      </c>
      <c r="U1790" s="41" t="s">
        <v>40</v>
      </c>
    </row>
    <row r="1791" spans="1:21">
      <c r="A1791" s="41">
        <v>1009</v>
      </c>
      <c r="B1791" s="41" t="s">
        <v>694</v>
      </c>
      <c r="C1791" s="43">
        <v>1</v>
      </c>
      <c r="D1791" s="41">
        <v>2801</v>
      </c>
      <c r="E1791" s="41" t="s">
        <v>686</v>
      </c>
      <c r="F1791" s="41" t="s">
        <v>53</v>
      </c>
      <c r="G1791" s="41" t="s">
        <v>64</v>
      </c>
      <c r="I1791" s="41" t="s">
        <v>411</v>
      </c>
      <c r="J1791" s="41" t="s">
        <v>672</v>
      </c>
      <c r="K1791" s="42"/>
      <c r="L1791" s="41" t="s">
        <v>696</v>
      </c>
      <c r="M1791" s="41">
        <v>220</v>
      </c>
      <c r="N1791" s="41" t="s">
        <v>697</v>
      </c>
      <c r="O1791" s="41" t="s">
        <v>698</v>
      </c>
      <c r="P1791" s="41" t="s">
        <v>68</v>
      </c>
      <c r="Q1791" s="41" t="s">
        <v>699</v>
      </c>
      <c r="R1791" s="41" t="s">
        <v>132</v>
      </c>
      <c r="S1791" s="41" t="s">
        <v>40</v>
      </c>
      <c r="T1791" s="41" t="s">
        <v>40</v>
      </c>
      <c r="U1791" s="41" t="s">
        <v>40</v>
      </c>
    </row>
    <row r="1792" spans="1:21">
      <c r="A1792" s="41">
        <v>1008</v>
      </c>
      <c r="B1792" s="41" t="s">
        <v>6085</v>
      </c>
      <c r="E1792" s="41" t="s">
        <v>1739</v>
      </c>
      <c r="F1792" s="41" t="s">
        <v>53</v>
      </c>
      <c r="G1792" s="41" t="s">
        <v>1071</v>
      </c>
      <c r="I1792" s="41" t="s">
        <v>1966</v>
      </c>
      <c r="J1792" s="41" t="s">
        <v>672</v>
      </c>
      <c r="K1792" s="42"/>
      <c r="L1792" s="41" t="s">
        <v>6086</v>
      </c>
      <c r="M1792" s="41">
        <v>12</v>
      </c>
      <c r="N1792" s="41" t="s">
        <v>1908</v>
      </c>
      <c r="O1792" s="41" t="s">
        <v>2085</v>
      </c>
      <c r="P1792" s="41" t="s">
        <v>68</v>
      </c>
      <c r="Q1792" s="41" t="s">
        <v>1750</v>
      </c>
      <c r="R1792" s="41" t="s">
        <v>132</v>
      </c>
      <c r="S1792" s="41" t="s">
        <v>40</v>
      </c>
      <c r="T1792" s="41" t="s">
        <v>40</v>
      </c>
      <c r="U1792" s="41" t="s">
        <v>40</v>
      </c>
    </row>
    <row r="1793" spans="1:21">
      <c r="A1793" s="41">
        <v>1007</v>
      </c>
      <c r="B1793" s="41" t="s">
        <v>6087</v>
      </c>
      <c r="E1793" s="41" t="s">
        <v>5393</v>
      </c>
      <c r="F1793" s="41" t="s">
        <v>53</v>
      </c>
      <c r="G1793" s="41" t="s">
        <v>1071</v>
      </c>
      <c r="I1793" s="41" t="s">
        <v>6088</v>
      </c>
      <c r="J1793" s="41" t="s">
        <v>672</v>
      </c>
      <c r="K1793" s="42"/>
      <c r="L1793" s="41" t="s">
        <v>6089</v>
      </c>
      <c r="M1793" s="41">
        <v>12</v>
      </c>
      <c r="N1793" s="41" t="s">
        <v>5767</v>
      </c>
      <c r="O1793" s="41" t="s">
        <v>6090</v>
      </c>
      <c r="P1793" s="41" t="s">
        <v>68</v>
      </c>
      <c r="Q1793" s="41" t="s">
        <v>1268</v>
      </c>
      <c r="R1793" s="41" t="s">
        <v>132</v>
      </c>
      <c r="S1793" s="41" t="s">
        <v>40</v>
      </c>
      <c r="T1793" s="41" t="s">
        <v>40</v>
      </c>
      <c r="U1793" s="41" t="s">
        <v>40</v>
      </c>
    </row>
    <row r="1794" spans="1:21">
      <c r="A1794" s="41">
        <v>1006</v>
      </c>
      <c r="B1794" s="41" t="s">
        <v>6091</v>
      </c>
      <c r="E1794" s="41" t="s">
        <v>5393</v>
      </c>
      <c r="F1794" s="41" t="s">
        <v>53</v>
      </c>
      <c r="G1794" s="41" t="s">
        <v>1071</v>
      </c>
      <c r="I1794" s="41" t="s">
        <v>6088</v>
      </c>
      <c r="J1794" s="41" t="s">
        <v>672</v>
      </c>
      <c r="K1794" s="42"/>
      <c r="L1794" s="41" t="s">
        <v>6092</v>
      </c>
      <c r="M1794" s="41">
        <v>23</v>
      </c>
      <c r="N1794" s="41" t="s">
        <v>6093</v>
      </c>
      <c r="O1794" s="41" t="s">
        <v>6094</v>
      </c>
      <c r="P1794" s="41" t="s">
        <v>68</v>
      </c>
      <c r="Q1794" s="41" t="s">
        <v>699</v>
      </c>
      <c r="R1794" s="41" t="s">
        <v>132</v>
      </c>
      <c r="S1794" s="41" t="s">
        <v>40</v>
      </c>
      <c r="T1794" s="41" t="s">
        <v>40</v>
      </c>
      <c r="U1794" s="41" t="s">
        <v>40</v>
      </c>
    </row>
    <row r="1795" spans="1:21">
      <c r="A1795" s="41">
        <v>1005</v>
      </c>
      <c r="B1795" s="41" t="s">
        <v>6095</v>
      </c>
      <c r="E1795" s="41" t="s">
        <v>6096</v>
      </c>
      <c r="F1795" s="41" t="s">
        <v>53</v>
      </c>
      <c r="G1795" s="41" t="s">
        <v>43</v>
      </c>
      <c r="I1795" s="41" t="s">
        <v>194</v>
      </c>
      <c r="J1795" s="41" t="s">
        <v>295</v>
      </c>
      <c r="K1795" s="42"/>
      <c r="L1795" s="41" t="s">
        <v>6097</v>
      </c>
      <c r="M1795" s="41">
        <v>66</v>
      </c>
      <c r="N1795" s="41" t="s">
        <v>6098</v>
      </c>
      <c r="O1795" s="41" t="s">
        <v>388</v>
      </c>
      <c r="P1795" s="41" t="s">
        <v>334</v>
      </c>
      <c r="Q1795" s="41" t="s">
        <v>4481</v>
      </c>
      <c r="R1795" s="41" t="s">
        <v>132</v>
      </c>
      <c r="S1795" s="41" t="s">
        <v>40</v>
      </c>
      <c r="T1795" s="41" t="s">
        <v>40</v>
      </c>
      <c r="U1795" s="41" t="s">
        <v>40</v>
      </c>
    </row>
    <row r="1796" spans="1:21">
      <c r="A1796" s="41">
        <v>1004</v>
      </c>
      <c r="B1796" s="41" t="s">
        <v>6099</v>
      </c>
      <c r="D1796" s="41">
        <v>2761</v>
      </c>
      <c r="E1796" s="41" t="s">
        <v>3714</v>
      </c>
      <c r="F1796" s="41" t="s">
        <v>53</v>
      </c>
      <c r="G1796" s="41" t="s">
        <v>43</v>
      </c>
      <c r="I1796" s="41" t="s">
        <v>6100</v>
      </c>
      <c r="J1796" s="41" t="s">
        <v>380</v>
      </c>
      <c r="K1796" s="42"/>
      <c r="L1796" s="41" t="s">
        <v>275</v>
      </c>
      <c r="M1796" s="41">
        <v>220</v>
      </c>
      <c r="N1796" s="41" t="s">
        <v>6101</v>
      </c>
      <c r="O1796" s="41" t="s">
        <v>77</v>
      </c>
      <c r="P1796" s="41" t="s">
        <v>78</v>
      </c>
      <c r="Q1796" s="41" t="s">
        <v>483</v>
      </c>
      <c r="R1796" s="41" t="s">
        <v>132</v>
      </c>
      <c r="S1796" s="41" t="s">
        <v>6102</v>
      </c>
      <c r="T1796" s="41" t="s">
        <v>1699</v>
      </c>
      <c r="U1796" s="41" t="s">
        <v>40</v>
      </c>
    </row>
    <row r="1797" spans="1:21">
      <c r="A1797" s="41">
        <v>1003</v>
      </c>
      <c r="B1797" s="41" t="s">
        <v>6103</v>
      </c>
      <c r="E1797" s="41" t="s">
        <v>2639</v>
      </c>
      <c r="F1797" s="41" t="s">
        <v>53</v>
      </c>
      <c r="G1797" s="41" t="s">
        <v>43</v>
      </c>
      <c r="I1797" s="41" t="s">
        <v>392</v>
      </c>
      <c r="J1797" s="41" t="s">
        <v>295</v>
      </c>
      <c r="K1797" s="42"/>
      <c r="L1797" s="41" t="s">
        <v>6104</v>
      </c>
      <c r="M1797" s="41">
        <v>220</v>
      </c>
      <c r="N1797" s="41" t="s">
        <v>67</v>
      </c>
      <c r="O1797" s="41" t="s">
        <v>77</v>
      </c>
      <c r="P1797" s="41" t="s">
        <v>172</v>
      </c>
      <c r="Q1797" s="41" t="s">
        <v>253</v>
      </c>
      <c r="R1797" s="41" t="s">
        <v>62</v>
      </c>
      <c r="S1797" s="41" t="s">
        <v>40</v>
      </c>
      <c r="T1797" s="41" t="s">
        <v>40</v>
      </c>
      <c r="U1797" s="41" t="s">
        <v>40</v>
      </c>
    </row>
    <row r="1798" spans="1:21">
      <c r="A1798" s="41">
        <v>1002</v>
      </c>
      <c r="B1798" s="41" t="s">
        <v>6105</v>
      </c>
      <c r="E1798" s="41" t="s">
        <v>3675</v>
      </c>
      <c r="F1798" s="41" t="s">
        <v>53</v>
      </c>
      <c r="G1798" s="41" t="s">
        <v>64</v>
      </c>
      <c r="I1798" s="41" t="s">
        <v>201</v>
      </c>
      <c r="J1798" s="41" t="s">
        <v>295</v>
      </c>
      <c r="K1798" s="42"/>
      <c r="L1798" s="41" t="s">
        <v>6106</v>
      </c>
      <c r="M1798" s="41">
        <v>220</v>
      </c>
      <c r="N1798" s="41" t="s">
        <v>6107</v>
      </c>
      <c r="O1798" s="41" t="s">
        <v>77</v>
      </c>
      <c r="P1798" s="41" t="s">
        <v>546</v>
      </c>
      <c r="Q1798" s="41" t="s">
        <v>2100</v>
      </c>
      <c r="R1798" s="41" t="s">
        <v>132</v>
      </c>
      <c r="S1798" s="41" t="s">
        <v>40</v>
      </c>
      <c r="T1798" s="41" t="s">
        <v>40</v>
      </c>
      <c r="U1798" s="41" t="s">
        <v>40</v>
      </c>
    </row>
    <row r="1799" spans="1:21">
      <c r="A1799" s="41">
        <v>1001</v>
      </c>
      <c r="B1799" s="41" t="s">
        <v>6108</v>
      </c>
      <c r="E1799" s="41" t="s">
        <v>5393</v>
      </c>
      <c r="F1799" s="41" t="s">
        <v>53</v>
      </c>
      <c r="G1799" s="41" t="s">
        <v>1071</v>
      </c>
      <c r="I1799" s="41" t="s">
        <v>6088</v>
      </c>
      <c r="J1799" s="41" t="s">
        <v>672</v>
      </c>
      <c r="K1799" s="42"/>
      <c r="L1799" s="41" t="s">
        <v>5937</v>
      </c>
      <c r="M1799" s="41">
        <v>23</v>
      </c>
      <c r="N1799" s="41" t="s">
        <v>6109</v>
      </c>
      <c r="O1799" s="41" t="s">
        <v>6110</v>
      </c>
      <c r="P1799" s="41" t="s">
        <v>68</v>
      </c>
      <c r="Q1799" s="41" t="s">
        <v>403</v>
      </c>
      <c r="R1799" s="41" t="s">
        <v>132</v>
      </c>
      <c r="S1799" s="41" t="s">
        <v>40</v>
      </c>
      <c r="T1799" s="41" t="s">
        <v>40</v>
      </c>
      <c r="U1799" s="41" t="s">
        <v>40</v>
      </c>
    </row>
    <row r="1800" spans="1:21">
      <c r="A1800" s="41">
        <v>1000</v>
      </c>
      <c r="B1800" s="41" t="s">
        <v>6111</v>
      </c>
      <c r="E1800" s="41" t="s">
        <v>1136</v>
      </c>
      <c r="F1800" s="41" t="s">
        <v>53</v>
      </c>
      <c r="G1800" s="41" t="s">
        <v>64</v>
      </c>
      <c r="I1800" s="41" t="s">
        <v>201</v>
      </c>
      <c r="J1800" s="41" t="s">
        <v>380</v>
      </c>
      <c r="K1800" s="42"/>
      <c r="L1800" s="41" t="s">
        <v>5026</v>
      </c>
      <c r="M1800" s="41">
        <v>220</v>
      </c>
      <c r="N1800" s="41" t="s">
        <v>6112</v>
      </c>
      <c r="O1800" s="41" t="s">
        <v>271</v>
      </c>
      <c r="P1800" s="41" t="s">
        <v>60</v>
      </c>
      <c r="Q1800" s="41" t="s">
        <v>419</v>
      </c>
      <c r="R1800" s="41" t="s">
        <v>132</v>
      </c>
      <c r="S1800" s="41" t="s">
        <v>40</v>
      </c>
      <c r="T1800" s="41" t="s">
        <v>40</v>
      </c>
      <c r="U1800" s="41" t="s">
        <v>40</v>
      </c>
    </row>
    <row r="1801" spans="1:21">
      <c r="A1801" s="41">
        <v>999</v>
      </c>
      <c r="B1801" s="41" t="s">
        <v>6113</v>
      </c>
      <c r="D1801" s="41">
        <v>2757</v>
      </c>
      <c r="E1801" s="41" t="s">
        <v>6114</v>
      </c>
      <c r="F1801" s="41" t="s">
        <v>28</v>
      </c>
      <c r="G1801" s="41" t="s">
        <v>64</v>
      </c>
      <c r="I1801" s="41" t="s">
        <v>194</v>
      </c>
      <c r="J1801" s="41" t="s">
        <v>295</v>
      </c>
      <c r="K1801" s="42"/>
      <c r="L1801" s="41" t="s">
        <v>6115</v>
      </c>
      <c r="M1801" s="41">
        <v>44</v>
      </c>
      <c r="N1801" s="41" t="s">
        <v>6116</v>
      </c>
      <c r="O1801" s="41" t="s">
        <v>6117</v>
      </c>
      <c r="P1801" s="41" t="s">
        <v>78</v>
      </c>
      <c r="Q1801" s="41" t="s">
        <v>5212</v>
      </c>
      <c r="R1801" s="41" t="s">
        <v>39</v>
      </c>
      <c r="S1801" s="41" t="s">
        <v>6118</v>
      </c>
      <c r="T1801" s="41" t="s">
        <v>322</v>
      </c>
      <c r="U1801" s="41" t="s">
        <v>40</v>
      </c>
    </row>
    <row r="1802" spans="1:21">
      <c r="A1802" s="41">
        <v>986</v>
      </c>
      <c r="B1802" s="41" t="s">
        <v>6119</v>
      </c>
      <c r="D1802" s="41">
        <v>2754</v>
      </c>
      <c r="E1802" s="41" t="s">
        <v>1227</v>
      </c>
      <c r="F1802" s="41" t="s">
        <v>53</v>
      </c>
      <c r="G1802" s="41" t="s">
        <v>307</v>
      </c>
      <c r="I1802" s="41" t="s">
        <v>6120</v>
      </c>
      <c r="J1802" s="41" t="s">
        <v>380</v>
      </c>
      <c r="K1802" s="42"/>
      <c r="L1802" s="41" t="s">
        <v>103</v>
      </c>
      <c r="M1802" s="41">
        <v>220</v>
      </c>
      <c r="N1802" s="41" t="s">
        <v>6121</v>
      </c>
      <c r="O1802" s="41" t="s">
        <v>1379</v>
      </c>
      <c r="P1802" s="41" t="s">
        <v>98</v>
      </c>
      <c r="Q1802" s="41" t="s">
        <v>99</v>
      </c>
      <c r="R1802" s="41" t="s">
        <v>62</v>
      </c>
      <c r="S1802" s="41" t="s">
        <v>6122</v>
      </c>
      <c r="T1802" s="41" t="s">
        <v>3450</v>
      </c>
      <c r="U1802" s="41" t="s">
        <v>40</v>
      </c>
    </row>
    <row r="1803" spans="1:21">
      <c r="A1803" s="41">
        <v>985</v>
      </c>
      <c r="B1803" s="41" t="s">
        <v>6123</v>
      </c>
      <c r="D1803" s="41">
        <v>2756</v>
      </c>
      <c r="E1803" s="41" t="s">
        <v>1227</v>
      </c>
      <c r="F1803" s="41" t="s">
        <v>53</v>
      </c>
      <c r="G1803" s="41" t="s">
        <v>64</v>
      </c>
      <c r="I1803" s="41" t="s">
        <v>6124</v>
      </c>
      <c r="J1803" s="41" t="s">
        <v>32</v>
      </c>
      <c r="K1803" s="42"/>
      <c r="L1803" s="41" t="s">
        <v>2950</v>
      </c>
      <c r="M1803" s="41">
        <v>500</v>
      </c>
      <c r="N1803" s="41" t="s">
        <v>2569</v>
      </c>
      <c r="O1803" s="41" t="s">
        <v>6125</v>
      </c>
      <c r="P1803" s="41" t="s">
        <v>98</v>
      </c>
      <c r="Q1803" s="41" t="s">
        <v>99</v>
      </c>
      <c r="R1803" s="41" t="s">
        <v>62</v>
      </c>
      <c r="S1803" s="41" t="s">
        <v>40</v>
      </c>
      <c r="T1803" s="41" t="s">
        <v>40</v>
      </c>
      <c r="U1803" s="41" t="s">
        <v>40</v>
      </c>
    </row>
    <row r="1804" spans="1:21">
      <c r="A1804" s="41">
        <v>984</v>
      </c>
      <c r="B1804" s="41" t="s">
        <v>6126</v>
      </c>
      <c r="D1804" s="41">
        <v>2755</v>
      </c>
      <c r="E1804" s="41" t="s">
        <v>1227</v>
      </c>
      <c r="F1804" s="41" t="s">
        <v>53</v>
      </c>
      <c r="G1804" s="41" t="s">
        <v>307</v>
      </c>
      <c r="I1804" s="41" t="s">
        <v>6127</v>
      </c>
      <c r="J1804" s="41" t="s">
        <v>380</v>
      </c>
      <c r="K1804" s="42"/>
      <c r="L1804" s="41" t="s">
        <v>103</v>
      </c>
      <c r="M1804" s="41">
        <v>220</v>
      </c>
      <c r="N1804" s="41" t="s">
        <v>6121</v>
      </c>
      <c r="O1804" s="41" t="s">
        <v>794</v>
      </c>
      <c r="P1804" s="41" t="s">
        <v>98</v>
      </c>
      <c r="Q1804" s="41" t="s">
        <v>99</v>
      </c>
      <c r="R1804" s="41" t="s">
        <v>62</v>
      </c>
      <c r="S1804" s="41" t="s">
        <v>6128</v>
      </c>
      <c r="T1804" s="41" t="s">
        <v>6129</v>
      </c>
      <c r="U1804" s="41" t="s">
        <v>40</v>
      </c>
    </row>
    <row r="1805" spans="1:21">
      <c r="A1805" s="41">
        <v>983</v>
      </c>
      <c r="B1805" s="41" t="s">
        <v>6130</v>
      </c>
      <c r="E1805" s="41" t="s">
        <v>1227</v>
      </c>
      <c r="F1805" s="41" t="s">
        <v>53</v>
      </c>
      <c r="G1805" s="41" t="s">
        <v>43</v>
      </c>
      <c r="I1805" s="41" t="s">
        <v>102</v>
      </c>
      <c r="J1805" s="41" t="s">
        <v>32</v>
      </c>
      <c r="K1805" s="42"/>
      <c r="L1805" s="41" t="s">
        <v>103</v>
      </c>
      <c r="M1805" s="41">
        <v>220</v>
      </c>
      <c r="N1805" s="41" t="s">
        <v>6121</v>
      </c>
      <c r="O1805" s="41" t="s">
        <v>4553</v>
      </c>
      <c r="P1805" s="41" t="s">
        <v>98</v>
      </c>
      <c r="Q1805" s="41" t="s">
        <v>99</v>
      </c>
      <c r="R1805" s="41" t="s">
        <v>62</v>
      </c>
      <c r="S1805" s="41" t="s">
        <v>40</v>
      </c>
      <c r="T1805" s="41" t="s">
        <v>40</v>
      </c>
      <c r="U1805" s="41" t="s">
        <v>40</v>
      </c>
    </row>
    <row r="1806" spans="1:21">
      <c r="A1806" s="41">
        <v>982</v>
      </c>
      <c r="B1806" s="41" t="s">
        <v>6131</v>
      </c>
      <c r="D1806" s="41">
        <v>2753</v>
      </c>
      <c r="E1806" s="41" t="s">
        <v>1227</v>
      </c>
      <c r="F1806" s="41" t="s">
        <v>53</v>
      </c>
      <c r="G1806" s="41" t="s">
        <v>64</v>
      </c>
      <c r="I1806" s="41" t="s">
        <v>6132</v>
      </c>
      <c r="J1806" s="41" t="s">
        <v>380</v>
      </c>
      <c r="K1806" s="42"/>
      <c r="L1806" s="41" t="s">
        <v>6133</v>
      </c>
      <c r="M1806" s="41">
        <v>220</v>
      </c>
      <c r="N1806" s="41" t="s">
        <v>6134</v>
      </c>
      <c r="O1806" s="41" t="s">
        <v>396</v>
      </c>
      <c r="P1806" s="41" t="s">
        <v>153</v>
      </c>
      <c r="Q1806" s="41" t="s">
        <v>329</v>
      </c>
      <c r="R1806" s="41" t="s">
        <v>62</v>
      </c>
      <c r="S1806" s="41" t="s">
        <v>40</v>
      </c>
      <c r="T1806" s="41" t="s">
        <v>40</v>
      </c>
      <c r="U1806" s="41" t="s">
        <v>40</v>
      </c>
    </row>
    <row r="1807" spans="1:21">
      <c r="A1807" s="41">
        <v>981</v>
      </c>
      <c r="B1807" s="41" t="s">
        <v>6135</v>
      </c>
      <c r="D1807" s="41">
        <v>2752</v>
      </c>
      <c r="E1807" s="41" t="s">
        <v>5629</v>
      </c>
      <c r="F1807" s="41" t="s">
        <v>53</v>
      </c>
      <c r="G1807" s="41" t="s">
        <v>43</v>
      </c>
      <c r="I1807" s="41" t="s">
        <v>6136</v>
      </c>
      <c r="J1807" s="41" t="s">
        <v>380</v>
      </c>
      <c r="K1807" s="42"/>
      <c r="L1807" s="41" t="s">
        <v>6137</v>
      </c>
      <c r="M1807" s="41">
        <v>110</v>
      </c>
      <c r="N1807" s="41" t="s">
        <v>2895</v>
      </c>
      <c r="O1807" s="41" t="s">
        <v>6138</v>
      </c>
      <c r="P1807" s="41" t="s">
        <v>83</v>
      </c>
      <c r="Q1807" s="41" t="s">
        <v>6139</v>
      </c>
      <c r="R1807" s="41" t="s">
        <v>132</v>
      </c>
      <c r="S1807" s="41" t="s">
        <v>40</v>
      </c>
      <c r="T1807" s="41" t="s">
        <v>40</v>
      </c>
      <c r="U1807" s="41" t="s">
        <v>40</v>
      </c>
    </row>
    <row r="1808" spans="1:21">
      <c r="A1808" s="41">
        <v>980</v>
      </c>
      <c r="B1808" s="41" t="s">
        <v>5831</v>
      </c>
      <c r="E1808" s="41" t="s">
        <v>1435</v>
      </c>
      <c r="F1808" s="41" t="s">
        <v>28</v>
      </c>
      <c r="G1808" s="41" t="s">
        <v>64</v>
      </c>
      <c r="I1808" s="41" t="s">
        <v>194</v>
      </c>
      <c r="J1808" s="41" t="s">
        <v>295</v>
      </c>
      <c r="K1808" s="42"/>
      <c r="L1808" s="41" t="s">
        <v>6140</v>
      </c>
      <c r="M1808" s="41">
        <v>23</v>
      </c>
      <c r="N1808" s="41" t="s">
        <v>2742</v>
      </c>
      <c r="O1808" s="41" t="s">
        <v>36</v>
      </c>
      <c r="P1808" s="41" t="s">
        <v>98</v>
      </c>
      <c r="Q1808" s="41" t="s">
        <v>491</v>
      </c>
      <c r="R1808" s="41" t="s">
        <v>39</v>
      </c>
      <c r="S1808" s="41" t="s">
        <v>40</v>
      </c>
      <c r="T1808" s="41" t="s">
        <v>40</v>
      </c>
      <c r="U1808" s="41" t="s">
        <v>40</v>
      </c>
    </row>
    <row r="1809" spans="1:21">
      <c r="A1809" s="41">
        <v>979</v>
      </c>
      <c r="B1809" s="41" t="s">
        <v>6141</v>
      </c>
      <c r="D1809" s="41">
        <v>2750</v>
      </c>
      <c r="E1809" s="41" t="s">
        <v>6142</v>
      </c>
      <c r="F1809" s="41" t="s">
        <v>28</v>
      </c>
      <c r="G1809" s="41" t="s">
        <v>64</v>
      </c>
      <c r="I1809" s="41" t="s">
        <v>4992</v>
      </c>
      <c r="J1809" s="41" t="s">
        <v>295</v>
      </c>
      <c r="K1809" s="42"/>
      <c r="L1809" s="41" t="s">
        <v>6143</v>
      </c>
      <c r="M1809" s="41">
        <v>220</v>
      </c>
      <c r="N1809" s="41" t="s">
        <v>962</v>
      </c>
      <c r="O1809" s="41" t="s">
        <v>962</v>
      </c>
      <c r="P1809" s="41" t="s">
        <v>98</v>
      </c>
      <c r="Q1809" s="41" t="s">
        <v>204</v>
      </c>
      <c r="R1809" s="41" t="s">
        <v>39</v>
      </c>
      <c r="S1809" s="41" t="s">
        <v>40</v>
      </c>
      <c r="T1809" s="41" t="s">
        <v>40</v>
      </c>
      <c r="U1809" s="41" t="s">
        <v>40</v>
      </c>
    </row>
    <row r="1810" spans="1:21">
      <c r="A1810" s="41">
        <v>978</v>
      </c>
      <c r="B1810" s="41" t="s">
        <v>6144</v>
      </c>
      <c r="E1810" s="41" t="s">
        <v>1638</v>
      </c>
      <c r="F1810" s="41" t="s">
        <v>53</v>
      </c>
      <c r="G1810" s="41" t="s">
        <v>43</v>
      </c>
      <c r="I1810" s="41" t="s">
        <v>6145</v>
      </c>
      <c r="J1810" s="41" t="s">
        <v>295</v>
      </c>
      <c r="K1810" s="42"/>
      <c r="L1810" s="41" t="s">
        <v>6146</v>
      </c>
      <c r="M1810" s="41">
        <v>220</v>
      </c>
      <c r="N1810" s="41" t="s">
        <v>6147</v>
      </c>
      <c r="O1810" s="41" t="s">
        <v>1225</v>
      </c>
      <c r="P1810" s="41" t="s">
        <v>50</v>
      </c>
      <c r="Q1810" s="41" t="s">
        <v>1499</v>
      </c>
      <c r="R1810" s="41" t="s">
        <v>62</v>
      </c>
      <c r="S1810" s="41" t="s">
        <v>40</v>
      </c>
      <c r="T1810" s="41" t="s">
        <v>40</v>
      </c>
      <c r="U1810" s="41" t="s">
        <v>40</v>
      </c>
    </row>
    <row r="1811" spans="1:21">
      <c r="A1811" s="41">
        <v>977</v>
      </c>
      <c r="B1811" s="41" t="s">
        <v>6148</v>
      </c>
      <c r="E1811" s="41" t="s">
        <v>1638</v>
      </c>
      <c r="F1811" s="41" t="s">
        <v>28</v>
      </c>
      <c r="G1811" s="41" t="s">
        <v>43</v>
      </c>
      <c r="I1811" s="41" t="s">
        <v>6145</v>
      </c>
      <c r="J1811" s="41" t="s">
        <v>295</v>
      </c>
      <c r="K1811" s="42"/>
      <c r="L1811" s="41" t="s">
        <v>4064</v>
      </c>
      <c r="M1811" s="41">
        <v>220</v>
      </c>
      <c r="N1811" s="41" t="s">
        <v>805</v>
      </c>
      <c r="O1811" s="41" t="s">
        <v>1615</v>
      </c>
      <c r="P1811" s="41" t="s">
        <v>50</v>
      </c>
      <c r="Q1811" s="41" t="s">
        <v>1499</v>
      </c>
      <c r="R1811" s="41" t="s">
        <v>39</v>
      </c>
      <c r="S1811" s="41" t="s">
        <v>40</v>
      </c>
      <c r="T1811" s="41" t="s">
        <v>40</v>
      </c>
      <c r="U1811" s="41" t="s">
        <v>40</v>
      </c>
    </row>
    <row r="1812" spans="1:21">
      <c r="A1812" s="41">
        <v>976</v>
      </c>
      <c r="B1812" s="41" t="s">
        <v>6149</v>
      </c>
      <c r="D1812" s="41">
        <v>2748</v>
      </c>
      <c r="E1812" s="41" t="s">
        <v>1638</v>
      </c>
      <c r="F1812" s="41" t="s">
        <v>28</v>
      </c>
      <c r="G1812" s="41" t="s">
        <v>64</v>
      </c>
      <c r="I1812" s="41" t="s">
        <v>1404</v>
      </c>
      <c r="J1812" s="41" t="s">
        <v>295</v>
      </c>
      <c r="K1812" s="42"/>
      <c r="L1812" s="41" t="s">
        <v>6150</v>
      </c>
      <c r="M1812" s="41">
        <v>220</v>
      </c>
      <c r="N1812" s="41" t="s">
        <v>962</v>
      </c>
      <c r="O1812" s="41" t="s">
        <v>962</v>
      </c>
      <c r="P1812" s="41" t="s">
        <v>179</v>
      </c>
      <c r="Q1812" s="41" t="s">
        <v>1116</v>
      </c>
      <c r="R1812" s="41" t="s">
        <v>39</v>
      </c>
      <c r="S1812" s="41" t="s">
        <v>40</v>
      </c>
      <c r="T1812" s="41" t="s">
        <v>40</v>
      </c>
      <c r="U1812" s="41" t="s">
        <v>40</v>
      </c>
    </row>
    <row r="1813" spans="1:21">
      <c r="A1813" s="41">
        <v>975</v>
      </c>
      <c r="B1813" s="41" t="s">
        <v>6151</v>
      </c>
      <c r="E1813" s="41" t="s">
        <v>2639</v>
      </c>
      <c r="F1813" s="41" t="s">
        <v>53</v>
      </c>
      <c r="G1813" s="41" t="s">
        <v>43</v>
      </c>
      <c r="I1813" s="41" t="s">
        <v>194</v>
      </c>
      <c r="J1813" s="41" t="s">
        <v>295</v>
      </c>
      <c r="K1813" s="42"/>
      <c r="L1813" s="41" t="s">
        <v>6152</v>
      </c>
      <c r="M1813" s="41">
        <v>23</v>
      </c>
      <c r="N1813" s="41" t="s">
        <v>67</v>
      </c>
      <c r="O1813" s="41" t="s">
        <v>565</v>
      </c>
      <c r="P1813" s="41" t="s">
        <v>68</v>
      </c>
      <c r="Q1813" s="41" t="s">
        <v>69</v>
      </c>
      <c r="R1813" s="41" t="s">
        <v>132</v>
      </c>
      <c r="S1813" s="41" t="s">
        <v>40</v>
      </c>
      <c r="T1813" s="41" t="s">
        <v>40</v>
      </c>
      <c r="U1813" s="41" t="s">
        <v>40</v>
      </c>
    </row>
    <row r="1814" spans="1:21">
      <c r="A1814" s="41">
        <v>974</v>
      </c>
      <c r="B1814" s="41" t="s">
        <v>6105</v>
      </c>
      <c r="D1814" s="41">
        <v>2725</v>
      </c>
      <c r="E1814" s="41" t="s">
        <v>3675</v>
      </c>
      <c r="F1814" s="41" t="s">
        <v>53</v>
      </c>
      <c r="G1814" s="41" t="s">
        <v>64</v>
      </c>
      <c r="I1814" s="41" t="s">
        <v>201</v>
      </c>
      <c r="J1814" s="41" t="s">
        <v>295</v>
      </c>
      <c r="K1814" s="42"/>
      <c r="L1814" s="41" t="s">
        <v>6153</v>
      </c>
      <c r="M1814" s="41">
        <v>220</v>
      </c>
      <c r="N1814" s="41" t="s">
        <v>59</v>
      </c>
      <c r="O1814" s="41" t="s">
        <v>2566</v>
      </c>
      <c r="P1814" s="41" t="s">
        <v>546</v>
      </c>
      <c r="Q1814" s="41" t="s">
        <v>2100</v>
      </c>
      <c r="R1814" s="41" t="s">
        <v>132</v>
      </c>
      <c r="S1814" s="41" t="s">
        <v>40</v>
      </c>
      <c r="T1814" s="41" t="s">
        <v>40</v>
      </c>
      <c r="U1814" s="41" t="s">
        <v>40</v>
      </c>
    </row>
    <row r="1815" spans="1:21">
      <c r="A1815" s="41">
        <v>973</v>
      </c>
      <c r="B1815" s="41" t="s">
        <v>6154</v>
      </c>
      <c r="E1815" s="41" t="s">
        <v>5340</v>
      </c>
      <c r="F1815" s="41" t="s">
        <v>53</v>
      </c>
      <c r="G1815" s="41" t="s">
        <v>64</v>
      </c>
      <c r="I1815" s="41" t="s">
        <v>45</v>
      </c>
      <c r="J1815" s="41" t="s">
        <v>295</v>
      </c>
      <c r="K1815" s="42"/>
      <c r="L1815" s="41" t="s">
        <v>674</v>
      </c>
      <c r="M1815" s="41">
        <v>200</v>
      </c>
      <c r="N1815" s="41" t="s">
        <v>6155</v>
      </c>
      <c r="O1815" s="41" t="s">
        <v>6156</v>
      </c>
      <c r="P1815" s="41" t="s">
        <v>68</v>
      </c>
      <c r="Q1815" s="41" t="s">
        <v>677</v>
      </c>
      <c r="R1815" s="41" t="s">
        <v>132</v>
      </c>
      <c r="S1815" s="41" t="s">
        <v>40</v>
      </c>
      <c r="T1815" s="41" t="s">
        <v>40</v>
      </c>
      <c r="U1815" s="41" t="s">
        <v>40</v>
      </c>
    </row>
    <row r="1816" spans="1:21">
      <c r="A1816" s="41">
        <v>972</v>
      </c>
      <c r="B1816" s="41" t="s">
        <v>6157</v>
      </c>
      <c r="E1816" s="41" t="s">
        <v>1739</v>
      </c>
      <c r="F1816" s="41" t="s">
        <v>53</v>
      </c>
      <c r="G1816" s="41" t="s">
        <v>1071</v>
      </c>
      <c r="I1816" s="41" t="s">
        <v>475</v>
      </c>
      <c r="J1816" s="41" t="s">
        <v>672</v>
      </c>
      <c r="K1816" s="42"/>
      <c r="L1816" s="41" t="s">
        <v>6158</v>
      </c>
      <c r="M1816" s="41">
        <v>23</v>
      </c>
      <c r="N1816" s="41" t="s">
        <v>619</v>
      </c>
      <c r="O1816" s="41" t="s">
        <v>1124</v>
      </c>
      <c r="P1816" s="41" t="s">
        <v>172</v>
      </c>
      <c r="Q1816" s="41" t="s">
        <v>197</v>
      </c>
      <c r="R1816" s="41" t="s">
        <v>132</v>
      </c>
      <c r="S1816" s="41" t="s">
        <v>40</v>
      </c>
      <c r="T1816" s="41" t="s">
        <v>40</v>
      </c>
      <c r="U1816" s="41" t="s">
        <v>40</v>
      </c>
    </row>
    <row r="1817" spans="1:21">
      <c r="A1817" s="41">
        <v>971</v>
      </c>
      <c r="B1817" s="41" t="s">
        <v>5958</v>
      </c>
      <c r="E1817" s="41" t="s">
        <v>1739</v>
      </c>
      <c r="F1817" s="41" t="s">
        <v>53</v>
      </c>
      <c r="G1817" s="41" t="s">
        <v>64</v>
      </c>
      <c r="I1817" s="41" t="s">
        <v>194</v>
      </c>
      <c r="J1817" s="41" t="s">
        <v>672</v>
      </c>
      <c r="K1817" s="42"/>
      <c r="L1817" s="41" t="s">
        <v>6159</v>
      </c>
      <c r="M1817" s="41">
        <v>15</v>
      </c>
      <c r="N1817" s="41" t="s">
        <v>395</v>
      </c>
      <c r="O1817" s="41" t="s">
        <v>1261</v>
      </c>
      <c r="P1817" s="41" t="s">
        <v>37</v>
      </c>
      <c r="Q1817" s="41" t="s">
        <v>264</v>
      </c>
      <c r="R1817" s="41" t="s">
        <v>132</v>
      </c>
      <c r="S1817" s="41" t="s">
        <v>40</v>
      </c>
      <c r="T1817" s="41" t="s">
        <v>40</v>
      </c>
      <c r="U1817" s="41" t="s">
        <v>40</v>
      </c>
    </row>
    <row r="1818" spans="1:21">
      <c r="A1818" s="41">
        <v>970</v>
      </c>
      <c r="B1818" s="41" t="s">
        <v>6160</v>
      </c>
      <c r="E1818" s="41" t="s">
        <v>3068</v>
      </c>
      <c r="F1818" s="41" t="s">
        <v>53</v>
      </c>
      <c r="G1818" s="41" t="s">
        <v>64</v>
      </c>
      <c r="I1818" s="41" t="s">
        <v>392</v>
      </c>
      <c r="J1818" s="41" t="s">
        <v>380</v>
      </c>
      <c r="K1818" s="42"/>
      <c r="L1818" s="41" t="s">
        <v>2906</v>
      </c>
      <c r="M1818" s="41">
        <v>220</v>
      </c>
      <c r="N1818" s="41" t="s">
        <v>805</v>
      </c>
      <c r="O1818" s="41" t="s">
        <v>6161</v>
      </c>
      <c r="P1818" s="41" t="s">
        <v>83</v>
      </c>
      <c r="Q1818" s="41" t="s">
        <v>2908</v>
      </c>
      <c r="R1818" s="41" t="s">
        <v>62</v>
      </c>
      <c r="S1818" s="41" t="s">
        <v>40</v>
      </c>
      <c r="T1818" s="41" t="s">
        <v>40</v>
      </c>
      <c r="U1818" s="41" t="s">
        <v>40</v>
      </c>
    </row>
    <row r="1819" spans="1:21">
      <c r="A1819" s="41">
        <v>969</v>
      </c>
      <c r="B1819" s="41" t="s">
        <v>6162</v>
      </c>
      <c r="E1819" s="41" t="s">
        <v>5340</v>
      </c>
      <c r="F1819" s="41" t="s">
        <v>53</v>
      </c>
      <c r="G1819" s="41" t="s">
        <v>64</v>
      </c>
      <c r="I1819" s="41" t="s">
        <v>458</v>
      </c>
      <c r="J1819" s="41" t="s">
        <v>295</v>
      </c>
      <c r="K1819" s="42"/>
      <c r="L1819" s="41" t="s">
        <v>6163</v>
      </c>
      <c r="M1819" s="41">
        <v>66</v>
      </c>
      <c r="N1819" s="41" t="s">
        <v>67</v>
      </c>
      <c r="O1819" s="41" t="s">
        <v>388</v>
      </c>
      <c r="P1819" s="41" t="s">
        <v>172</v>
      </c>
      <c r="Q1819" s="41" t="s">
        <v>4030</v>
      </c>
      <c r="R1819" s="41" t="s">
        <v>132</v>
      </c>
      <c r="S1819" s="41" t="s">
        <v>40</v>
      </c>
      <c r="T1819" s="41" t="s">
        <v>40</v>
      </c>
      <c r="U1819" s="41" t="s">
        <v>40</v>
      </c>
    </row>
    <row r="1820" spans="1:21">
      <c r="A1820" s="41">
        <v>968</v>
      </c>
      <c r="B1820" s="41" t="s">
        <v>6164</v>
      </c>
      <c r="E1820" s="41" t="s">
        <v>5340</v>
      </c>
      <c r="F1820" s="41" t="s">
        <v>53</v>
      </c>
      <c r="G1820" s="41" t="s">
        <v>64</v>
      </c>
      <c r="I1820" s="41" t="s">
        <v>56</v>
      </c>
      <c r="J1820" s="41" t="s">
        <v>295</v>
      </c>
      <c r="K1820" s="42"/>
      <c r="L1820" s="41" t="s">
        <v>6165</v>
      </c>
      <c r="M1820" s="41">
        <v>66</v>
      </c>
      <c r="N1820" s="41" t="s">
        <v>6166</v>
      </c>
      <c r="O1820" s="41" t="s">
        <v>466</v>
      </c>
      <c r="P1820" s="41" t="s">
        <v>172</v>
      </c>
      <c r="Q1820" s="41" t="s">
        <v>1011</v>
      </c>
      <c r="R1820" s="41" t="s">
        <v>132</v>
      </c>
      <c r="S1820" s="41" t="s">
        <v>40</v>
      </c>
      <c r="T1820" s="41" t="s">
        <v>40</v>
      </c>
      <c r="U1820" s="41" t="s">
        <v>40</v>
      </c>
    </row>
    <row r="1821" spans="1:21">
      <c r="A1821" s="41">
        <v>967</v>
      </c>
      <c r="B1821" s="41" t="s">
        <v>6167</v>
      </c>
      <c r="E1821" s="41" t="s">
        <v>5393</v>
      </c>
      <c r="F1821" s="41" t="s">
        <v>53</v>
      </c>
      <c r="G1821" s="41" t="s">
        <v>1071</v>
      </c>
      <c r="I1821" s="41" t="s">
        <v>521</v>
      </c>
      <c r="J1821" s="41" t="s">
        <v>672</v>
      </c>
      <c r="K1821" s="42"/>
      <c r="L1821" s="41" t="s">
        <v>725</v>
      </c>
      <c r="M1821" s="41">
        <v>12</v>
      </c>
      <c r="N1821" s="41" t="s">
        <v>790</v>
      </c>
      <c r="O1821" s="41" t="s">
        <v>1083</v>
      </c>
      <c r="P1821" s="41" t="s">
        <v>68</v>
      </c>
      <c r="Q1821" s="41" t="s">
        <v>728</v>
      </c>
      <c r="R1821" s="41" t="s">
        <v>132</v>
      </c>
      <c r="S1821" s="41" t="s">
        <v>40</v>
      </c>
      <c r="T1821" s="41" t="s">
        <v>40</v>
      </c>
      <c r="U1821" s="41" t="s">
        <v>40</v>
      </c>
    </row>
    <row r="1822" spans="1:21">
      <c r="A1822" s="41">
        <v>966</v>
      </c>
      <c r="B1822" s="41" t="s">
        <v>6168</v>
      </c>
      <c r="E1822" s="41" t="s">
        <v>5393</v>
      </c>
      <c r="F1822" s="41" t="s">
        <v>53</v>
      </c>
      <c r="G1822" s="41" t="s">
        <v>1071</v>
      </c>
      <c r="I1822" s="41" t="s">
        <v>521</v>
      </c>
      <c r="J1822" s="41" t="s">
        <v>672</v>
      </c>
      <c r="K1822" s="42"/>
      <c r="L1822" s="41" t="s">
        <v>725</v>
      </c>
      <c r="M1822" s="41">
        <v>12</v>
      </c>
      <c r="N1822" s="41" t="s">
        <v>790</v>
      </c>
      <c r="O1822" s="41" t="s">
        <v>3263</v>
      </c>
      <c r="P1822" s="41" t="s">
        <v>68</v>
      </c>
      <c r="Q1822" s="41" t="s">
        <v>728</v>
      </c>
      <c r="R1822" s="41" t="s">
        <v>132</v>
      </c>
      <c r="S1822" s="41" t="s">
        <v>40</v>
      </c>
      <c r="T1822" s="41" t="s">
        <v>40</v>
      </c>
      <c r="U1822" s="41" t="s">
        <v>40</v>
      </c>
    </row>
    <row r="1823" spans="1:21">
      <c r="A1823" s="41">
        <v>965</v>
      </c>
      <c r="B1823" s="41" t="s">
        <v>6169</v>
      </c>
      <c r="E1823" s="41" t="s">
        <v>5393</v>
      </c>
      <c r="F1823" s="41" t="s">
        <v>53</v>
      </c>
      <c r="G1823" s="41" t="s">
        <v>1071</v>
      </c>
      <c r="I1823" s="41" t="s">
        <v>521</v>
      </c>
      <c r="J1823" s="41" t="s">
        <v>672</v>
      </c>
      <c r="K1823" s="42"/>
      <c r="L1823" s="41" t="s">
        <v>725</v>
      </c>
      <c r="M1823" s="41">
        <v>12</v>
      </c>
      <c r="N1823" s="41" t="s">
        <v>790</v>
      </c>
      <c r="O1823" s="41" t="s">
        <v>3265</v>
      </c>
      <c r="P1823" s="41" t="s">
        <v>68</v>
      </c>
      <c r="Q1823" s="41" t="s">
        <v>728</v>
      </c>
      <c r="R1823" s="41" t="s">
        <v>132</v>
      </c>
      <c r="S1823" s="41" t="s">
        <v>40</v>
      </c>
      <c r="T1823" s="41" t="s">
        <v>40</v>
      </c>
      <c r="U1823" s="41" t="s">
        <v>40</v>
      </c>
    </row>
    <row r="1824" spans="1:21">
      <c r="A1824" s="41">
        <v>964</v>
      </c>
      <c r="B1824" s="41" t="s">
        <v>6170</v>
      </c>
      <c r="E1824" s="41" t="s">
        <v>5393</v>
      </c>
      <c r="F1824" s="41" t="s">
        <v>53</v>
      </c>
      <c r="G1824" s="41" t="s">
        <v>1071</v>
      </c>
      <c r="I1824" s="41" t="s">
        <v>521</v>
      </c>
      <c r="J1824" s="41" t="s">
        <v>672</v>
      </c>
      <c r="K1824" s="42"/>
      <c r="L1824" s="41" t="s">
        <v>725</v>
      </c>
      <c r="M1824" s="41">
        <v>12</v>
      </c>
      <c r="N1824" s="41" t="s">
        <v>6059</v>
      </c>
      <c r="O1824" s="41" t="s">
        <v>4827</v>
      </c>
      <c r="P1824" s="41" t="s">
        <v>68</v>
      </c>
      <c r="Q1824" s="41" t="s">
        <v>728</v>
      </c>
      <c r="R1824" s="41" t="s">
        <v>132</v>
      </c>
      <c r="S1824" s="41" t="s">
        <v>40</v>
      </c>
      <c r="T1824" s="41" t="s">
        <v>40</v>
      </c>
      <c r="U1824" s="41" t="s">
        <v>40</v>
      </c>
    </row>
    <row r="1825" spans="1:21">
      <c r="A1825" s="41">
        <v>963</v>
      </c>
      <c r="B1825" s="41" t="s">
        <v>980</v>
      </c>
      <c r="D1825" s="41">
        <v>2714</v>
      </c>
      <c r="E1825" s="41" t="s">
        <v>981</v>
      </c>
      <c r="F1825" s="41" t="s">
        <v>53</v>
      </c>
      <c r="G1825" s="41" t="s">
        <v>141</v>
      </c>
      <c r="I1825" s="41" t="s">
        <v>231</v>
      </c>
      <c r="J1825" s="41" t="s">
        <v>295</v>
      </c>
      <c r="K1825" s="42"/>
      <c r="L1825" s="41" t="s">
        <v>6171</v>
      </c>
      <c r="M1825" s="41">
        <v>110</v>
      </c>
      <c r="N1825" s="41" t="s">
        <v>6172</v>
      </c>
      <c r="O1825" s="41" t="s">
        <v>6173</v>
      </c>
      <c r="P1825" s="41" t="s">
        <v>179</v>
      </c>
      <c r="Q1825" s="41" t="s">
        <v>592</v>
      </c>
      <c r="R1825" s="41" t="s">
        <v>132</v>
      </c>
      <c r="S1825" s="41" t="s">
        <v>6174</v>
      </c>
      <c r="T1825" s="41" t="s">
        <v>5519</v>
      </c>
      <c r="U1825" s="41" t="s">
        <v>2101</v>
      </c>
    </row>
    <row r="1826" spans="1:21">
      <c r="A1826" s="41">
        <v>962</v>
      </c>
      <c r="B1826" s="41" t="s">
        <v>6175</v>
      </c>
      <c r="D1826" s="41">
        <v>2713</v>
      </c>
      <c r="E1826" s="41" t="s">
        <v>2534</v>
      </c>
      <c r="F1826" s="41" t="s">
        <v>53</v>
      </c>
      <c r="G1826" s="41" t="s">
        <v>141</v>
      </c>
      <c r="I1826" s="41" t="s">
        <v>2981</v>
      </c>
      <c r="J1826" s="41" t="s">
        <v>295</v>
      </c>
      <c r="K1826" s="42"/>
      <c r="L1826" s="41" t="s">
        <v>6176</v>
      </c>
      <c r="M1826" s="41">
        <v>220</v>
      </c>
      <c r="N1826" s="41" t="s">
        <v>6177</v>
      </c>
      <c r="O1826" s="41" t="s">
        <v>6178</v>
      </c>
      <c r="P1826" s="41" t="s">
        <v>98</v>
      </c>
      <c r="Q1826" s="41" t="s">
        <v>569</v>
      </c>
      <c r="R1826" s="41" t="s">
        <v>62</v>
      </c>
      <c r="S1826" s="41" t="s">
        <v>6179</v>
      </c>
      <c r="T1826" s="41" t="s">
        <v>706</v>
      </c>
      <c r="U1826" s="41" t="s">
        <v>1449</v>
      </c>
    </row>
    <row r="1827" spans="1:21">
      <c r="A1827" s="41">
        <v>960</v>
      </c>
      <c r="B1827" s="41" t="s">
        <v>6180</v>
      </c>
      <c r="E1827" s="41" t="s">
        <v>5340</v>
      </c>
      <c r="F1827" s="41" t="s">
        <v>53</v>
      </c>
      <c r="G1827" s="41" t="s">
        <v>64</v>
      </c>
      <c r="I1827" s="41" t="s">
        <v>194</v>
      </c>
      <c r="J1827" s="41" t="s">
        <v>295</v>
      </c>
      <c r="K1827" s="42"/>
      <c r="L1827" s="41" t="s">
        <v>6181</v>
      </c>
      <c r="M1827" s="41">
        <v>23</v>
      </c>
      <c r="N1827" s="41" t="s">
        <v>67</v>
      </c>
      <c r="O1827" s="41" t="s">
        <v>6182</v>
      </c>
      <c r="P1827" s="41" t="s">
        <v>153</v>
      </c>
      <c r="Q1827" s="41" t="s">
        <v>1280</v>
      </c>
      <c r="R1827" s="41" t="s">
        <v>132</v>
      </c>
      <c r="S1827" s="41" t="s">
        <v>40</v>
      </c>
      <c r="T1827" s="41" t="s">
        <v>40</v>
      </c>
      <c r="U1827" s="41" t="s">
        <v>40</v>
      </c>
    </row>
    <row r="1828" spans="1:21">
      <c r="A1828" s="41">
        <v>959</v>
      </c>
      <c r="B1828" s="41" t="s">
        <v>6183</v>
      </c>
      <c r="D1828" s="41">
        <v>2710</v>
      </c>
      <c r="E1828" s="41" t="s">
        <v>5393</v>
      </c>
      <c r="F1828" s="41" t="s">
        <v>53</v>
      </c>
      <c r="G1828" s="41" t="s">
        <v>1071</v>
      </c>
      <c r="I1828" s="41" t="s">
        <v>521</v>
      </c>
      <c r="J1828" s="41" t="s">
        <v>672</v>
      </c>
      <c r="K1828" s="42"/>
      <c r="L1828" s="41" t="s">
        <v>5869</v>
      </c>
      <c r="M1828" s="41">
        <v>12</v>
      </c>
      <c r="N1828" s="41" t="s">
        <v>6184</v>
      </c>
      <c r="O1828" s="41" t="s">
        <v>402</v>
      </c>
      <c r="P1828" s="41" t="s">
        <v>68</v>
      </c>
      <c r="Q1828" s="41" t="s">
        <v>1096</v>
      </c>
      <c r="R1828" s="41" t="s">
        <v>132</v>
      </c>
      <c r="S1828" s="41" t="s">
        <v>40</v>
      </c>
      <c r="T1828" s="41" t="s">
        <v>40</v>
      </c>
      <c r="U1828" s="41" t="s">
        <v>40</v>
      </c>
    </row>
    <row r="1829" spans="1:21">
      <c r="A1829" s="41">
        <v>958</v>
      </c>
      <c r="B1829" s="41" t="s">
        <v>6185</v>
      </c>
      <c r="E1829" s="41" t="s">
        <v>5340</v>
      </c>
      <c r="F1829" s="41" t="s">
        <v>53</v>
      </c>
      <c r="G1829" s="41" t="s">
        <v>64</v>
      </c>
      <c r="I1829" s="41" t="s">
        <v>194</v>
      </c>
      <c r="J1829" s="41" t="s">
        <v>295</v>
      </c>
      <c r="K1829" s="42"/>
      <c r="L1829" s="41" t="s">
        <v>6186</v>
      </c>
      <c r="M1829" s="41">
        <v>15</v>
      </c>
      <c r="N1829" s="41" t="s">
        <v>6187</v>
      </c>
      <c r="O1829" s="41" t="s">
        <v>663</v>
      </c>
      <c r="P1829" s="41" t="s">
        <v>172</v>
      </c>
      <c r="Q1829" s="41" t="s">
        <v>1440</v>
      </c>
      <c r="R1829" s="41" t="s">
        <v>132</v>
      </c>
      <c r="S1829" s="41" t="s">
        <v>40</v>
      </c>
      <c r="T1829" s="41" t="s">
        <v>40</v>
      </c>
      <c r="U1829" s="41" t="s">
        <v>40</v>
      </c>
    </row>
    <row r="1830" spans="1:21">
      <c r="A1830" s="41">
        <v>957</v>
      </c>
      <c r="B1830" s="41" t="s">
        <v>6185</v>
      </c>
      <c r="E1830" s="41" t="s">
        <v>5340</v>
      </c>
      <c r="F1830" s="41" t="s">
        <v>53</v>
      </c>
      <c r="G1830" s="41" t="s">
        <v>43</v>
      </c>
      <c r="I1830" s="41" t="s">
        <v>194</v>
      </c>
      <c r="J1830" s="41" t="s">
        <v>295</v>
      </c>
      <c r="K1830" s="42"/>
      <c r="L1830" s="41" t="s">
        <v>6186</v>
      </c>
      <c r="M1830" s="41">
        <v>15</v>
      </c>
      <c r="N1830" s="41" t="s">
        <v>6187</v>
      </c>
      <c r="O1830" s="41" t="s">
        <v>663</v>
      </c>
      <c r="P1830" s="41" t="s">
        <v>172</v>
      </c>
      <c r="Q1830" s="41" t="s">
        <v>1440</v>
      </c>
      <c r="R1830" s="41" t="s">
        <v>132</v>
      </c>
      <c r="S1830" s="41" t="s">
        <v>40</v>
      </c>
      <c r="T1830" s="41" t="s">
        <v>40</v>
      </c>
      <c r="U1830" s="41" t="s">
        <v>40</v>
      </c>
    </row>
    <row r="1831" spans="1:21">
      <c r="A1831" s="41">
        <v>956</v>
      </c>
      <c r="B1831" s="41" t="s">
        <v>6188</v>
      </c>
      <c r="D1831" s="41">
        <v>2708</v>
      </c>
      <c r="E1831" s="41" t="s">
        <v>1286</v>
      </c>
      <c r="F1831" s="41" t="s">
        <v>28</v>
      </c>
      <c r="G1831" s="41" t="s">
        <v>64</v>
      </c>
      <c r="I1831" s="41" t="s">
        <v>6189</v>
      </c>
      <c r="J1831" s="41" t="s">
        <v>32</v>
      </c>
      <c r="K1831" s="42"/>
      <c r="L1831" s="41" t="s">
        <v>6190</v>
      </c>
      <c r="M1831" s="41">
        <v>220</v>
      </c>
      <c r="N1831" s="41" t="s">
        <v>67</v>
      </c>
      <c r="O1831" s="41" t="s">
        <v>5779</v>
      </c>
      <c r="P1831" s="41" t="s">
        <v>37</v>
      </c>
      <c r="Q1831" s="41" t="s">
        <v>1125</v>
      </c>
      <c r="R1831" s="41" t="s">
        <v>39</v>
      </c>
      <c r="S1831" s="41" t="s">
        <v>40</v>
      </c>
      <c r="T1831" s="41" t="s">
        <v>40</v>
      </c>
      <c r="U1831" s="41" t="s">
        <v>40</v>
      </c>
    </row>
    <row r="1832" spans="1:21">
      <c r="A1832" s="41">
        <v>955</v>
      </c>
      <c r="B1832" s="41" t="s">
        <v>6191</v>
      </c>
      <c r="D1832" s="41">
        <v>2707</v>
      </c>
      <c r="E1832" s="41" t="s">
        <v>1286</v>
      </c>
      <c r="F1832" s="41" t="s">
        <v>28</v>
      </c>
      <c r="G1832" s="41" t="s">
        <v>64</v>
      </c>
      <c r="I1832" s="41" t="s">
        <v>4556</v>
      </c>
      <c r="J1832" s="41" t="s">
        <v>32</v>
      </c>
      <c r="K1832" s="42"/>
      <c r="L1832" s="41" t="s">
        <v>6190</v>
      </c>
      <c r="M1832" s="41">
        <v>220</v>
      </c>
      <c r="N1832" s="41" t="s">
        <v>67</v>
      </c>
      <c r="O1832" s="41" t="s">
        <v>3213</v>
      </c>
      <c r="P1832" s="41" t="s">
        <v>1046</v>
      </c>
      <c r="Q1832" s="41" t="s">
        <v>1047</v>
      </c>
      <c r="R1832" s="41" t="s">
        <v>39</v>
      </c>
      <c r="S1832" s="41" t="s">
        <v>40</v>
      </c>
      <c r="T1832" s="41" t="s">
        <v>40</v>
      </c>
      <c r="U1832" s="41" t="s">
        <v>40</v>
      </c>
    </row>
    <row r="1833" spans="1:21">
      <c r="A1833" s="41">
        <v>954</v>
      </c>
      <c r="B1833" s="41" t="s">
        <v>6192</v>
      </c>
      <c r="D1833" s="41">
        <v>2692</v>
      </c>
      <c r="E1833" s="41" t="s">
        <v>5393</v>
      </c>
      <c r="F1833" s="41" t="s">
        <v>53</v>
      </c>
      <c r="G1833" s="41" t="s">
        <v>1071</v>
      </c>
      <c r="I1833" s="41" t="s">
        <v>521</v>
      </c>
      <c r="J1833" s="41" t="s">
        <v>672</v>
      </c>
      <c r="K1833" s="42"/>
      <c r="L1833" s="41" t="s">
        <v>6193</v>
      </c>
      <c r="M1833" s="41">
        <v>12</v>
      </c>
      <c r="N1833" s="41" t="s">
        <v>6194</v>
      </c>
      <c r="O1833" s="41" t="s">
        <v>663</v>
      </c>
      <c r="P1833" s="41" t="s">
        <v>68</v>
      </c>
      <c r="Q1833" s="41" t="s">
        <v>1096</v>
      </c>
      <c r="R1833" s="41" t="s">
        <v>132</v>
      </c>
      <c r="S1833" s="41" t="s">
        <v>40</v>
      </c>
      <c r="T1833" s="41" t="s">
        <v>40</v>
      </c>
      <c r="U1833" s="41" t="s">
        <v>40</v>
      </c>
    </row>
    <row r="1834" spans="1:21">
      <c r="A1834" s="41">
        <v>953</v>
      </c>
      <c r="B1834" s="41" t="s">
        <v>6195</v>
      </c>
      <c r="D1834" s="41">
        <v>2691</v>
      </c>
      <c r="E1834" s="41" t="s">
        <v>5393</v>
      </c>
      <c r="F1834" s="41" t="s">
        <v>53</v>
      </c>
      <c r="G1834" s="41" t="s">
        <v>1071</v>
      </c>
      <c r="I1834" s="41" t="s">
        <v>521</v>
      </c>
      <c r="J1834" s="41" t="s">
        <v>672</v>
      </c>
      <c r="K1834" s="42"/>
      <c r="L1834" s="41" t="s">
        <v>5869</v>
      </c>
      <c r="M1834" s="41">
        <v>12</v>
      </c>
      <c r="N1834" s="41" t="s">
        <v>6194</v>
      </c>
      <c r="O1834" s="41" t="s">
        <v>650</v>
      </c>
      <c r="P1834" s="41" t="s">
        <v>68</v>
      </c>
      <c r="Q1834" s="41" t="s">
        <v>1096</v>
      </c>
      <c r="R1834" s="41" t="s">
        <v>132</v>
      </c>
      <c r="S1834" s="41" t="s">
        <v>40</v>
      </c>
      <c r="T1834" s="41" t="s">
        <v>40</v>
      </c>
      <c r="U1834" s="41" t="s">
        <v>40</v>
      </c>
    </row>
    <row r="1835" spans="1:21">
      <c r="A1835" s="41">
        <v>952</v>
      </c>
      <c r="B1835" s="41" t="s">
        <v>6196</v>
      </c>
      <c r="E1835" s="41" t="s">
        <v>1435</v>
      </c>
      <c r="F1835" s="41" t="s">
        <v>53</v>
      </c>
      <c r="G1835" s="41" t="s">
        <v>64</v>
      </c>
      <c r="I1835" s="41" t="s">
        <v>194</v>
      </c>
      <c r="J1835" s="41" t="s">
        <v>295</v>
      </c>
      <c r="K1835" s="42"/>
      <c r="L1835" s="41" t="s">
        <v>6197</v>
      </c>
      <c r="M1835" s="41">
        <v>13</v>
      </c>
      <c r="N1835" s="41" t="s">
        <v>6198</v>
      </c>
      <c r="O1835" s="41" t="s">
        <v>36</v>
      </c>
      <c r="P1835" s="41" t="s">
        <v>546</v>
      </c>
      <c r="Q1835" s="41" t="s">
        <v>2100</v>
      </c>
      <c r="R1835" s="41" t="s">
        <v>132</v>
      </c>
      <c r="S1835" s="41" t="s">
        <v>40</v>
      </c>
      <c r="T1835" s="41" t="s">
        <v>40</v>
      </c>
      <c r="U1835" s="41" t="s">
        <v>40</v>
      </c>
    </row>
    <row r="1836" spans="1:21">
      <c r="A1836" s="41">
        <v>951</v>
      </c>
      <c r="B1836" s="41" t="s">
        <v>6199</v>
      </c>
      <c r="E1836" s="41" t="s">
        <v>5340</v>
      </c>
      <c r="F1836" s="41" t="s">
        <v>53</v>
      </c>
      <c r="G1836" s="41" t="s">
        <v>64</v>
      </c>
      <c r="I1836" s="41" t="s">
        <v>194</v>
      </c>
      <c r="J1836" s="41" t="s">
        <v>295</v>
      </c>
      <c r="K1836" s="42"/>
      <c r="L1836" s="41" t="s">
        <v>6200</v>
      </c>
      <c r="M1836" s="41">
        <v>23</v>
      </c>
      <c r="N1836" s="41" t="s">
        <v>5268</v>
      </c>
      <c r="O1836" s="41" t="s">
        <v>6182</v>
      </c>
      <c r="P1836" s="41" t="s">
        <v>382</v>
      </c>
      <c r="Q1836" s="41" t="s">
        <v>3148</v>
      </c>
      <c r="R1836" s="41" t="s">
        <v>132</v>
      </c>
      <c r="S1836" s="41" t="s">
        <v>40</v>
      </c>
      <c r="T1836" s="41" t="s">
        <v>40</v>
      </c>
      <c r="U1836" s="41" t="s">
        <v>40</v>
      </c>
    </row>
    <row r="1837" spans="1:21">
      <c r="A1837" s="41">
        <v>950</v>
      </c>
      <c r="B1837" s="41" t="s">
        <v>6201</v>
      </c>
      <c r="E1837" s="41" t="s">
        <v>5340</v>
      </c>
      <c r="F1837" s="41" t="s">
        <v>53</v>
      </c>
      <c r="G1837" s="41" t="s">
        <v>64</v>
      </c>
      <c r="I1837" s="41" t="s">
        <v>194</v>
      </c>
      <c r="J1837" s="41" t="s">
        <v>295</v>
      </c>
      <c r="K1837" s="42"/>
      <c r="L1837" s="41" t="s">
        <v>6202</v>
      </c>
      <c r="M1837" s="41">
        <v>15</v>
      </c>
      <c r="N1837" s="41" t="s">
        <v>67</v>
      </c>
      <c r="O1837" s="41" t="s">
        <v>663</v>
      </c>
      <c r="P1837" s="41" t="s">
        <v>60</v>
      </c>
      <c r="Q1837" s="41" t="s">
        <v>1344</v>
      </c>
      <c r="R1837" s="41" t="s">
        <v>132</v>
      </c>
      <c r="S1837" s="41" t="s">
        <v>40</v>
      </c>
      <c r="T1837" s="41" t="s">
        <v>40</v>
      </c>
      <c r="U1837" s="41" t="s">
        <v>40</v>
      </c>
    </row>
    <row r="1838" spans="1:21">
      <c r="A1838" s="41">
        <v>949</v>
      </c>
      <c r="B1838" s="41" t="s">
        <v>6203</v>
      </c>
      <c r="E1838" s="41" t="s">
        <v>5340</v>
      </c>
      <c r="F1838" s="41" t="s">
        <v>53</v>
      </c>
      <c r="G1838" s="41" t="s">
        <v>64</v>
      </c>
      <c r="I1838" s="41" t="s">
        <v>194</v>
      </c>
      <c r="J1838" s="41" t="s">
        <v>295</v>
      </c>
      <c r="K1838" s="42"/>
      <c r="L1838" s="41" t="s">
        <v>6204</v>
      </c>
      <c r="M1838" s="41">
        <v>13</v>
      </c>
      <c r="N1838" s="41" t="s">
        <v>67</v>
      </c>
      <c r="O1838" s="41" t="s">
        <v>663</v>
      </c>
      <c r="P1838" s="41" t="s">
        <v>334</v>
      </c>
      <c r="Q1838" s="41" t="s">
        <v>4481</v>
      </c>
      <c r="R1838" s="41" t="s">
        <v>132</v>
      </c>
      <c r="S1838" s="41" t="s">
        <v>40</v>
      </c>
      <c r="T1838" s="41" t="s">
        <v>40</v>
      </c>
      <c r="U1838" s="41" t="s">
        <v>40</v>
      </c>
    </row>
    <row r="1839" spans="1:21">
      <c r="A1839" s="41">
        <v>948</v>
      </c>
      <c r="B1839" s="41" t="s">
        <v>6205</v>
      </c>
      <c r="E1839" s="41" t="s">
        <v>5393</v>
      </c>
      <c r="F1839" s="41" t="s">
        <v>53</v>
      </c>
      <c r="G1839" s="41" t="s">
        <v>1071</v>
      </c>
      <c r="I1839" s="41" t="s">
        <v>521</v>
      </c>
      <c r="J1839" s="41" t="s">
        <v>672</v>
      </c>
      <c r="K1839" s="42"/>
      <c r="L1839" s="41" t="s">
        <v>6206</v>
      </c>
      <c r="M1839" s="41">
        <v>12</v>
      </c>
      <c r="N1839" s="41" t="s">
        <v>6083</v>
      </c>
      <c r="O1839" s="41" t="s">
        <v>4827</v>
      </c>
      <c r="P1839" s="41" t="s">
        <v>68</v>
      </c>
      <c r="Q1839" s="41" t="s">
        <v>191</v>
      </c>
      <c r="R1839" s="41" t="s">
        <v>132</v>
      </c>
      <c r="S1839" s="41" t="s">
        <v>40</v>
      </c>
      <c r="T1839" s="41" t="s">
        <v>40</v>
      </c>
      <c r="U1839" s="41" t="s">
        <v>40</v>
      </c>
    </row>
    <row r="1840" spans="1:21">
      <c r="A1840" s="41">
        <v>947</v>
      </c>
      <c r="B1840" s="41" t="s">
        <v>6207</v>
      </c>
      <c r="E1840" s="41" t="s">
        <v>5393</v>
      </c>
      <c r="F1840" s="41" t="s">
        <v>53</v>
      </c>
      <c r="G1840" s="41" t="s">
        <v>1071</v>
      </c>
      <c r="I1840" s="41" t="s">
        <v>521</v>
      </c>
      <c r="J1840" s="41" t="s">
        <v>672</v>
      </c>
      <c r="K1840" s="42"/>
      <c r="L1840" s="41" t="s">
        <v>6208</v>
      </c>
      <c r="M1840" s="41">
        <v>12</v>
      </c>
      <c r="N1840" s="41" t="s">
        <v>6083</v>
      </c>
      <c r="O1840" s="41" t="s">
        <v>4302</v>
      </c>
      <c r="P1840" s="41" t="s">
        <v>68</v>
      </c>
      <c r="Q1840" s="41" t="s">
        <v>1794</v>
      </c>
      <c r="R1840" s="41" t="s">
        <v>132</v>
      </c>
      <c r="S1840" s="41" t="s">
        <v>40</v>
      </c>
      <c r="T1840" s="41" t="s">
        <v>40</v>
      </c>
      <c r="U1840" s="41" t="s">
        <v>40</v>
      </c>
    </row>
    <row r="1841" spans="1:21">
      <c r="A1841" s="41">
        <v>946</v>
      </c>
      <c r="B1841" s="41" t="s">
        <v>6209</v>
      </c>
      <c r="D1841" s="41">
        <v>2684</v>
      </c>
      <c r="E1841" s="41" t="s">
        <v>4192</v>
      </c>
      <c r="F1841" s="41" t="s">
        <v>53</v>
      </c>
      <c r="G1841" s="41" t="s">
        <v>307</v>
      </c>
      <c r="I1841" s="41" t="s">
        <v>6210</v>
      </c>
      <c r="J1841" s="41" t="s">
        <v>295</v>
      </c>
      <c r="K1841" s="42"/>
      <c r="L1841" s="41" t="s">
        <v>3923</v>
      </c>
      <c r="M1841" s="41">
        <v>110</v>
      </c>
      <c r="N1841" s="41" t="s">
        <v>6211</v>
      </c>
      <c r="O1841" s="41" t="s">
        <v>1473</v>
      </c>
      <c r="P1841" s="41" t="s">
        <v>153</v>
      </c>
      <c r="Q1841" s="41" t="s">
        <v>329</v>
      </c>
      <c r="R1841" s="41" t="s">
        <v>132</v>
      </c>
      <c r="S1841" s="41" t="s">
        <v>6212</v>
      </c>
      <c r="T1841" s="41" t="s">
        <v>693</v>
      </c>
      <c r="U1841" s="41" t="s">
        <v>40</v>
      </c>
    </row>
    <row r="1842" spans="1:21">
      <c r="A1842" s="41">
        <v>945</v>
      </c>
      <c r="B1842" s="41" t="s">
        <v>6213</v>
      </c>
      <c r="D1842" s="41">
        <v>2682</v>
      </c>
      <c r="E1842" s="41" t="s">
        <v>5393</v>
      </c>
      <c r="F1842" s="41" t="s">
        <v>53</v>
      </c>
      <c r="G1842" s="41" t="s">
        <v>1071</v>
      </c>
      <c r="I1842" s="41" t="s">
        <v>1966</v>
      </c>
      <c r="J1842" s="41" t="s">
        <v>672</v>
      </c>
      <c r="K1842" s="42"/>
      <c r="L1842" s="41" t="s">
        <v>5937</v>
      </c>
      <c r="M1842" s="41">
        <v>23</v>
      </c>
      <c r="N1842" s="41" t="s">
        <v>6214</v>
      </c>
      <c r="O1842" s="41" t="s">
        <v>1940</v>
      </c>
      <c r="P1842" s="41" t="s">
        <v>68</v>
      </c>
      <c r="Q1842" s="41" t="s">
        <v>403</v>
      </c>
      <c r="R1842" s="41" t="s">
        <v>132</v>
      </c>
      <c r="S1842" s="41" t="s">
        <v>40</v>
      </c>
      <c r="T1842" s="41" t="s">
        <v>40</v>
      </c>
      <c r="U1842" s="41" t="s">
        <v>40</v>
      </c>
    </row>
    <row r="1843" spans="1:21">
      <c r="A1843" s="41">
        <v>944</v>
      </c>
      <c r="B1843" s="41" t="s">
        <v>6215</v>
      </c>
      <c r="E1843" s="41" t="s">
        <v>6216</v>
      </c>
      <c r="F1843" s="41" t="s">
        <v>53</v>
      </c>
      <c r="G1843" s="41" t="s">
        <v>64</v>
      </c>
      <c r="I1843" s="41" t="s">
        <v>325</v>
      </c>
      <c r="J1843" s="41" t="s">
        <v>295</v>
      </c>
      <c r="K1843" s="42"/>
      <c r="L1843" s="41" t="s">
        <v>6217</v>
      </c>
      <c r="M1843" s="41">
        <v>110</v>
      </c>
      <c r="N1843" s="41" t="s">
        <v>1693</v>
      </c>
      <c r="O1843" s="41" t="s">
        <v>1799</v>
      </c>
      <c r="P1843" s="41" t="s">
        <v>78</v>
      </c>
      <c r="Q1843" s="41" t="s">
        <v>6218</v>
      </c>
      <c r="R1843" s="41" t="s">
        <v>132</v>
      </c>
      <c r="S1843" s="41" t="s">
        <v>40</v>
      </c>
      <c r="T1843" s="41" t="s">
        <v>40</v>
      </c>
      <c r="U1843" s="41" t="s">
        <v>40</v>
      </c>
    </row>
    <row r="1844" spans="1:21">
      <c r="A1844" s="41">
        <v>943</v>
      </c>
      <c r="B1844" s="41" t="s">
        <v>6219</v>
      </c>
      <c r="D1844" s="41">
        <v>2681</v>
      </c>
      <c r="E1844" s="41" t="s">
        <v>1191</v>
      </c>
      <c r="F1844" s="41" t="s">
        <v>53</v>
      </c>
      <c r="G1844" s="41" t="s">
        <v>64</v>
      </c>
      <c r="I1844" s="41" t="s">
        <v>1024</v>
      </c>
      <c r="J1844" s="41" t="s">
        <v>295</v>
      </c>
      <c r="K1844" s="42"/>
      <c r="L1844" s="41" t="s">
        <v>6220</v>
      </c>
      <c r="M1844" s="41">
        <v>220</v>
      </c>
      <c r="N1844" s="41" t="s">
        <v>395</v>
      </c>
      <c r="O1844" s="41" t="s">
        <v>77</v>
      </c>
      <c r="P1844" s="41" t="s">
        <v>98</v>
      </c>
      <c r="Q1844" s="41" t="s">
        <v>116</v>
      </c>
      <c r="R1844" s="41" t="s">
        <v>62</v>
      </c>
      <c r="S1844" s="41" t="s">
        <v>40</v>
      </c>
      <c r="T1844" s="41" t="s">
        <v>40</v>
      </c>
      <c r="U1844" s="41" t="s">
        <v>40</v>
      </c>
    </row>
    <row r="1845" spans="1:21">
      <c r="A1845" s="41">
        <v>942</v>
      </c>
      <c r="B1845" s="41" t="s">
        <v>6221</v>
      </c>
      <c r="E1845" s="41" t="s">
        <v>1739</v>
      </c>
      <c r="F1845" s="41" t="s">
        <v>28</v>
      </c>
      <c r="G1845" s="41" t="s">
        <v>64</v>
      </c>
      <c r="I1845" s="41" t="s">
        <v>3146</v>
      </c>
      <c r="J1845" s="41" t="s">
        <v>672</v>
      </c>
      <c r="K1845" s="42"/>
      <c r="L1845" s="41" t="s">
        <v>6222</v>
      </c>
      <c r="M1845" s="41">
        <v>23</v>
      </c>
      <c r="N1845" s="41" t="s">
        <v>1623</v>
      </c>
      <c r="O1845" s="41" t="s">
        <v>1124</v>
      </c>
      <c r="P1845" s="41" t="s">
        <v>179</v>
      </c>
      <c r="Q1845" s="41" t="s">
        <v>1116</v>
      </c>
      <c r="R1845" s="41" t="s">
        <v>39</v>
      </c>
      <c r="S1845" s="41" t="s">
        <v>40</v>
      </c>
      <c r="T1845" s="41" t="s">
        <v>40</v>
      </c>
      <c r="U1845" s="41" t="s">
        <v>40</v>
      </c>
    </row>
    <row r="1846" spans="1:21">
      <c r="A1846" s="41">
        <v>941</v>
      </c>
      <c r="B1846" s="41" t="s">
        <v>6223</v>
      </c>
      <c r="E1846" s="41" t="s">
        <v>6016</v>
      </c>
      <c r="F1846" s="41" t="s">
        <v>53</v>
      </c>
      <c r="G1846" s="41" t="s">
        <v>64</v>
      </c>
      <c r="I1846" s="41" t="s">
        <v>973</v>
      </c>
      <c r="J1846" s="41" t="s">
        <v>295</v>
      </c>
      <c r="K1846" s="42"/>
      <c r="L1846" s="41" t="s">
        <v>4039</v>
      </c>
      <c r="M1846" s="41">
        <v>220</v>
      </c>
      <c r="N1846" s="41" t="s">
        <v>805</v>
      </c>
      <c r="O1846" s="41" t="s">
        <v>77</v>
      </c>
      <c r="P1846" s="41" t="s">
        <v>78</v>
      </c>
      <c r="Q1846" s="41" t="s">
        <v>1139</v>
      </c>
      <c r="R1846" s="41" t="s">
        <v>62</v>
      </c>
      <c r="S1846" s="41" t="s">
        <v>40</v>
      </c>
      <c r="T1846" s="41" t="s">
        <v>40</v>
      </c>
      <c r="U1846" s="41" t="s">
        <v>40</v>
      </c>
    </row>
    <row r="1847" spans="1:21">
      <c r="A1847" s="41">
        <v>940</v>
      </c>
      <c r="B1847" s="41" t="s">
        <v>6224</v>
      </c>
      <c r="D1847" s="41">
        <v>2677</v>
      </c>
      <c r="E1847" s="41" t="s">
        <v>3714</v>
      </c>
      <c r="F1847" s="41" t="s">
        <v>28</v>
      </c>
      <c r="G1847" s="41" t="s">
        <v>307</v>
      </c>
      <c r="I1847" s="41" t="s">
        <v>6225</v>
      </c>
      <c r="J1847" s="41" t="s">
        <v>380</v>
      </c>
      <c r="K1847" s="42"/>
      <c r="L1847" s="41" t="s">
        <v>6226</v>
      </c>
      <c r="M1847" s="41">
        <v>220</v>
      </c>
      <c r="N1847" s="41" t="s">
        <v>311</v>
      </c>
      <c r="O1847" s="41" t="s">
        <v>311</v>
      </c>
      <c r="P1847" s="41" t="s">
        <v>98</v>
      </c>
      <c r="Q1847" s="41" t="s">
        <v>569</v>
      </c>
      <c r="R1847" s="41" t="s">
        <v>39</v>
      </c>
      <c r="S1847" s="41" t="s">
        <v>40</v>
      </c>
      <c r="T1847" s="41" t="s">
        <v>506</v>
      </c>
      <c r="U1847" s="41" t="s">
        <v>40</v>
      </c>
    </row>
    <row r="1848" spans="1:21">
      <c r="A1848" s="41">
        <v>939</v>
      </c>
      <c r="B1848" s="41" t="s">
        <v>6227</v>
      </c>
      <c r="E1848" s="41" t="s">
        <v>1136</v>
      </c>
      <c r="F1848" s="41" t="s">
        <v>28</v>
      </c>
      <c r="G1848" s="41" t="s">
        <v>64</v>
      </c>
      <c r="I1848" s="41" t="s">
        <v>162</v>
      </c>
      <c r="J1848" s="41" t="s">
        <v>295</v>
      </c>
      <c r="K1848" s="42"/>
      <c r="L1848" s="41" t="s">
        <v>6228</v>
      </c>
      <c r="M1848" s="41">
        <v>220</v>
      </c>
      <c r="N1848" s="41" t="s">
        <v>67</v>
      </c>
      <c r="O1848" s="41" t="s">
        <v>747</v>
      </c>
      <c r="P1848" s="41" t="s">
        <v>68</v>
      </c>
      <c r="Q1848" s="41" t="s">
        <v>699</v>
      </c>
      <c r="R1848" s="41" t="s">
        <v>39</v>
      </c>
      <c r="S1848" s="41" t="s">
        <v>40</v>
      </c>
      <c r="T1848" s="41" t="s">
        <v>40</v>
      </c>
      <c r="U1848" s="41" t="s">
        <v>40</v>
      </c>
    </row>
    <row r="1849" spans="1:21">
      <c r="A1849" s="41">
        <v>938</v>
      </c>
      <c r="B1849" s="41" t="s">
        <v>6229</v>
      </c>
      <c r="E1849" s="41" t="s">
        <v>5340</v>
      </c>
      <c r="F1849" s="41" t="s">
        <v>53</v>
      </c>
      <c r="G1849" s="41" t="s">
        <v>64</v>
      </c>
      <c r="I1849" s="41" t="s">
        <v>194</v>
      </c>
      <c r="J1849" s="41" t="s">
        <v>295</v>
      </c>
      <c r="K1849" s="42"/>
      <c r="L1849" s="41" t="s">
        <v>6230</v>
      </c>
      <c r="M1849" s="41">
        <v>23</v>
      </c>
      <c r="N1849" s="41" t="s">
        <v>67</v>
      </c>
      <c r="O1849" s="41" t="s">
        <v>2228</v>
      </c>
      <c r="P1849" s="41" t="s">
        <v>83</v>
      </c>
      <c r="Q1849" s="41" t="s">
        <v>467</v>
      </c>
      <c r="R1849" s="41" t="s">
        <v>132</v>
      </c>
      <c r="S1849" s="41" t="s">
        <v>40</v>
      </c>
      <c r="T1849" s="41" t="s">
        <v>40</v>
      </c>
      <c r="U1849" s="41" t="s">
        <v>40</v>
      </c>
    </row>
    <row r="1850" spans="1:21">
      <c r="A1850" s="41">
        <v>937</v>
      </c>
      <c r="B1850" s="41" t="s">
        <v>6231</v>
      </c>
      <c r="E1850" s="41" t="s">
        <v>5340</v>
      </c>
      <c r="F1850" s="41" t="s">
        <v>53</v>
      </c>
      <c r="G1850" s="41" t="s">
        <v>64</v>
      </c>
      <c r="I1850" s="41" t="s">
        <v>194</v>
      </c>
      <c r="J1850" s="41" t="s">
        <v>295</v>
      </c>
      <c r="K1850" s="42"/>
      <c r="L1850" s="41" t="s">
        <v>5908</v>
      </c>
      <c r="M1850" s="41">
        <v>23</v>
      </c>
      <c r="N1850" s="41" t="s">
        <v>67</v>
      </c>
      <c r="O1850" s="41" t="s">
        <v>5712</v>
      </c>
      <c r="P1850" s="41" t="s">
        <v>334</v>
      </c>
      <c r="Q1850" s="41" t="s">
        <v>4538</v>
      </c>
      <c r="R1850" s="41" t="s">
        <v>132</v>
      </c>
      <c r="S1850" s="41" t="s">
        <v>40</v>
      </c>
      <c r="T1850" s="41" t="s">
        <v>40</v>
      </c>
      <c r="U1850" s="41" t="s">
        <v>40</v>
      </c>
    </row>
    <row r="1851" spans="1:21">
      <c r="A1851" s="41">
        <v>936</v>
      </c>
      <c r="B1851" s="41" t="s">
        <v>6232</v>
      </c>
      <c r="E1851" s="41" t="s">
        <v>5340</v>
      </c>
      <c r="F1851" s="41" t="s">
        <v>53</v>
      </c>
      <c r="G1851" s="41" t="s">
        <v>64</v>
      </c>
      <c r="I1851" s="41" t="s">
        <v>194</v>
      </c>
      <c r="J1851" s="41" t="s">
        <v>295</v>
      </c>
      <c r="K1851" s="42"/>
      <c r="L1851" s="41" t="s">
        <v>6233</v>
      </c>
      <c r="M1851" s="41">
        <v>23</v>
      </c>
      <c r="N1851" s="41" t="s">
        <v>6234</v>
      </c>
      <c r="O1851" s="41" t="s">
        <v>5709</v>
      </c>
      <c r="P1851" s="41" t="s">
        <v>382</v>
      </c>
      <c r="Q1851" s="41" t="s">
        <v>4021</v>
      </c>
      <c r="R1851" s="41" t="s">
        <v>132</v>
      </c>
      <c r="S1851" s="41" t="s">
        <v>40</v>
      </c>
      <c r="T1851" s="41" t="s">
        <v>40</v>
      </c>
      <c r="U1851" s="41" t="s">
        <v>40</v>
      </c>
    </row>
    <row r="1852" spans="1:21">
      <c r="A1852" s="41">
        <v>935</v>
      </c>
      <c r="B1852" s="41" t="s">
        <v>6235</v>
      </c>
      <c r="E1852" s="41" t="s">
        <v>5340</v>
      </c>
      <c r="F1852" s="41" t="s">
        <v>53</v>
      </c>
      <c r="G1852" s="41" t="s">
        <v>64</v>
      </c>
      <c r="I1852" s="41" t="s">
        <v>194</v>
      </c>
      <c r="J1852" s="41" t="s">
        <v>295</v>
      </c>
      <c r="K1852" s="42"/>
      <c r="L1852" s="41" t="s">
        <v>4679</v>
      </c>
      <c r="M1852" s="41">
        <v>23</v>
      </c>
      <c r="N1852" s="41" t="s">
        <v>67</v>
      </c>
      <c r="O1852" s="41" t="s">
        <v>2228</v>
      </c>
      <c r="P1852" s="41" t="s">
        <v>83</v>
      </c>
      <c r="Q1852" s="41" t="s">
        <v>84</v>
      </c>
      <c r="R1852" s="41" t="s">
        <v>132</v>
      </c>
      <c r="S1852" s="41" t="s">
        <v>40</v>
      </c>
      <c r="T1852" s="41" t="s">
        <v>40</v>
      </c>
      <c r="U1852" s="41" t="s">
        <v>40</v>
      </c>
    </row>
    <row r="1853" spans="1:21">
      <c r="A1853" s="41">
        <v>934</v>
      </c>
      <c r="B1853" s="41" t="s">
        <v>6236</v>
      </c>
      <c r="E1853" s="41" t="s">
        <v>5340</v>
      </c>
      <c r="F1853" s="41" t="s">
        <v>53</v>
      </c>
      <c r="G1853" s="41" t="s">
        <v>64</v>
      </c>
      <c r="I1853" s="41" t="s">
        <v>194</v>
      </c>
      <c r="J1853" s="41" t="s">
        <v>295</v>
      </c>
      <c r="K1853" s="42"/>
      <c r="L1853" s="41" t="s">
        <v>6237</v>
      </c>
      <c r="M1853" s="41">
        <v>13</v>
      </c>
      <c r="N1853" s="41" t="s">
        <v>67</v>
      </c>
      <c r="O1853" s="41" t="s">
        <v>6238</v>
      </c>
      <c r="P1853" s="41" t="s">
        <v>382</v>
      </c>
      <c r="Q1853" s="41" t="s">
        <v>3148</v>
      </c>
      <c r="R1853" s="41" t="s">
        <v>132</v>
      </c>
      <c r="S1853" s="41" t="s">
        <v>40</v>
      </c>
      <c r="T1853" s="41" t="s">
        <v>40</v>
      </c>
      <c r="U1853" s="41" t="s">
        <v>40</v>
      </c>
    </row>
    <row r="1854" spans="1:21">
      <c r="A1854" s="41">
        <v>933</v>
      </c>
      <c r="B1854" s="41" t="s">
        <v>6239</v>
      </c>
      <c r="E1854" s="41" t="s">
        <v>2426</v>
      </c>
      <c r="F1854" s="41" t="s">
        <v>53</v>
      </c>
      <c r="G1854" s="41" t="s">
        <v>64</v>
      </c>
      <c r="I1854" s="41" t="s">
        <v>45</v>
      </c>
      <c r="J1854" s="41" t="s">
        <v>380</v>
      </c>
      <c r="K1854" s="42"/>
      <c r="L1854" s="41" t="s">
        <v>6240</v>
      </c>
      <c r="M1854" s="41">
        <v>220</v>
      </c>
      <c r="N1854" s="41" t="s">
        <v>67</v>
      </c>
      <c r="O1854" s="41" t="s">
        <v>620</v>
      </c>
      <c r="P1854" s="41" t="s">
        <v>382</v>
      </c>
      <c r="Q1854" s="41" t="s">
        <v>446</v>
      </c>
      <c r="R1854" s="41" t="s">
        <v>62</v>
      </c>
      <c r="S1854" s="41" t="s">
        <v>40</v>
      </c>
      <c r="T1854" s="41" t="s">
        <v>40</v>
      </c>
      <c r="U1854" s="41" t="s">
        <v>40</v>
      </c>
    </row>
    <row r="1855" spans="1:21">
      <c r="A1855" s="41">
        <v>932</v>
      </c>
      <c r="B1855" s="41" t="s">
        <v>6241</v>
      </c>
      <c r="D1855" s="41">
        <v>2669</v>
      </c>
      <c r="E1855" s="41" t="s">
        <v>6242</v>
      </c>
      <c r="F1855" s="41" t="s">
        <v>53</v>
      </c>
      <c r="G1855" s="41" t="s">
        <v>43</v>
      </c>
      <c r="I1855" s="41" t="s">
        <v>56</v>
      </c>
      <c r="J1855" s="41" t="s">
        <v>1906</v>
      </c>
      <c r="K1855" s="42"/>
      <c r="L1855" s="41" t="s">
        <v>3559</v>
      </c>
      <c r="M1855" s="41">
        <v>220</v>
      </c>
      <c r="N1855" s="41" t="s">
        <v>1629</v>
      </c>
      <c r="O1855" s="41" t="s">
        <v>6243</v>
      </c>
      <c r="P1855" s="41" t="s">
        <v>37</v>
      </c>
      <c r="Q1855" s="41" t="s">
        <v>1960</v>
      </c>
      <c r="R1855" s="41" t="s">
        <v>62</v>
      </c>
      <c r="S1855" s="41" t="s">
        <v>6244</v>
      </c>
      <c r="T1855" s="41" t="s">
        <v>4640</v>
      </c>
      <c r="U1855" s="41" t="s">
        <v>1699</v>
      </c>
    </row>
    <row r="1856" spans="1:21">
      <c r="A1856" s="41">
        <v>931</v>
      </c>
      <c r="B1856" s="41" t="s">
        <v>6245</v>
      </c>
      <c r="D1856" s="41">
        <v>2668</v>
      </c>
      <c r="E1856" s="41" t="s">
        <v>6246</v>
      </c>
      <c r="F1856" s="41" t="s">
        <v>28</v>
      </c>
      <c r="G1856" s="41" t="s">
        <v>307</v>
      </c>
      <c r="I1856" s="41" t="s">
        <v>194</v>
      </c>
      <c r="J1856" s="41" t="s">
        <v>295</v>
      </c>
      <c r="K1856" s="42"/>
      <c r="L1856" s="41" t="s">
        <v>6247</v>
      </c>
      <c r="M1856" s="41">
        <v>23</v>
      </c>
      <c r="N1856" s="41" t="s">
        <v>2742</v>
      </c>
      <c r="O1856" s="41" t="s">
        <v>36</v>
      </c>
      <c r="P1856" s="41" t="s">
        <v>98</v>
      </c>
      <c r="Q1856" s="41" t="s">
        <v>204</v>
      </c>
      <c r="R1856" s="41" t="s">
        <v>39</v>
      </c>
      <c r="S1856" s="41" t="s">
        <v>40</v>
      </c>
      <c r="T1856" s="41" t="s">
        <v>40</v>
      </c>
      <c r="U1856" s="41" t="s">
        <v>40</v>
      </c>
    </row>
    <row r="1857" spans="1:21">
      <c r="A1857" s="41">
        <v>930</v>
      </c>
      <c r="B1857" s="41" t="s">
        <v>6248</v>
      </c>
      <c r="D1857" s="41">
        <v>2652</v>
      </c>
      <c r="E1857" s="41" t="s">
        <v>1424</v>
      </c>
      <c r="F1857" s="41" t="s">
        <v>28</v>
      </c>
      <c r="G1857" s="41" t="s">
        <v>307</v>
      </c>
      <c r="I1857" s="41" t="s">
        <v>406</v>
      </c>
      <c r="J1857" s="41" t="s">
        <v>672</v>
      </c>
      <c r="K1857" s="42"/>
      <c r="L1857" s="41" t="s">
        <v>6249</v>
      </c>
      <c r="M1857" s="41">
        <v>220</v>
      </c>
      <c r="N1857" s="41" t="s">
        <v>6250</v>
      </c>
      <c r="O1857" s="41" t="s">
        <v>138</v>
      </c>
      <c r="P1857" s="41" t="s">
        <v>50</v>
      </c>
      <c r="Q1857" s="41" t="s">
        <v>1499</v>
      </c>
      <c r="R1857" s="41" t="s">
        <v>39</v>
      </c>
      <c r="S1857" s="41" t="s">
        <v>40</v>
      </c>
      <c r="T1857" s="41" t="s">
        <v>6251</v>
      </c>
      <c r="U1857" s="41" t="s">
        <v>40</v>
      </c>
    </row>
    <row r="1858" spans="1:21">
      <c r="A1858" s="41">
        <v>929</v>
      </c>
      <c r="B1858" s="41" t="s">
        <v>6103</v>
      </c>
      <c r="D1858" s="41">
        <v>2650</v>
      </c>
      <c r="E1858" s="41" t="s">
        <v>2639</v>
      </c>
      <c r="F1858" s="41" t="s">
        <v>53</v>
      </c>
      <c r="G1858" s="41" t="s">
        <v>141</v>
      </c>
      <c r="I1858" s="41" t="s">
        <v>392</v>
      </c>
      <c r="J1858" s="41" t="s">
        <v>295</v>
      </c>
      <c r="K1858" s="42"/>
      <c r="L1858" s="41" t="s">
        <v>5036</v>
      </c>
      <c r="M1858" s="41">
        <v>220</v>
      </c>
      <c r="N1858" s="41" t="s">
        <v>67</v>
      </c>
      <c r="O1858" s="41" t="s">
        <v>3023</v>
      </c>
      <c r="P1858" s="41" t="s">
        <v>172</v>
      </c>
      <c r="Q1858" s="41" t="s">
        <v>253</v>
      </c>
      <c r="R1858" s="41" t="s">
        <v>62</v>
      </c>
      <c r="S1858" s="41" t="s">
        <v>6252</v>
      </c>
      <c r="T1858" s="41" t="s">
        <v>1773</v>
      </c>
      <c r="U1858" s="41" t="s">
        <v>1500</v>
      </c>
    </row>
    <row r="1859" spans="1:21">
      <c r="A1859" s="41">
        <v>928</v>
      </c>
      <c r="B1859" s="41" t="s">
        <v>6253</v>
      </c>
      <c r="E1859" s="41" t="s">
        <v>1395</v>
      </c>
      <c r="F1859" s="41" t="s">
        <v>53</v>
      </c>
      <c r="G1859" s="41" t="s">
        <v>43</v>
      </c>
      <c r="I1859" s="41" t="s">
        <v>6254</v>
      </c>
      <c r="J1859" s="41" t="s">
        <v>380</v>
      </c>
      <c r="K1859" s="42"/>
      <c r="L1859" s="41" t="s">
        <v>4020</v>
      </c>
      <c r="M1859" s="41">
        <v>220</v>
      </c>
      <c r="N1859" s="41" t="s">
        <v>6255</v>
      </c>
      <c r="O1859" s="41" t="s">
        <v>345</v>
      </c>
      <c r="P1859" s="41" t="s">
        <v>1046</v>
      </c>
      <c r="Q1859" s="41" t="s">
        <v>6256</v>
      </c>
      <c r="R1859" s="41" t="s">
        <v>62</v>
      </c>
      <c r="S1859" s="41" t="s">
        <v>40</v>
      </c>
      <c r="T1859" s="41" t="s">
        <v>40</v>
      </c>
      <c r="U1859" s="41" t="s">
        <v>40</v>
      </c>
    </row>
    <row r="1860" spans="1:21">
      <c r="A1860" s="41">
        <v>927</v>
      </c>
      <c r="B1860" s="41" t="s">
        <v>6257</v>
      </c>
      <c r="E1860" s="41" t="s">
        <v>1136</v>
      </c>
      <c r="F1860" s="41" t="s">
        <v>53</v>
      </c>
      <c r="G1860" s="41" t="s">
        <v>64</v>
      </c>
      <c r="I1860" s="41" t="s">
        <v>6258</v>
      </c>
      <c r="J1860" s="41" t="s">
        <v>295</v>
      </c>
      <c r="K1860" s="42"/>
      <c r="L1860" s="41" t="s">
        <v>6259</v>
      </c>
      <c r="M1860" s="41">
        <v>110</v>
      </c>
      <c r="N1860" s="41" t="s">
        <v>1623</v>
      </c>
      <c r="O1860" s="41" t="s">
        <v>741</v>
      </c>
      <c r="P1860" s="41" t="s">
        <v>68</v>
      </c>
      <c r="Q1860" s="41" t="s">
        <v>244</v>
      </c>
      <c r="R1860" s="41" t="s">
        <v>132</v>
      </c>
      <c r="S1860" s="41" t="s">
        <v>40</v>
      </c>
      <c r="T1860" s="41" t="s">
        <v>40</v>
      </c>
      <c r="U1860" s="41" t="s">
        <v>40</v>
      </c>
    </row>
    <row r="1861" spans="1:21">
      <c r="A1861" s="41">
        <v>926</v>
      </c>
      <c r="B1861" s="41" t="s">
        <v>6260</v>
      </c>
      <c r="E1861" s="41" t="s">
        <v>2405</v>
      </c>
      <c r="F1861" s="41" t="s">
        <v>28</v>
      </c>
      <c r="G1861" s="41" t="s">
        <v>64</v>
      </c>
      <c r="I1861" s="41" t="s">
        <v>3101</v>
      </c>
      <c r="J1861" s="41" t="s">
        <v>295</v>
      </c>
      <c r="K1861" s="42"/>
      <c r="L1861" s="41" t="s">
        <v>6261</v>
      </c>
      <c r="M1861" s="41">
        <v>220</v>
      </c>
      <c r="N1861" s="41" t="s">
        <v>67</v>
      </c>
      <c r="O1861" s="41" t="s">
        <v>620</v>
      </c>
      <c r="P1861" s="41" t="s">
        <v>78</v>
      </c>
      <c r="Q1861" s="41" t="s">
        <v>1729</v>
      </c>
      <c r="R1861" s="41" t="s">
        <v>39</v>
      </c>
      <c r="S1861" s="41" t="s">
        <v>40</v>
      </c>
      <c r="T1861" s="41" t="s">
        <v>40</v>
      </c>
      <c r="U1861" s="41" t="s">
        <v>40</v>
      </c>
    </row>
    <row r="1862" spans="1:21">
      <c r="A1862" s="41">
        <v>925</v>
      </c>
      <c r="B1862" s="41" t="s">
        <v>6262</v>
      </c>
      <c r="E1862" s="41" t="s">
        <v>2426</v>
      </c>
      <c r="F1862" s="41" t="s">
        <v>53</v>
      </c>
      <c r="G1862" s="41" t="s">
        <v>64</v>
      </c>
      <c r="I1862" s="41" t="s">
        <v>45</v>
      </c>
      <c r="J1862" s="41" t="s">
        <v>380</v>
      </c>
      <c r="K1862" s="42"/>
      <c r="L1862" s="41" t="s">
        <v>6263</v>
      </c>
      <c r="M1862" s="41">
        <v>220</v>
      </c>
      <c r="N1862" s="41" t="s">
        <v>67</v>
      </c>
      <c r="O1862" s="41" t="s">
        <v>757</v>
      </c>
      <c r="P1862" s="41" t="s">
        <v>1046</v>
      </c>
      <c r="Q1862" s="41" t="s">
        <v>5316</v>
      </c>
      <c r="R1862" s="41" t="s">
        <v>62</v>
      </c>
      <c r="S1862" s="41" t="s">
        <v>40</v>
      </c>
      <c r="T1862" s="41" t="s">
        <v>40</v>
      </c>
      <c r="U1862" s="41" t="s">
        <v>40</v>
      </c>
    </row>
    <row r="1863" spans="1:21">
      <c r="A1863" s="41">
        <v>924</v>
      </c>
      <c r="B1863" s="41" t="s">
        <v>6264</v>
      </c>
      <c r="E1863" s="41" t="s">
        <v>5340</v>
      </c>
      <c r="F1863" s="41" t="s">
        <v>53</v>
      </c>
      <c r="G1863" s="41" t="s">
        <v>64</v>
      </c>
      <c r="I1863" s="41" t="s">
        <v>194</v>
      </c>
      <c r="J1863" s="41" t="s">
        <v>295</v>
      </c>
      <c r="K1863" s="42"/>
      <c r="L1863" s="41" t="s">
        <v>6265</v>
      </c>
      <c r="M1863" s="41">
        <v>13</v>
      </c>
      <c r="N1863" s="41" t="s">
        <v>67</v>
      </c>
      <c r="O1863" s="41" t="s">
        <v>6266</v>
      </c>
      <c r="P1863" s="41" t="s">
        <v>172</v>
      </c>
      <c r="Q1863" s="41" t="s">
        <v>6267</v>
      </c>
      <c r="R1863" s="41" t="s">
        <v>132</v>
      </c>
      <c r="S1863" s="41" t="s">
        <v>40</v>
      </c>
      <c r="T1863" s="41" t="s">
        <v>40</v>
      </c>
      <c r="U1863" s="41" t="s">
        <v>40</v>
      </c>
    </row>
    <row r="1864" spans="1:21">
      <c r="A1864" s="41">
        <v>923</v>
      </c>
      <c r="B1864" s="41" t="s">
        <v>6268</v>
      </c>
      <c r="E1864" s="41" t="s">
        <v>6269</v>
      </c>
      <c r="F1864" s="41" t="s">
        <v>53</v>
      </c>
      <c r="G1864" s="41" t="s">
        <v>43</v>
      </c>
      <c r="I1864" s="41" t="s">
        <v>194</v>
      </c>
      <c r="J1864" s="41" t="s">
        <v>295</v>
      </c>
      <c r="K1864" s="42"/>
      <c r="L1864" s="41" t="s">
        <v>4074</v>
      </c>
      <c r="M1864" s="41">
        <v>23</v>
      </c>
      <c r="N1864" s="41" t="s">
        <v>6270</v>
      </c>
      <c r="O1864" s="41" t="s">
        <v>1873</v>
      </c>
      <c r="P1864" s="41" t="s">
        <v>179</v>
      </c>
      <c r="Q1864" s="41" t="s">
        <v>180</v>
      </c>
      <c r="R1864" s="41" t="s">
        <v>132</v>
      </c>
      <c r="S1864" s="41" t="s">
        <v>40</v>
      </c>
      <c r="T1864" s="41" t="s">
        <v>40</v>
      </c>
      <c r="U1864" s="41" t="s">
        <v>40</v>
      </c>
    </row>
    <row r="1865" spans="1:21">
      <c r="A1865" s="41">
        <v>922</v>
      </c>
      <c r="B1865" s="41" t="s">
        <v>6271</v>
      </c>
      <c r="D1865" s="41">
        <v>2628</v>
      </c>
      <c r="E1865" s="41" t="s">
        <v>5289</v>
      </c>
      <c r="F1865" s="41" t="s">
        <v>53</v>
      </c>
      <c r="G1865" s="41" t="s">
        <v>64</v>
      </c>
      <c r="I1865" s="41" t="s">
        <v>5290</v>
      </c>
      <c r="J1865" s="41" t="s">
        <v>295</v>
      </c>
      <c r="K1865" s="42"/>
      <c r="L1865" s="41" t="s">
        <v>1842</v>
      </c>
      <c r="M1865" s="41">
        <v>220</v>
      </c>
      <c r="N1865" s="41" t="s">
        <v>6272</v>
      </c>
      <c r="O1865" s="41" t="s">
        <v>2041</v>
      </c>
      <c r="P1865" s="41" t="s">
        <v>179</v>
      </c>
      <c r="Q1865" s="41" t="s">
        <v>532</v>
      </c>
      <c r="R1865" s="41" t="s">
        <v>62</v>
      </c>
      <c r="S1865" s="41" t="s">
        <v>40</v>
      </c>
      <c r="T1865" s="41" t="s">
        <v>40</v>
      </c>
      <c r="U1865" s="41" t="s">
        <v>40</v>
      </c>
    </row>
    <row r="1866" spans="1:21">
      <c r="A1866" s="41">
        <v>921</v>
      </c>
      <c r="B1866" s="41" t="s">
        <v>6273</v>
      </c>
      <c r="E1866" s="41" t="s">
        <v>6269</v>
      </c>
      <c r="F1866" s="41" t="s">
        <v>53</v>
      </c>
      <c r="G1866" s="41" t="s">
        <v>43</v>
      </c>
      <c r="I1866" s="41" t="s">
        <v>194</v>
      </c>
      <c r="J1866" s="41" t="s">
        <v>295</v>
      </c>
      <c r="K1866" s="42"/>
      <c r="L1866" s="41" t="s">
        <v>180</v>
      </c>
      <c r="M1866" s="41">
        <v>23</v>
      </c>
      <c r="N1866" s="41" t="s">
        <v>6274</v>
      </c>
      <c r="O1866" s="41" t="s">
        <v>1873</v>
      </c>
      <c r="P1866" s="41" t="s">
        <v>179</v>
      </c>
      <c r="Q1866" s="41" t="s">
        <v>180</v>
      </c>
      <c r="R1866" s="41" t="s">
        <v>62</v>
      </c>
      <c r="S1866" s="41" t="s">
        <v>40</v>
      </c>
      <c r="T1866" s="41" t="s">
        <v>40</v>
      </c>
      <c r="U1866" s="41" t="s">
        <v>40</v>
      </c>
    </row>
    <row r="1867" spans="1:21">
      <c r="A1867" s="41">
        <v>920</v>
      </c>
      <c r="B1867" s="41" t="s">
        <v>6271</v>
      </c>
      <c r="E1867" s="41" t="s">
        <v>6275</v>
      </c>
      <c r="F1867" s="41" t="s">
        <v>53</v>
      </c>
      <c r="G1867" s="41" t="s">
        <v>43</v>
      </c>
      <c r="I1867" s="41" t="s">
        <v>2580</v>
      </c>
      <c r="J1867" s="41" t="s">
        <v>295</v>
      </c>
      <c r="K1867" s="42"/>
      <c r="L1867" s="41" t="s">
        <v>6276</v>
      </c>
      <c r="M1867" s="41">
        <v>220</v>
      </c>
      <c r="N1867" s="41" t="s">
        <v>6272</v>
      </c>
      <c r="O1867" s="41" t="s">
        <v>2041</v>
      </c>
      <c r="P1867" s="41" t="s">
        <v>179</v>
      </c>
      <c r="Q1867" s="41" t="s">
        <v>532</v>
      </c>
      <c r="R1867" s="41" t="s">
        <v>62</v>
      </c>
      <c r="S1867" s="41" t="s">
        <v>40</v>
      </c>
      <c r="T1867" s="41" t="s">
        <v>40</v>
      </c>
      <c r="U1867" s="41" t="s">
        <v>40</v>
      </c>
    </row>
    <row r="1868" spans="1:21">
      <c r="A1868" s="41">
        <v>919</v>
      </c>
      <c r="B1868" s="41" t="s">
        <v>6277</v>
      </c>
      <c r="D1868" s="41">
        <v>2604</v>
      </c>
      <c r="E1868" s="41" t="s">
        <v>1446</v>
      </c>
      <c r="F1868" s="41" t="s">
        <v>53</v>
      </c>
      <c r="G1868" s="41" t="s">
        <v>307</v>
      </c>
      <c r="I1868" s="41" t="s">
        <v>338</v>
      </c>
      <c r="J1868" s="41" t="s">
        <v>295</v>
      </c>
      <c r="K1868" s="42"/>
      <c r="L1868" s="41" t="s">
        <v>6278</v>
      </c>
      <c r="M1868" s="41">
        <v>220</v>
      </c>
      <c r="N1868" s="41" t="s">
        <v>6279</v>
      </c>
      <c r="O1868" s="41" t="s">
        <v>6280</v>
      </c>
      <c r="P1868" s="41" t="s">
        <v>179</v>
      </c>
      <c r="Q1868" s="41" t="s">
        <v>284</v>
      </c>
      <c r="R1868" s="41" t="s">
        <v>62</v>
      </c>
      <c r="S1868" s="41" t="s">
        <v>6281</v>
      </c>
      <c r="T1868" s="41" t="s">
        <v>6282</v>
      </c>
      <c r="U1868" s="41" t="s">
        <v>40</v>
      </c>
    </row>
    <row r="1869" spans="1:21">
      <c r="A1869" s="41">
        <v>918</v>
      </c>
      <c r="B1869" s="41" t="s">
        <v>6283</v>
      </c>
      <c r="E1869" s="41" t="s">
        <v>1475</v>
      </c>
      <c r="F1869" s="41" t="s">
        <v>28</v>
      </c>
      <c r="G1869" s="41" t="s">
        <v>64</v>
      </c>
      <c r="I1869" s="41" t="s">
        <v>392</v>
      </c>
      <c r="J1869" s="41" t="s">
        <v>295</v>
      </c>
      <c r="K1869" s="42"/>
      <c r="L1869" s="41" t="s">
        <v>6284</v>
      </c>
      <c r="M1869" s="41">
        <v>220</v>
      </c>
      <c r="N1869" s="41" t="s">
        <v>1293</v>
      </c>
      <c r="O1869" s="41" t="s">
        <v>2566</v>
      </c>
      <c r="P1869" s="41" t="s">
        <v>98</v>
      </c>
      <c r="Q1869" s="41" t="s">
        <v>116</v>
      </c>
      <c r="R1869" s="41" t="s">
        <v>39</v>
      </c>
      <c r="S1869" s="41" t="s">
        <v>40</v>
      </c>
      <c r="T1869" s="41" t="s">
        <v>40</v>
      </c>
      <c r="U1869" s="41" t="s">
        <v>40</v>
      </c>
    </row>
    <row r="1870" spans="1:21">
      <c r="A1870" s="41">
        <v>917</v>
      </c>
      <c r="B1870" s="41" t="s">
        <v>5876</v>
      </c>
      <c r="E1870" s="41" t="s">
        <v>3484</v>
      </c>
      <c r="F1870" s="41" t="s">
        <v>28</v>
      </c>
      <c r="G1870" s="41" t="s">
        <v>64</v>
      </c>
      <c r="I1870" s="41" t="s">
        <v>966</v>
      </c>
      <c r="J1870" s="41" t="s">
        <v>380</v>
      </c>
      <c r="K1870" s="42"/>
      <c r="L1870" s="41" t="s">
        <v>6285</v>
      </c>
      <c r="M1870" s="41">
        <v>220</v>
      </c>
      <c r="N1870" s="41" t="s">
        <v>1052</v>
      </c>
      <c r="O1870" s="41" t="s">
        <v>6286</v>
      </c>
      <c r="P1870" s="41" t="s">
        <v>1046</v>
      </c>
      <c r="Q1870" s="41" t="s">
        <v>1682</v>
      </c>
      <c r="R1870" s="41" t="s">
        <v>39</v>
      </c>
      <c r="S1870" s="41" t="s">
        <v>40</v>
      </c>
      <c r="T1870" s="41" t="s">
        <v>40</v>
      </c>
      <c r="U1870" s="41" t="s">
        <v>40</v>
      </c>
    </row>
    <row r="1871" spans="1:21">
      <c r="A1871" s="41">
        <v>916</v>
      </c>
      <c r="B1871" s="41" t="s">
        <v>6287</v>
      </c>
      <c r="E1871" s="41" t="s">
        <v>3306</v>
      </c>
      <c r="F1871" s="41" t="s">
        <v>53</v>
      </c>
      <c r="G1871" s="41" t="s">
        <v>64</v>
      </c>
      <c r="I1871" s="41" t="s">
        <v>194</v>
      </c>
      <c r="J1871" s="41" t="s">
        <v>295</v>
      </c>
      <c r="K1871" s="42"/>
      <c r="L1871" s="41" t="s">
        <v>1330</v>
      </c>
      <c r="M1871" s="41">
        <v>23</v>
      </c>
      <c r="N1871" s="41" t="s">
        <v>2742</v>
      </c>
      <c r="O1871" s="41" t="s">
        <v>6288</v>
      </c>
      <c r="P1871" s="41" t="s">
        <v>98</v>
      </c>
      <c r="Q1871" s="41" t="s">
        <v>116</v>
      </c>
      <c r="R1871" s="41" t="s">
        <v>62</v>
      </c>
      <c r="S1871" s="41" t="s">
        <v>40</v>
      </c>
      <c r="T1871" s="41" t="s">
        <v>40</v>
      </c>
      <c r="U1871" s="41" t="s">
        <v>40</v>
      </c>
    </row>
    <row r="1872" spans="1:21">
      <c r="A1872" s="41">
        <v>915</v>
      </c>
      <c r="B1872" s="41" t="s">
        <v>6289</v>
      </c>
      <c r="D1872" s="41">
        <v>2637</v>
      </c>
      <c r="E1872" s="41" t="s">
        <v>715</v>
      </c>
      <c r="F1872" s="41" t="s">
        <v>53</v>
      </c>
      <c r="G1872" s="41" t="s">
        <v>64</v>
      </c>
      <c r="I1872" s="41" t="s">
        <v>102</v>
      </c>
      <c r="J1872" s="41" t="s">
        <v>672</v>
      </c>
      <c r="K1872" s="42"/>
      <c r="L1872" s="41" t="s">
        <v>6290</v>
      </c>
      <c r="M1872" s="41">
        <v>220</v>
      </c>
      <c r="N1872" s="41" t="s">
        <v>67</v>
      </c>
      <c r="O1872" s="41" t="s">
        <v>6291</v>
      </c>
      <c r="P1872" s="41" t="s">
        <v>68</v>
      </c>
      <c r="Q1872" s="41" t="s">
        <v>677</v>
      </c>
      <c r="R1872" s="41" t="s">
        <v>132</v>
      </c>
      <c r="S1872" s="41" t="s">
        <v>40</v>
      </c>
      <c r="T1872" s="41" t="s">
        <v>40</v>
      </c>
      <c r="U1872" s="41" t="s">
        <v>40</v>
      </c>
    </row>
    <row r="1873" spans="1:21">
      <c r="A1873" s="41">
        <v>914</v>
      </c>
      <c r="B1873" s="41" t="s">
        <v>6292</v>
      </c>
      <c r="E1873" s="41" t="s">
        <v>6293</v>
      </c>
      <c r="F1873" s="41" t="s">
        <v>53</v>
      </c>
      <c r="G1873" s="41" t="s">
        <v>1071</v>
      </c>
      <c r="I1873" s="41" t="s">
        <v>977</v>
      </c>
      <c r="J1873" s="41" t="s">
        <v>672</v>
      </c>
      <c r="K1873" s="42"/>
      <c r="L1873" s="41" t="s">
        <v>6294</v>
      </c>
      <c r="M1873" s="41">
        <v>12</v>
      </c>
      <c r="N1873" s="41" t="s">
        <v>6295</v>
      </c>
      <c r="O1873" s="41" t="s">
        <v>6296</v>
      </c>
      <c r="P1873" s="41" t="s">
        <v>78</v>
      </c>
      <c r="Q1873" s="41" t="s">
        <v>131</v>
      </c>
      <c r="R1873" s="41" t="s">
        <v>132</v>
      </c>
      <c r="S1873" s="41" t="s">
        <v>40</v>
      </c>
      <c r="T1873" s="41" t="s">
        <v>40</v>
      </c>
      <c r="U1873" s="41" t="s">
        <v>40</v>
      </c>
    </row>
    <row r="1874" spans="1:21">
      <c r="A1874" s="41">
        <v>913</v>
      </c>
      <c r="B1874" s="41" t="s">
        <v>6297</v>
      </c>
      <c r="E1874" s="41" t="s">
        <v>6293</v>
      </c>
      <c r="F1874" s="41" t="s">
        <v>53</v>
      </c>
      <c r="G1874" s="41" t="s">
        <v>1071</v>
      </c>
      <c r="I1874" s="41" t="s">
        <v>977</v>
      </c>
      <c r="J1874" s="41" t="s">
        <v>672</v>
      </c>
      <c r="K1874" s="42"/>
      <c r="L1874" s="41" t="s">
        <v>6294</v>
      </c>
      <c r="M1874" s="41">
        <v>12</v>
      </c>
      <c r="N1874" s="41" t="s">
        <v>6295</v>
      </c>
      <c r="O1874" s="41" t="s">
        <v>6298</v>
      </c>
      <c r="P1874" s="41" t="s">
        <v>78</v>
      </c>
      <c r="Q1874" s="41" t="s">
        <v>131</v>
      </c>
      <c r="R1874" s="41" t="s">
        <v>132</v>
      </c>
      <c r="S1874" s="41" t="s">
        <v>40</v>
      </c>
      <c r="T1874" s="41" t="s">
        <v>40</v>
      </c>
      <c r="U1874" s="41" t="s">
        <v>40</v>
      </c>
    </row>
    <row r="1875" spans="1:21">
      <c r="A1875" s="41">
        <v>912</v>
      </c>
      <c r="B1875" s="41" t="s">
        <v>6299</v>
      </c>
      <c r="D1875" s="41">
        <v>2634</v>
      </c>
      <c r="E1875" s="41" t="s">
        <v>6293</v>
      </c>
      <c r="F1875" s="41" t="s">
        <v>53</v>
      </c>
      <c r="G1875" s="41" t="s">
        <v>1071</v>
      </c>
      <c r="I1875" s="41" t="s">
        <v>977</v>
      </c>
      <c r="J1875" s="41" t="s">
        <v>672</v>
      </c>
      <c r="K1875" s="42"/>
      <c r="L1875" s="41" t="s">
        <v>6300</v>
      </c>
      <c r="M1875" s="41">
        <v>12</v>
      </c>
      <c r="N1875" s="41" t="s">
        <v>6301</v>
      </c>
      <c r="O1875" s="41" t="s">
        <v>6302</v>
      </c>
      <c r="P1875" s="41" t="s">
        <v>78</v>
      </c>
      <c r="Q1875" s="41" t="s">
        <v>278</v>
      </c>
      <c r="R1875" s="41" t="s">
        <v>132</v>
      </c>
      <c r="S1875" s="41" t="s">
        <v>40</v>
      </c>
      <c r="T1875" s="41" t="s">
        <v>40</v>
      </c>
      <c r="U1875" s="41" t="s">
        <v>40</v>
      </c>
    </row>
    <row r="1876" spans="1:21">
      <c r="A1876" s="41">
        <v>911</v>
      </c>
      <c r="B1876" s="41" t="s">
        <v>6303</v>
      </c>
      <c r="D1876" s="41">
        <v>2633</v>
      </c>
      <c r="E1876" s="41" t="s">
        <v>6293</v>
      </c>
      <c r="F1876" s="41" t="s">
        <v>53</v>
      </c>
      <c r="G1876" s="41" t="s">
        <v>1071</v>
      </c>
      <c r="I1876" s="41" t="s">
        <v>977</v>
      </c>
      <c r="J1876" s="41" t="s">
        <v>672</v>
      </c>
      <c r="K1876" s="42"/>
      <c r="L1876" s="41" t="s">
        <v>6304</v>
      </c>
      <c r="M1876" s="41">
        <v>12</v>
      </c>
      <c r="N1876" s="41" t="s">
        <v>6305</v>
      </c>
      <c r="O1876" s="41" t="s">
        <v>6306</v>
      </c>
      <c r="P1876" s="41" t="s">
        <v>78</v>
      </c>
      <c r="Q1876" s="41" t="s">
        <v>278</v>
      </c>
      <c r="R1876" s="41" t="s">
        <v>132</v>
      </c>
      <c r="S1876" s="41" t="s">
        <v>40</v>
      </c>
      <c r="T1876" s="41" t="s">
        <v>40</v>
      </c>
      <c r="U1876" s="41" t="s">
        <v>40</v>
      </c>
    </row>
    <row r="1877" spans="1:21">
      <c r="A1877" s="41">
        <v>910</v>
      </c>
      <c r="B1877" s="41" t="s">
        <v>6307</v>
      </c>
      <c r="E1877" s="41" t="s">
        <v>6216</v>
      </c>
      <c r="F1877" s="41" t="s">
        <v>53</v>
      </c>
      <c r="G1877" s="41" t="s">
        <v>64</v>
      </c>
      <c r="I1877" s="41" t="s">
        <v>325</v>
      </c>
      <c r="J1877" s="41" t="s">
        <v>295</v>
      </c>
      <c r="K1877" s="42"/>
      <c r="L1877" s="41" t="s">
        <v>6308</v>
      </c>
      <c r="M1877" s="41">
        <v>110</v>
      </c>
      <c r="N1877" s="41" t="s">
        <v>59</v>
      </c>
      <c r="O1877" s="41" t="s">
        <v>333</v>
      </c>
      <c r="P1877" s="41" t="s">
        <v>78</v>
      </c>
      <c r="Q1877" s="41" t="s">
        <v>6218</v>
      </c>
      <c r="R1877" s="41" t="s">
        <v>132</v>
      </c>
      <c r="S1877" s="41" t="s">
        <v>40</v>
      </c>
      <c r="T1877" s="41" t="s">
        <v>40</v>
      </c>
      <c r="U1877" s="41" t="s">
        <v>40</v>
      </c>
    </row>
    <row r="1878" spans="1:21">
      <c r="A1878" s="41">
        <v>909</v>
      </c>
      <c r="B1878" s="41" t="s">
        <v>6309</v>
      </c>
      <c r="D1878" s="41">
        <v>2631</v>
      </c>
      <c r="E1878" s="41" t="s">
        <v>1191</v>
      </c>
      <c r="F1878" s="41" t="s">
        <v>53</v>
      </c>
      <c r="G1878" s="41" t="s">
        <v>141</v>
      </c>
      <c r="I1878" s="41" t="s">
        <v>392</v>
      </c>
      <c r="J1878" s="41" t="s">
        <v>295</v>
      </c>
      <c r="K1878" s="42"/>
      <c r="L1878" s="41" t="s">
        <v>6310</v>
      </c>
      <c r="M1878" s="41">
        <v>220</v>
      </c>
      <c r="N1878" s="41" t="s">
        <v>340</v>
      </c>
      <c r="O1878" s="41" t="s">
        <v>1615</v>
      </c>
      <c r="P1878" s="41" t="s">
        <v>172</v>
      </c>
      <c r="Q1878" s="41" t="s">
        <v>3329</v>
      </c>
      <c r="R1878" s="41" t="s">
        <v>62</v>
      </c>
      <c r="S1878" s="41" t="s">
        <v>6311</v>
      </c>
      <c r="T1878" s="41" t="s">
        <v>2145</v>
      </c>
      <c r="U1878" s="41" t="s">
        <v>40</v>
      </c>
    </row>
    <row r="1879" spans="1:21">
      <c r="A1879" s="41">
        <v>908</v>
      </c>
      <c r="B1879" s="41" t="s">
        <v>6312</v>
      </c>
      <c r="D1879" s="41">
        <v>2630</v>
      </c>
      <c r="E1879" s="41" t="s">
        <v>6313</v>
      </c>
      <c r="F1879" s="41" t="s">
        <v>28</v>
      </c>
      <c r="G1879" s="41" t="s">
        <v>64</v>
      </c>
      <c r="I1879" s="41" t="s">
        <v>6314</v>
      </c>
      <c r="J1879" s="41" t="s">
        <v>380</v>
      </c>
      <c r="K1879" s="42"/>
      <c r="L1879" s="41" t="s">
        <v>6315</v>
      </c>
      <c r="M1879" s="41">
        <v>220</v>
      </c>
      <c r="N1879" s="41" t="s">
        <v>5899</v>
      </c>
      <c r="O1879" s="41" t="s">
        <v>36</v>
      </c>
      <c r="P1879" s="41" t="s">
        <v>37</v>
      </c>
      <c r="Q1879" s="41" t="s">
        <v>969</v>
      </c>
      <c r="R1879" s="41" t="s">
        <v>39</v>
      </c>
      <c r="S1879" s="41" t="s">
        <v>40</v>
      </c>
      <c r="T1879" s="41" t="s">
        <v>40</v>
      </c>
      <c r="U1879" s="41" t="s">
        <v>40</v>
      </c>
    </row>
    <row r="1880" spans="1:21">
      <c r="A1880" s="41">
        <v>907</v>
      </c>
      <c r="B1880" s="41" t="s">
        <v>6316</v>
      </c>
      <c r="E1880" s="41" t="s">
        <v>2405</v>
      </c>
      <c r="F1880" s="41" t="s">
        <v>28</v>
      </c>
      <c r="G1880" s="41" t="s">
        <v>64</v>
      </c>
      <c r="I1880" s="41" t="s">
        <v>194</v>
      </c>
      <c r="J1880" s="41" t="s">
        <v>295</v>
      </c>
      <c r="K1880" s="42"/>
      <c r="L1880" s="41" t="s">
        <v>6317</v>
      </c>
      <c r="M1880" s="41">
        <v>13</v>
      </c>
      <c r="N1880" s="41" t="s">
        <v>6318</v>
      </c>
      <c r="O1880" s="41" t="s">
        <v>1261</v>
      </c>
      <c r="P1880" s="41" t="s">
        <v>1046</v>
      </c>
      <c r="Q1880" s="41" t="s">
        <v>1047</v>
      </c>
      <c r="R1880" s="41" t="s">
        <v>39</v>
      </c>
      <c r="S1880" s="41" t="s">
        <v>40</v>
      </c>
      <c r="T1880" s="41" t="s">
        <v>40</v>
      </c>
      <c r="U1880" s="41" t="s">
        <v>40</v>
      </c>
    </row>
    <row r="1881" spans="1:21">
      <c r="A1881" s="41">
        <v>906</v>
      </c>
      <c r="B1881" s="41" t="s">
        <v>6048</v>
      </c>
      <c r="E1881" s="41" t="s">
        <v>6049</v>
      </c>
      <c r="F1881" s="41" t="s">
        <v>53</v>
      </c>
      <c r="G1881" s="41" t="s">
        <v>64</v>
      </c>
      <c r="I1881" s="41" t="s">
        <v>1303</v>
      </c>
      <c r="J1881" s="41" t="s">
        <v>295</v>
      </c>
      <c r="K1881" s="42"/>
      <c r="L1881" s="41" t="s">
        <v>6319</v>
      </c>
      <c r="M1881" s="41">
        <v>220</v>
      </c>
      <c r="N1881" s="41" t="s">
        <v>697</v>
      </c>
      <c r="O1881" s="41" t="s">
        <v>77</v>
      </c>
      <c r="P1881" s="41" t="s">
        <v>68</v>
      </c>
      <c r="Q1881" s="41" t="s">
        <v>69</v>
      </c>
      <c r="R1881" s="41" t="s">
        <v>62</v>
      </c>
      <c r="S1881" s="41" t="s">
        <v>40</v>
      </c>
      <c r="T1881" s="41" t="s">
        <v>40</v>
      </c>
      <c r="U1881" s="41" t="s">
        <v>40</v>
      </c>
    </row>
    <row r="1882" spans="1:21">
      <c r="A1882" s="41">
        <v>901</v>
      </c>
      <c r="B1882" s="41" t="s">
        <v>6320</v>
      </c>
      <c r="E1882" s="41" t="s">
        <v>5393</v>
      </c>
      <c r="F1882" s="41" t="s">
        <v>53</v>
      </c>
      <c r="G1882" s="41" t="s">
        <v>1071</v>
      </c>
      <c r="I1882" s="41" t="s">
        <v>521</v>
      </c>
      <c r="J1882" s="41" t="s">
        <v>672</v>
      </c>
      <c r="K1882" s="42"/>
      <c r="L1882" s="41" t="s">
        <v>6321</v>
      </c>
      <c r="M1882" s="41">
        <v>12</v>
      </c>
      <c r="N1882" s="41" t="s">
        <v>6322</v>
      </c>
      <c r="O1882" s="41" t="s">
        <v>2228</v>
      </c>
      <c r="P1882" s="41" t="s">
        <v>68</v>
      </c>
      <c r="Q1882" s="41" t="s">
        <v>4805</v>
      </c>
      <c r="R1882" s="41" t="s">
        <v>132</v>
      </c>
      <c r="S1882" s="41" t="s">
        <v>40</v>
      </c>
      <c r="T1882" s="41" t="s">
        <v>40</v>
      </c>
      <c r="U1882" s="41" t="s">
        <v>40</v>
      </c>
    </row>
    <row r="1883" spans="1:21">
      <c r="A1883" s="41">
        <v>900</v>
      </c>
      <c r="B1883" s="41" t="s">
        <v>6323</v>
      </c>
      <c r="E1883" s="41" t="s">
        <v>6216</v>
      </c>
      <c r="F1883" s="41" t="s">
        <v>28</v>
      </c>
      <c r="G1883" s="41" t="s">
        <v>64</v>
      </c>
      <c r="I1883" s="41" t="s">
        <v>406</v>
      </c>
      <c r="J1883" s="41" t="s">
        <v>295</v>
      </c>
      <c r="K1883" s="42"/>
      <c r="L1883" s="41" t="s">
        <v>6324</v>
      </c>
      <c r="M1883" s="41">
        <v>220</v>
      </c>
      <c r="N1883" s="41" t="s">
        <v>6325</v>
      </c>
      <c r="O1883" s="41" t="s">
        <v>2576</v>
      </c>
      <c r="P1883" s="41" t="s">
        <v>172</v>
      </c>
      <c r="Q1883" s="41" t="s">
        <v>1104</v>
      </c>
      <c r="R1883" s="41" t="s">
        <v>39</v>
      </c>
      <c r="S1883" s="41" t="s">
        <v>40</v>
      </c>
      <c r="T1883" s="41" t="s">
        <v>40</v>
      </c>
      <c r="U1883" s="41" t="s">
        <v>40</v>
      </c>
    </row>
    <row r="1884" spans="1:21">
      <c r="A1884" s="41">
        <v>899</v>
      </c>
      <c r="B1884" s="41" t="s">
        <v>6326</v>
      </c>
      <c r="D1884" s="41">
        <v>2607</v>
      </c>
      <c r="E1884" s="41" t="s">
        <v>3714</v>
      </c>
      <c r="F1884" s="41" t="s">
        <v>53</v>
      </c>
      <c r="G1884" s="41" t="s">
        <v>43</v>
      </c>
      <c r="I1884" s="41" t="s">
        <v>338</v>
      </c>
      <c r="J1884" s="41" t="s">
        <v>295</v>
      </c>
      <c r="K1884" s="42"/>
      <c r="L1884" s="41" t="s">
        <v>2685</v>
      </c>
      <c r="M1884" s="41">
        <v>220</v>
      </c>
      <c r="N1884" s="41" t="s">
        <v>6327</v>
      </c>
      <c r="O1884" s="41" t="s">
        <v>1376</v>
      </c>
      <c r="P1884" s="41" t="s">
        <v>179</v>
      </c>
      <c r="Q1884" s="41" t="s">
        <v>284</v>
      </c>
      <c r="R1884" s="41" t="s">
        <v>62</v>
      </c>
      <c r="S1884" s="41" t="s">
        <v>3891</v>
      </c>
      <c r="T1884" s="41" t="s">
        <v>198</v>
      </c>
      <c r="U1884" s="41" t="s">
        <v>146</v>
      </c>
    </row>
    <row r="1885" spans="1:21">
      <c r="A1885" s="41">
        <v>898</v>
      </c>
      <c r="B1885" s="41" t="s">
        <v>6328</v>
      </c>
      <c r="E1885" s="41" t="s">
        <v>1475</v>
      </c>
      <c r="F1885" s="41" t="s">
        <v>28</v>
      </c>
      <c r="G1885" s="41" t="s">
        <v>64</v>
      </c>
      <c r="I1885" s="41" t="s">
        <v>966</v>
      </c>
      <c r="J1885" s="41" t="s">
        <v>295</v>
      </c>
      <c r="K1885" s="42"/>
      <c r="L1885" s="41" t="s">
        <v>1019</v>
      </c>
      <c r="M1885" s="41">
        <v>220</v>
      </c>
      <c r="N1885" s="41" t="s">
        <v>67</v>
      </c>
      <c r="O1885" s="41" t="s">
        <v>452</v>
      </c>
      <c r="P1885" s="41" t="s">
        <v>334</v>
      </c>
      <c r="Q1885" s="41" t="s">
        <v>3760</v>
      </c>
      <c r="R1885" s="41" t="s">
        <v>39</v>
      </c>
      <c r="S1885" s="41" t="s">
        <v>40</v>
      </c>
      <c r="T1885" s="41" t="s">
        <v>40</v>
      </c>
      <c r="U1885" s="41" t="s">
        <v>40</v>
      </c>
    </row>
    <row r="1886" spans="1:21">
      <c r="A1886" s="41">
        <v>897</v>
      </c>
      <c r="B1886" s="41" t="s">
        <v>6329</v>
      </c>
      <c r="E1886" s="41" t="s">
        <v>5340</v>
      </c>
      <c r="F1886" s="41" t="s">
        <v>53</v>
      </c>
      <c r="G1886" s="41" t="s">
        <v>64</v>
      </c>
      <c r="I1886" s="41" t="s">
        <v>521</v>
      </c>
      <c r="J1886" s="41" t="s">
        <v>295</v>
      </c>
      <c r="K1886" s="42"/>
      <c r="L1886" s="41" t="s">
        <v>6330</v>
      </c>
      <c r="M1886" s="41">
        <v>13</v>
      </c>
      <c r="N1886" s="41" t="s">
        <v>67</v>
      </c>
      <c r="O1886" s="41" t="s">
        <v>36</v>
      </c>
      <c r="P1886" s="41" t="s">
        <v>68</v>
      </c>
      <c r="Q1886" s="41" t="s">
        <v>3435</v>
      </c>
      <c r="R1886" s="41" t="s">
        <v>132</v>
      </c>
      <c r="S1886" s="41" t="s">
        <v>40</v>
      </c>
      <c r="T1886" s="41" t="s">
        <v>40</v>
      </c>
      <c r="U1886" s="41" t="s">
        <v>40</v>
      </c>
    </row>
    <row r="1887" spans="1:21">
      <c r="A1887" s="41">
        <v>896</v>
      </c>
      <c r="B1887" s="41" t="s">
        <v>6331</v>
      </c>
      <c r="E1887" s="41" t="s">
        <v>6332</v>
      </c>
      <c r="F1887" s="41" t="s">
        <v>53</v>
      </c>
      <c r="G1887" s="41" t="s">
        <v>43</v>
      </c>
      <c r="I1887" s="41" t="s">
        <v>338</v>
      </c>
      <c r="J1887" s="41" t="s">
        <v>295</v>
      </c>
      <c r="K1887" s="42"/>
      <c r="L1887" s="41" t="s">
        <v>6278</v>
      </c>
      <c r="M1887" s="41">
        <v>220</v>
      </c>
      <c r="N1887" s="41" t="s">
        <v>719</v>
      </c>
      <c r="O1887" s="41" t="s">
        <v>6333</v>
      </c>
      <c r="P1887" s="41" t="s">
        <v>179</v>
      </c>
      <c r="Q1887" s="41" t="s">
        <v>284</v>
      </c>
      <c r="R1887" s="41" t="s">
        <v>62</v>
      </c>
      <c r="S1887" s="41" t="s">
        <v>40</v>
      </c>
      <c r="T1887" s="41" t="s">
        <v>40</v>
      </c>
      <c r="U1887" s="41" t="s">
        <v>40</v>
      </c>
    </row>
    <row r="1888" spans="1:21">
      <c r="A1888" s="41">
        <v>895</v>
      </c>
      <c r="B1888" s="41" t="s">
        <v>6334</v>
      </c>
      <c r="D1888" s="41">
        <v>2110</v>
      </c>
      <c r="E1888" s="41" t="s">
        <v>1041</v>
      </c>
      <c r="F1888" s="41" t="s">
        <v>28</v>
      </c>
      <c r="G1888" s="41" t="s">
        <v>64</v>
      </c>
      <c r="I1888" s="41" t="s">
        <v>966</v>
      </c>
      <c r="J1888" s="41" t="s">
        <v>380</v>
      </c>
      <c r="K1888" s="42"/>
      <c r="L1888" s="41" t="s">
        <v>6335</v>
      </c>
      <c r="M1888" s="41">
        <v>220</v>
      </c>
      <c r="N1888" s="41" t="s">
        <v>1052</v>
      </c>
      <c r="O1888" s="41" t="s">
        <v>36</v>
      </c>
      <c r="P1888" s="41" t="s">
        <v>1046</v>
      </c>
      <c r="Q1888" s="41" t="s">
        <v>1047</v>
      </c>
      <c r="R1888" s="41" t="s">
        <v>39</v>
      </c>
      <c r="S1888" s="41" t="s">
        <v>40</v>
      </c>
      <c r="T1888" s="41" t="s">
        <v>40</v>
      </c>
      <c r="U1888" s="41" t="s">
        <v>40</v>
      </c>
    </row>
    <row r="1889" spans="1:21">
      <c r="A1889" s="41">
        <v>890</v>
      </c>
      <c r="B1889" s="41" t="s">
        <v>6336</v>
      </c>
      <c r="E1889" s="41" t="s">
        <v>5340</v>
      </c>
      <c r="F1889" s="41" t="s">
        <v>53</v>
      </c>
      <c r="G1889" s="41" t="s">
        <v>64</v>
      </c>
      <c r="I1889" s="41" t="s">
        <v>194</v>
      </c>
      <c r="J1889" s="41" t="s">
        <v>295</v>
      </c>
      <c r="K1889" s="42"/>
      <c r="L1889" s="41" t="s">
        <v>3547</v>
      </c>
      <c r="M1889" s="41">
        <v>23</v>
      </c>
      <c r="N1889" s="41" t="s">
        <v>67</v>
      </c>
      <c r="O1889" s="41" t="s">
        <v>77</v>
      </c>
      <c r="P1889" s="41" t="s">
        <v>68</v>
      </c>
      <c r="Q1889" s="41" t="s">
        <v>3435</v>
      </c>
      <c r="R1889" s="41" t="s">
        <v>132</v>
      </c>
      <c r="S1889" s="41" t="s">
        <v>40</v>
      </c>
      <c r="T1889" s="41" t="s">
        <v>40</v>
      </c>
      <c r="U1889" s="41" t="s">
        <v>40</v>
      </c>
    </row>
    <row r="1890" spans="1:21">
      <c r="A1890" s="41">
        <v>889</v>
      </c>
      <c r="B1890" s="41" t="s">
        <v>6337</v>
      </c>
      <c r="E1890" s="41" t="s">
        <v>2405</v>
      </c>
      <c r="F1890" s="41" t="s">
        <v>28</v>
      </c>
      <c r="G1890" s="41" t="s">
        <v>64</v>
      </c>
      <c r="I1890" s="41" t="s">
        <v>45</v>
      </c>
      <c r="J1890" s="41" t="s">
        <v>380</v>
      </c>
      <c r="K1890" s="42"/>
      <c r="L1890" s="41" t="s">
        <v>6338</v>
      </c>
      <c r="M1890" s="41">
        <v>220</v>
      </c>
      <c r="N1890" s="41" t="s">
        <v>67</v>
      </c>
      <c r="O1890" s="41" t="s">
        <v>620</v>
      </c>
      <c r="P1890" s="41" t="s">
        <v>83</v>
      </c>
      <c r="Q1890" s="41" t="s">
        <v>461</v>
      </c>
      <c r="R1890" s="41" t="s">
        <v>39</v>
      </c>
      <c r="S1890" s="41" t="s">
        <v>40</v>
      </c>
      <c r="T1890" s="41" t="s">
        <v>40</v>
      </c>
      <c r="U1890" s="41" t="s">
        <v>40</v>
      </c>
    </row>
    <row r="1891" spans="1:21">
      <c r="A1891" s="41">
        <v>888</v>
      </c>
      <c r="B1891" s="41" t="s">
        <v>685</v>
      </c>
      <c r="C1891" s="43">
        <v>1</v>
      </c>
      <c r="D1891" s="41">
        <v>2597</v>
      </c>
      <c r="E1891" s="41" t="s">
        <v>686</v>
      </c>
      <c r="F1891" s="41" t="s">
        <v>53</v>
      </c>
      <c r="G1891" s="41" t="s">
        <v>43</v>
      </c>
      <c r="I1891" s="41" t="s">
        <v>2653</v>
      </c>
      <c r="J1891" s="41" t="s">
        <v>672</v>
      </c>
      <c r="K1891" s="42"/>
      <c r="L1891" s="41" t="s">
        <v>689</v>
      </c>
      <c r="M1891" s="41">
        <v>110</v>
      </c>
      <c r="N1891" s="41" t="s">
        <v>690</v>
      </c>
      <c r="O1891" s="41" t="s">
        <v>691</v>
      </c>
      <c r="P1891" s="41" t="s">
        <v>68</v>
      </c>
      <c r="Q1891" s="41" t="s">
        <v>191</v>
      </c>
      <c r="R1891" s="41" t="s">
        <v>132</v>
      </c>
      <c r="S1891" s="41" t="s">
        <v>692</v>
      </c>
      <c r="T1891" s="41" t="s">
        <v>693</v>
      </c>
      <c r="U1891" s="41" t="s">
        <v>40</v>
      </c>
    </row>
    <row r="1892" spans="1:21">
      <c r="A1892" s="41">
        <v>887</v>
      </c>
      <c r="B1892" s="41" t="s">
        <v>6339</v>
      </c>
      <c r="D1892" s="41">
        <v>2640</v>
      </c>
      <c r="E1892" s="41" t="s">
        <v>6340</v>
      </c>
      <c r="F1892" s="41" t="s">
        <v>53</v>
      </c>
      <c r="G1892" s="41" t="s">
        <v>141</v>
      </c>
      <c r="I1892" s="41" t="s">
        <v>6341</v>
      </c>
      <c r="J1892" s="41" t="s">
        <v>380</v>
      </c>
      <c r="K1892" s="42"/>
      <c r="L1892" s="41" t="s">
        <v>6342</v>
      </c>
      <c r="M1892" s="41">
        <v>220</v>
      </c>
      <c r="N1892" s="41" t="s">
        <v>6343</v>
      </c>
      <c r="O1892" s="41" t="s">
        <v>6344</v>
      </c>
      <c r="P1892" s="41" t="s">
        <v>153</v>
      </c>
      <c r="Q1892" s="41" t="s">
        <v>2004</v>
      </c>
      <c r="R1892" s="41" t="s">
        <v>62</v>
      </c>
      <c r="S1892" s="41" t="s">
        <v>6345</v>
      </c>
      <c r="T1892" s="41" t="s">
        <v>1773</v>
      </c>
      <c r="U1892" s="41" t="s">
        <v>1500</v>
      </c>
    </row>
    <row r="1893" spans="1:21">
      <c r="A1893" s="41">
        <v>886</v>
      </c>
      <c r="B1893" s="41" t="s">
        <v>6130</v>
      </c>
      <c r="D1893" s="41">
        <v>2587</v>
      </c>
      <c r="E1893" s="41" t="s">
        <v>1227</v>
      </c>
      <c r="F1893" s="41" t="s">
        <v>53</v>
      </c>
      <c r="G1893" s="41" t="s">
        <v>64</v>
      </c>
      <c r="I1893" s="41" t="s">
        <v>102</v>
      </c>
      <c r="J1893" s="41" t="s">
        <v>32</v>
      </c>
      <c r="K1893" s="42"/>
      <c r="L1893" s="41" t="s">
        <v>6346</v>
      </c>
      <c r="M1893" s="41">
        <v>220</v>
      </c>
      <c r="N1893" s="41" t="s">
        <v>719</v>
      </c>
      <c r="O1893" s="41" t="s">
        <v>6347</v>
      </c>
      <c r="P1893" s="41" t="s">
        <v>98</v>
      </c>
      <c r="Q1893" s="41" t="s">
        <v>99</v>
      </c>
      <c r="R1893" s="41" t="s">
        <v>62</v>
      </c>
      <c r="S1893" s="41" t="s">
        <v>40</v>
      </c>
      <c r="T1893" s="41" t="s">
        <v>40</v>
      </c>
      <c r="U1893" s="41" t="s">
        <v>40</v>
      </c>
    </row>
    <row r="1894" spans="1:21">
      <c r="A1894" s="41">
        <v>885</v>
      </c>
      <c r="B1894" s="41" t="s">
        <v>6131</v>
      </c>
      <c r="E1894" s="41" t="s">
        <v>1227</v>
      </c>
      <c r="F1894" s="41" t="s">
        <v>53</v>
      </c>
      <c r="G1894" s="41" t="s">
        <v>64</v>
      </c>
      <c r="I1894" s="41" t="s">
        <v>6132</v>
      </c>
      <c r="J1894" s="41" t="s">
        <v>380</v>
      </c>
      <c r="K1894" s="42"/>
      <c r="L1894" s="41" t="s">
        <v>6133</v>
      </c>
      <c r="M1894" s="41">
        <v>220</v>
      </c>
      <c r="N1894" s="41" t="s">
        <v>6348</v>
      </c>
      <c r="O1894" s="41" t="s">
        <v>396</v>
      </c>
      <c r="P1894" s="41" t="s">
        <v>153</v>
      </c>
      <c r="Q1894" s="41" t="s">
        <v>329</v>
      </c>
      <c r="R1894" s="41" t="s">
        <v>62</v>
      </c>
      <c r="S1894" s="41" t="s">
        <v>40</v>
      </c>
      <c r="T1894" s="41" t="s">
        <v>40</v>
      </c>
      <c r="U1894" s="41" t="s">
        <v>40</v>
      </c>
    </row>
    <row r="1895" spans="1:21">
      <c r="A1895" s="41">
        <v>884</v>
      </c>
      <c r="B1895" s="41" t="s">
        <v>6130</v>
      </c>
      <c r="E1895" s="41" t="s">
        <v>1227</v>
      </c>
      <c r="F1895" s="41" t="s">
        <v>53</v>
      </c>
      <c r="G1895" s="41" t="s">
        <v>43</v>
      </c>
      <c r="I1895" s="41" t="s">
        <v>102</v>
      </c>
      <c r="J1895" s="41" t="s">
        <v>32</v>
      </c>
      <c r="K1895" s="42"/>
      <c r="L1895" s="41" t="s">
        <v>6349</v>
      </c>
      <c r="M1895" s="41">
        <v>500</v>
      </c>
      <c r="N1895" s="41" t="s">
        <v>719</v>
      </c>
      <c r="O1895" s="41" t="s">
        <v>6347</v>
      </c>
      <c r="P1895" s="41" t="s">
        <v>98</v>
      </c>
      <c r="Q1895" s="41" t="s">
        <v>99</v>
      </c>
      <c r="R1895" s="41" t="s">
        <v>62</v>
      </c>
      <c r="S1895" s="41" t="s">
        <v>40</v>
      </c>
      <c r="T1895" s="41" t="s">
        <v>40</v>
      </c>
      <c r="U1895" s="41" t="s">
        <v>40</v>
      </c>
    </row>
    <row r="1896" spans="1:21">
      <c r="A1896" s="41">
        <v>883</v>
      </c>
      <c r="B1896" s="41" t="s">
        <v>6350</v>
      </c>
      <c r="D1896" s="41">
        <v>2629</v>
      </c>
      <c r="E1896" s="41" t="s">
        <v>1227</v>
      </c>
      <c r="F1896" s="41" t="s">
        <v>53</v>
      </c>
      <c r="G1896" s="41" t="s">
        <v>64</v>
      </c>
      <c r="I1896" s="41" t="s">
        <v>6351</v>
      </c>
      <c r="J1896" s="41" t="s">
        <v>32</v>
      </c>
      <c r="K1896" s="42"/>
      <c r="L1896" s="41" t="s">
        <v>6346</v>
      </c>
      <c r="M1896" s="41">
        <v>220</v>
      </c>
      <c r="N1896" s="41" t="s">
        <v>719</v>
      </c>
      <c r="O1896" s="41" t="s">
        <v>6352</v>
      </c>
      <c r="P1896" s="41" t="s">
        <v>98</v>
      </c>
      <c r="Q1896" s="41" t="s">
        <v>99</v>
      </c>
      <c r="R1896" s="41" t="s">
        <v>62</v>
      </c>
      <c r="S1896" s="41" t="s">
        <v>40</v>
      </c>
      <c r="T1896" s="41" t="s">
        <v>40</v>
      </c>
      <c r="U1896" s="41" t="s">
        <v>40</v>
      </c>
    </row>
    <row r="1897" spans="1:21">
      <c r="A1897" s="41">
        <v>882</v>
      </c>
      <c r="B1897" s="41" t="s">
        <v>6126</v>
      </c>
      <c r="D1897" s="41">
        <v>2755</v>
      </c>
      <c r="E1897" s="41" t="s">
        <v>1227</v>
      </c>
      <c r="F1897" s="41" t="s">
        <v>53</v>
      </c>
      <c r="G1897" s="41" t="s">
        <v>64</v>
      </c>
      <c r="I1897" s="41" t="s">
        <v>6127</v>
      </c>
      <c r="J1897" s="41" t="s">
        <v>380</v>
      </c>
      <c r="K1897" s="42"/>
      <c r="L1897" s="41" t="s">
        <v>6346</v>
      </c>
      <c r="M1897" s="41">
        <v>220</v>
      </c>
      <c r="N1897" s="41" t="s">
        <v>719</v>
      </c>
      <c r="O1897" s="41" t="s">
        <v>6280</v>
      </c>
      <c r="P1897" s="41" t="s">
        <v>98</v>
      </c>
      <c r="Q1897" s="41" t="s">
        <v>99</v>
      </c>
      <c r="R1897" s="41" t="s">
        <v>62</v>
      </c>
      <c r="S1897" s="41" t="s">
        <v>40</v>
      </c>
      <c r="T1897" s="41" t="s">
        <v>40</v>
      </c>
      <c r="U1897" s="41" t="s">
        <v>40</v>
      </c>
    </row>
    <row r="1898" spans="1:21">
      <c r="A1898" s="41">
        <v>881</v>
      </c>
      <c r="B1898" s="41" t="s">
        <v>6353</v>
      </c>
      <c r="E1898" s="41" t="s">
        <v>1418</v>
      </c>
      <c r="F1898" s="41" t="s">
        <v>53</v>
      </c>
      <c r="G1898" s="41" t="s">
        <v>43</v>
      </c>
      <c r="I1898" s="41" t="s">
        <v>999</v>
      </c>
      <c r="J1898" s="41" t="s">
        <v>672</v>
      </c>
      <c r="K1898" s="42"/>
      <c r="L1898" s="41" t="s">
        <v>3859</v>
      </c>
      <c r="M1898" s="41">
        <v>13</v>
      </c>
      <c r="N1898" s="41" t="s">
        <v>619</v>
      </c>
      <c r="O1898" s="41" t="s">
        <v>663</v>
      </c>
      <c r="P1898" s="41" t="s">
        <v>60</v>
      </c>
      <c r="Q1898" s="41" t="s">
        <v>1468</v>
      </c>
      <c r="R1898" s="41" t="s">
        <v>132</v>
      </c>
      <c r="S1898" s="41" t="s">
        <v>40</v>
      </c>
      <c r="T1898" s="41" t="s">
        <v>40</v>
      </c>
      <c r="U1898" s="41" t="s">
        <v>40</v>
      </c>
    </row>
    <row r="1899" spans="1:21">
      <c r="A1899" s="41">
        <v>880</v>
      </c>
      <c r="B1899" s="41" t="s">
        <v>6354</v>
      </c>
      <c r="D1899" s="41">
        <v>2548</v>
      </c>
      <c r="E1899" s="41" t="s">
        <v>6355</v>
      </c>
      <c r="F1899" s="41" t="s">
        <v>53</v>
      </c>
      <c r="G1899" s="41" t="s">
        <v>141</v>
      </c>
      <c r="I1899" s="41" t="s">
        <v>194</v>
      </c>
      <c r="J1899" s="41" t="s">
        <v>295</v>
      </c>
      <c r="K1899" s="42"/>
      <c r="L1899" s="41" t="s">
        <v>5184</v>
      </c>
      <c r="M1899" s="41">
        <v>12</v>
      </c>
      <c r="N1899" s="41" t="s">
        <v>1675</v>
      </c>
      <c r="O1899" s="41" t="s">
        <v>1392</v>
      </c>
      <c r="P1899" s="41" t="s">
        <v>68</v>
      </c>
      <c r="Q1899" s="41" t="s">
        <v>1156</v>
      </c>
      <c r="R1899" s="41" t="s">
        <v>132</v>
      </c>
      <c r="S1899" s="41" t="s">
        <v>6356</v>
      </c>
      <c r="T1899" s="41" t="s">
        <v>1699</v>
      </c>
      <c r="U1899" s="41" t="s">
        <v>40</v>
      </c>
    </row>
    <row r="1900" spans="1:21">
      <c r="A1900" s="41">
        <v>879</v>
      </c>
      <c r="B1900" s="41" t="s">
        <v>6357</v>
      </c>
      <c r="D1900" s="41">
        <v>2549</v>
      </c>
      <c r="E1900" s="41" t="s">
        <v>5443</v>
      </c>
      <c r="F1900" s="41" t="s">
        <v>53</v>
      </c>
      <c r="G1900" s="41" t="s">
        <v>54</v>
      </c>
      <c r="I1900" s="41" t="s">
        <v>194</v>
      </c>
      <c r="J1900" s="41" t="s">
        <v>295</v>
      </c>
      <c r="K1900" s="42"/>
      <c r="L1900" s="41" t="s">
        <v>6358</v>
      </c>
      <c r="M1900" s="41">
        <v>15</v>
      </c>
      <c r="N1900" s="41" t="s">
        <v>790</v>
      </c>
      <c r="O1900" s="41" t="s">
        <v>402</v>
      </c>
      <c r="P1900" s="41" t="s">
        <v>172</v>
      </c>
      <c r="Q1900" s="41" t="s">
        <v>6359</v>
      </c>
      <c r="R1900" s="41" t="s">
        <v>132</v>
      </c>
      <c r="S1900" s="41" t="s">
        <v>40</v>
      </c>
      <c r="T1900" s="41" t="s">
        <v>40</v>
      </c>
      <c r="U1900" s="41" t="s">
        <v>40</v>
      </c>
    </row>
    <row r="1901" spans="1:21">
      <c r="A1901" s="41">
        <v>878</v>
      </c>
      <c r="B1901" s="41" t="s">
        <v>6360</v>
      </c>
      <c r="E1901" s="41" t="s">
        <v>6216</v>
      </c>
      <c r="F1901" s="41" t="s">
        <v>28</v>
      </c>
      <c r="G1901" s="41" t="s">
        <v>64</v>
      </c>
      <c r="I1901" s="41" t="s">
        <v>325</v>
      </c>
      <c r="J1901" s="41" t="s">
        <v>295</v>
      </c>
      <c r="K1901" s="42"/>
      <c r="L1901" s="41" t="s">
        <v>6361</v>
      </c>
      <c r="M1901" s="41">
        <v>220</v>
      </c>
      <c r="N1901" s="41" t="s">
        <v>67</v>
      </c>
      <c r="O1901" s="41" t="s">
        <v>6362</v>
      </c>
      <c r="P1901" s="41" t="s">
        <v>68</v>
      </c>
      <c r="Q1901" s="41" t="s">
        <v>191</v>
      </c>
      <c r="R1901" s="41" t="s">
        <v>39</v>
      </c>
      <c r="S1901" s="41" t="s">
        <v>40</v>
      </c>
      <c r="T1901" s="41" t="s">
        <v>40</v>
      </c>
      <c r="U1901" s="41" t="s">
        <v>40</v>
      </c>
    </row>
    <row r="1902" spans="1:21">
      <c r="A1902" s="41">
        <v>877</v>
      </c>
      <c r="B1902" s="41" t="s">
        <v>6363</v>
      </c>
      <c r="E1902" s="41" t="s">
        <v>6216</v>
      </c>
      <c r="F1902" s="41" t="s">
        <v>53</v>
      </c>
      <c r="G1902" s="41" t="s">
        <v>64</v>
      </c>
      <c r="I1902" s="41" t="s">
        <v>966</v>
      </c>
      <c r="J1902" s="41" t="s">
        <v>295</v>
      </c>
      <c r="K1902" s="42"/>
      <c r="L1902" s="41" t="s">
        <v>6364</v>
      </c>
      <c r="M1902" s="41">
        <v>110</v>
      </c>
      <c r="N1902" s="41" t="s">
        <v>6365</v>
      </c>
      <c r="O1902" s="41" t="s">
        <v>1799</v>
      </c>
      <c r="P1902" s="41" t="s">
        <v>68</v>
      </c>
      <c r="Q1902" s="41" t="s">
        <v>244</v>
      </c>
      <c r="R1902" s="41" t="s">
        <v>132</v>
      </c>
      <c r="S1902" s="41" t="s">
        <v>40</v>
      </c>
      <c r="T1902" s="41" t="s">
        <v>40</v>
      </c>
      <c r="U1902" s="41" t="s">
        <v>40</v>
      </c>
    </row>
    <row r="1903" spans="1:21">
      <c r="A1903" s="41">
        <v>876</v>
      </c>
      <c r="B1903" s="41" t="s">
        <v>6366</v>
      </c>
      <c r="D1903" s="41">
        <v>2580</v>
      </c>
      <c r="E1903" s="41" t="s">
        <v>6367</v>
      </c>
      <c r="F1903" s="41" t="s">
        <v>53</v>
      </c>
      <c r="G1903" s="41" t="s">
        <v>141</v>
      </c>
      <c r="I1903" s="41" t="s">
        <v>6368</v>
      </c>
      <c r="J1903" s="41" t="s">
        <v>32</v>
      </c>
      <c r="K1903" s="42"/>
      <c r="L1903" s="41" t="s">
        <v>107</v>
      </c>
      <c r="M1903" s="41">
        <v>220</v>
      </c>
      <c r="N1903" s="41" t="s">
        <v>6369</v>
      </c>
      <c r="O1903" s="41" t="s">
        <v>6370</v>
      </c>
      <c r="P1903" s="41" t="s">
        <v>98</v>
      </c>
      <c r="Q1903" s="41" t="s">
        <v>98</v>
      </c>
      <c r="R1903" s="41" t="s">
        <v>62</v>
      </c>
      <c r="S1903" s="41" t="s">
        <v>6371</v>
      </c>
      <c r="T1903" s="41" t="s">
        <v>146</v>
      </c>
      <c r="U1903" s="41" t="s">
        <v>40</v>
      </c>
    </row>
    <row r="1904" spans="1:21">
      <c r="A1904" s="41">
        <v>874</v>
      </c>
      <c r="B1904" s="41" t="s">
        <v>5292</v>
      </c>
      <c r="D1904" s="41">
        <v>2545</v>
      </c>
      <c r="E1904" s="41" t="s">
        <v>5293</v>
      </c>
      <c r="F1904" s="41" t="s">
        <v>53</v>
      </c>
      <c r="G1904" s="41" t="s">
        <v>64</v>
      </c>
      <c r="I1904" s="41" t="s">
        <v>5294</v>
      </c>
      <c r="J1904" s="41" t="s">
        <v>295</v>
      </c>
      <c r="K1904" s="42"/>
      <c r="L1904" s="41" t="s">
        <v>6372</v>
      </c>
      <c r="M1904" s="41">
        <v>220</v>
      </c>
      <c r="N1904" s="41" t="s">
        <v>5295</v>
      </c>
      <c r="O1904" s="41" t="s">
        <v>271</v>
      </c>
      <c r="P1904" s="41" t="s">
        <v>179</v>
      </c>
      <c r="Q1904" s="41" t="s">
        <v>532</v>
      </c>
      <c r="R1904" s="41" t="s">
        <v>62</v>
      </c>
      <c r="S1904" s="41" t="s">
        <v>40</v>
      </c>
      <c r="T1904" s="41" t="s">
        <v>40</v>
      </c>
      <c r="U1904" s="41" t="s">
        <v>40</v>
      </c>
    </row>
    <row r="1905" spans="1:21">
      <c r="A1905" s="41">
        <v>873</v>
      </c>
      <c r="B1905" s="41" t="s">
        <v>6373</v>
      </c>
      <c r="E1905" s="41" t="s">
        <v>6374</v>
      </c>
      <c r="F1905" s="41" t="s">
        <v>28</v>
      </c>
      <c r="G1905" s="41" t="s">
        <v>64</v>
      </c>
      <c r="I1905" s="41" t="s">
        <v>1142</v>
      </c>
      <c r="J1905" s="41" t="s">
        <v>295</v>
      </c>
      <c r="K1905" s="42"/>
      <c r="L1905" s="41" t="s">
        <v>6375</v>
      </c>
      <c r="M1905" s="41">
        <v>23</v>
      </c>
      <c r="N1905" s="41" t="s">
        <v>67</v>
      </c>
      <c r="O1905" s="41" t="s">
        <v>6376</v>
      </c>
      <c r="P1905" s="41" t="s">
        <v>179</v>
      </c>
      <c r="Q1905" s="41" t="s">
        <v>180</v>
      </c>
      <c r="R1905" s="41" t="s">
        <v>39</v>
      </c>
      <c r="S1905" s="41" t="s">
        <v>40</v>
      </c>
      <c r="T1905" s="41" t="s">
        <v>40</v>
      </c>
      <c r="U1905" s="41" t="s">
        <v>40</v>
      </c>
    </row>
    <row r="1906" spans="1:21">
      <c r="A1906" s="41">
        <v>872</v>
      </c>
      <c r="B1906" s="41" t="s">
        <v>6377</v>
      </c>
      <c r="D1906" s="41">
        <v>2579</v>
      </c>
      <c r="E1906" s="41" t="s">
        <v>6378</v>
      </c>
      <c r="F1906" s="41" t="s">
        <v>28</v>
      </c>
      <c r="G1906" s="41" t="s">
        <v>64</v>
      </c>
      <c r="I1906" s="41" t="s">
        <v>5510</v>
      </c>
      <c r="J1906" s="41" t="s">
        <v>380</v>
      </c>
      <c r="K1906" s="42"/>
      <c r="L1906" s="41" t="s">
        <v>6379</v>
      </c>
      <c r="M1906" s="41">
        <v>220</v>
      </c>
      <c r="N1906" s="41" t="s">
        <v>67</v>
      </c>
      <c r="O1906" s="41" t="s">
        <v>3213</v>
      </c>
      <c r="P1906" s="41" t="s">
        <v>1046</v>
      </c>
      <c r="Q1906" s="41" t="s">
        <v>1110</v>
      </c>
      <c r="R1906" s="41" t="s">
        <v>39</v>
      </c>
      <c r="S1906" s="41" t="s">
        <v>40</v>
      </c>
      <c r="T1906" s="41" t="s">
        <v>40</v>
      </c>
      <c r="U1906" s="41" t="s">
        <v>40</v>
      </c>
    </row>
    <row r="1907" spans="1:21">
      <c r="A1907" s="41">
        <v>871</v>
      </c>
      <c r="B1907" s="41" t="s">
        <v>6380</v>
      </c>
      <c r="C1907" s="43">
        <v>1</v>
      </c>
      <c r="E1907" s="41" t="s">
        <v>759</v>
      </c>
      <c r="F1907" s="41" t="s">
        <v>53</v>
      </c>
      <c r="G1907" s="41" t="s">
        <v>43</v>
      </c>
      <c r="I1907" s="41" t="s">
        <v>5074</v>
      </c>
      <c r="J1907" s="41" t="s">
        <v>672</v>
      </c>
      <c r="K1907" s="42"/>
      <c r="L1907" s="41" t="s">
        <v>674</v>
      </c>
      <c r="M1907" s="41">
        <v>220</v>
      </c>
      <c r="N1907" s="41" t="s">
        <v>6381</v>
      </c>
      <c r="O1907" s="41" t="s">
        <v>3204</v>
      </c>
      <c r="P1907" s="41" t="s">
        <v>68</v>
      </c>
      <c r="Q1907" s="41" t="s">
        <v>677</v>
      </c>
      <c r="R1907" s="41" t="s">
        <v>62</v>
      </c>
      <c r="S1907" s="41" t="s">
        <v>40</v>
      </c>
      <c r="T1907" s="41" t="s">
        <v>40</v>
      </c>
      <c r="U1907" s="41" t="s">
        <v>40</v>
      </c>
    </row>
    <row r="1908" spans="1:21">
      <c r="A1908" s="41">
        <v>869</v>
      </c>
      <c r="B1908" s="41" t="s">
        <v>6382</v>
      </c>
      <c r="D1908" s="41">
        <v>2570</v>
      </c>
      <c r="E1908" s="41" t="s">
        <v>1638</v>
      </c>
      <c r="F1908" s="41" t="s">
        <v>53</v>
      </c>
      <c r="G1908" s="41" t="s">
        <v>141</v>
      </c>
      <c r="I1908" s="41" t="s">
        <v>6383</v>
      </c>
      <c r="J1908" s="41" t="s">
        <v>295</v>
      </c>
      <c r="K1908" s="42"/>
      <c r="L1908" s="41" t="s">
        <v>4722</v>
      </c>
      <c r="M1908" s="41">
        <v>220</v>
      </c>
      <c r="N1908" s="41" t="s">
        <v>6384</v>
      </c>
      <c r="O1908" s="41" t="s">
        <v>2566</v>
      </c>
      <c r="P1908" s="41" t="s">
        <v>179</v>
      </c>
      <c r="Q1908" s="41" t="s">
        <v>1116</v>
      </c>
      <c r="R1908" s="41" t="s">
        <v>62</v>
      </c>
      <c r="S1908" s="41" t="s">
        <v>6385</v>
      </c>
      <c r="T1908" s="41" t="s">
        <v>2145</v>
      </c>
      <c r="U1908" s="41" t="s">
        <v>40</v>
      </c>
    </row>
    <row r="1909" spans="1:21">
      <c r="A1909" s="41">
        <v>868</v>
      </c>
      <c r="B1909" s="41" t="s">
        <v>6386</v>
      </c>
      <c r="D1909" s="41">
        <v>2557</v>
      </c>
      <c r="E1909" s="41" t="s">
        <v>6387</v>
      </c>
      <c r="F1909" s="41" t="s">
        <v>53</v>
      </c>
      <c r="G1909" s="41" t="s">
        <v>141</v>
      </c>
      <c r="I1909" s="41" t="s">
        <v>392</v>
      </c>
      <c r="J1909" s="41" t="s">
        <v>32</v>
      </c>
      <c r="K1909" s="42"/>
      <c r="L1909" s="41" t="s">
        <v>6388</v>
      </c>
      <c r="M1909" s="41">
        <v>220</v>
      </c>
      <c r="N1909" s="41" t="s">
        <v>6389</v>
      </c>
      <c r="O1909" s="41" t="s">
        <v>791</v>
      </c>
      <c r="P1909" s="41" t="s">
        <v>83</v>
      </c>
      <c r="Q1909" s="41" t="s">
        <v>2908</v>
      </c>
      <c r="R1909" s="41" t="s">
        <v>62</v>
      </c>
      <c r="S1909" s="41" t="s">
        <v>6390</v>
      </c>
      <c r="T1909" s="41" t="s">
        <v>1796</v>
      </c>
      <c r="U1909" s="41" t="s">
        <v>40</v>
      </c>
    </row>
    <row r="1910" spans="1:21">
      <c r="A1910" s="41">
        <v>867</v>
      </c>
      <c r="B1910" s="41" t="s">
        <v>6391</v>
      </c>
      <c r="D1910" s="41">
        <v>2209</v>
      </c>
      <c r="E1910" s="41" t="s">
        <v>6392</v>
      </c>
      <c r="F1910" s="41" t="s">
        <v>53</v>
      </c>
      <c r="G1910" s="41" t="s">
        <v>141</v>
      </c>
      <c r="I1910" s="41" t="s">
        <v>601</v>
      </c>
      <c r="J1910" s="41" t="s">
        <v>380</v>
      </c>
      <c r="K1910" s="42"/>
      <c r="L1910" s="41" t="s">
        <v>3069</v>
      </c>
      <c r="M1910" s="41">
        <v>220</v>
      </c>
      <c r="N1910" s="41" t="s">
        <v>6393</v>
      </c>
      <c r="O1910" s="41" t="s">
        <v>1834</v>
      </c>
      <c r="P1910" s="41" t="s">
        <v>83</v>
      </c>
      <c r="Q1910" s="41" t="s">
        <v>2999</v>
      </c>
      <c r="R1910" s="41" t="s">
        <v>62</v>
      </c>
      <c r="S1910" s="41" t="s">
        <v>6394</v>
      </c>
      <c r="T1910" s="41" t="s">
        <v>186</v>
      </c>
      <c r="U1910" s="41" t="s">
        <v>40</v>
      </c>
    </row>
    <row r="1911" spans="1:21">
      <c r="A1911" s="41">
        <v>866</v>
      </c>
      <c r="B1911" s="41" t="s">
        <v>6395</v>
      </c>
      <c r="D1911" s="41">
        <v>2572</v>
      </c>
      <c r="E1911" s="41" t="s">
        <v>869</v>
      </c>
      <c r="F1911" s="41" t="s">
        <v>28</v>
      </c>
      <c r="G1911" s="41" t="s">
        <v>43</v>
      </c>
      <c r="I1911" s="41" t="s">
        <v>966</v>
      </c>
      <c r="J1911" s="41" t="s">
        <v>295</v>
      </c>
      <c r="K1911" s="42"/>
      <c r="L1911" s="41" t="s">
        <v>6396</v>
      </c>
      <c r="M1911" s="41">
        <v>220</v>
      </c>
      <c r="N1911" s="41" t="s">
        <v>2432</v>
      </c>
      <c r="O1911" s="41" t="s">
        <v>452</v>
      </c>
      <c r="P1911" s="41" t="s">
        <v>334</v>
      </c>
      <c r="Q1911" s="41" t="s">
        <v>1021</v>
      </c>
      <c r="R1911" s="41" t="s">
        <v>39</v>
      </c>
      <c r="S1911" s="41" t="s">
        <v>40</v>
      </c>
      <c r="T1911" s="41" t="s">
        <v>40</v>
      </c>
      <c r="U1911" s="41" t="s">
        <v>40</v>
      </c>
    </row>
    <row r="1912" spans="1:21">
      <c r="A1912" s="41">
        <v>865</v>
      </c>
      <c r="B1912" s="41" t="s">
        <v>6397</v>
      </c>
      <c r="D1912" s="41">
        <v>2569</v>
      </c>
      <c r="E1912" s="41" t="s">
        <v>6398</v>
      </c>
      <c r="F1912" s="41" t="s">
        <v>28</v>
      </c>
      <c r="G1912" s="41" t="s">
        <v>64</v>
      </c>
      <c r="I1912" s="41" t="s">
        <v>194</v>
      </c>
      <c r="J1912" s="41" t="s">
        <v>295</v>
      </c>
      <c r="K1912" s="42"/>
      <c r="L1912" s="41" t="s">
        <v>6399</v>
      </c>
      <c r="M1912" s="41">
        <v>220</v>
      </c>
      <c r="N1912" s="41" t="s">
        <v>6400</v>
      </c>
      <c r="O1912" s="41" t="s">
        <v>237</v>
      </c>
      <c r="P1912" s="41" t="s">
        <v>179</v>
      </c>
      <c r="Q1912" s="41" t="s">
        <v>284</v>
      </c>
      <c r="R1912" s="41" t="s">
        <v>39</v>
      </c>
      <c r="S1912" s="41" t="s">
        <v>40</v>
      </c>
      <c r="T1912" s="41" t="s">
        <v>5087</v>
      </c>
      <c r="U1912" s="41" t="s">
        <v>3450</v>
      </c>
    </row>
    <row r="1913" spans="1:21">
      <c r="A1913" s="41">
        <v>864</v>
      </c>
      <c r="B1913" s="41" t="s">
        <v>6401</v>
      </c>
      <c r="E1913" s="41" t="s">
        <v>2405</v>
      </c>
      <c r="F1913" s="41" t="s">
        <v>28</v>
      </c>
      <c r="G1913" s="41" t="s">
        <v>64</v>
      </c>
      <c r="I1913" s="41" t="s">
        <v>411</v>
      </c>
      <c r="J1913" s="41" t="s">
        <v>295</v>
      </c>
      <c r="K1913" s="42"/>
      <c r="L1913" s="41" t="s">
        <v>6402</v>
      </c>
      <c r="M1913" s="41">
        <v>66</v>
      </c>
      <c r="N1913" s="41" t="s">
        <v>67</v>
      </c>
      <c r="O1913" s="41" t="s">
        <v>97</v>
      </c>
      <c r="P1913" s="41" t="s">
        <v>37</v>
      </c>
      <c r="Q1913" s="41" t="s">
        <v>38</v>
      </c>
      <c r="R1913" s="41" t="s">
        <v>39</v>
      </c>
      <c r="S1913" s="41" t="s">
        <v>40</v>
      </c>
      <c r="T1913" s="41" t="s">
        <v>40</v>
      </c>
      <c r="U1913" s="41" t="s">
        <v>40</v>
      </c>
    </row>
    <row r="1914" spans="1:21">
      <c r="A1914" s="41">
        <v>861</v>
      </c>
      <c r="B1914" s="41" t="s">
        <v>6038</v>
      </c>
      <c r="E1914" s="41" t="s">
        <v>6403</v>
      </c>
      <c r="F1914" s="41" t="s">
        <v>53</v>
      </c>
      <c r="G1914" s="41" t="s">
        <v>43</v>
      </c>
      <c r="I1914" s="41" t="s">
        <v>464</v>
      </c>
      <c r="J1914" s="41" t="s">
        <v>295</v>
      </c>
      <c r="K1914" s="42"/>
      <c r="L1914" s="41" t="s">
        <v>6040</v>
      </c>
      <c r="M1914" s="41">
        <v>110</v>
      </c>
      <c r="N1914" s="41" t="s">
        <v>6041</v>
      </c>
      <c r="O1914" s="41" t="s">
        <v>178</v>
      </c>
      <c r="P1914" s="41" t="s">
        <v>153</v>
      </c>
      <c r="Q1914" s="41" t="s">
        <v>2397</v>
      </c>
      <c r="R1914" s="41" t="s">
        <v>132</v>
      </c>
      <c r="S1914" s="41" t="s">
        <v>40</v>
      </c>
      <c r="T1914" s="41" t="s">
        <v>40</v>
      </c>
      <c r="U1914" s="41" t="s">
        <v>40</v>
      </c>
    </row>
    <row r="1915" spans="1:21">
      <c r="A1915" s="41">
        <v>856</v>
      </c>
      <c r="B1915" s="41" t="s">
        <v>6404</v>
      </c>
      <c r="E1915" s="41" t="s">
        <v>1136</v>
      </c>
      <c r="F1915" s="41" t="s">
        <v>53</v>
      </c>
      <c r="G1915" s="41" t="s">
        <v>43</v>
      </c>
      <c r="I1915" s="41" t="s">
        <v>6405</v>
      </c>
      <c r="J1915" s="41" t="s">
        <v>295</v>
      </c>
      <c r="K1915" s="42"/>
      <c r="L1915" s="41" t="s">
        <v>6406</v>
      </c>
      <c r="M1915" s="41">
        <v>220</v>
      </c>
      <c r="N1915" s="41" t="s">
        <v>1623</v>
      </c>
      <c r="O1915" s="41" t="s">
        <v>791</v>
      </c>
      <c r="P1915" s="41" t="s">
        <v>172</v>
      </c>
      <c r="Q1915" s="41" t="s">
        <v>1803</v>
      </c>
      <c r="R1915" s="41" t="s">
        <v>62</v>
      </c>
      <c r="S1915" s="41" t="s">
        <v>40</v>
      </c>
      <c r="T1915" s="41" t="s">
        <v>40</v>
      </c>
      <c r="U1915" s="41" t="s">
        <v>40</v>
      </c>
    </row>
    <row r="1916" spans="1:21">
      <c r="A1916" s="41">
        <v>855</v>
      </c>
      <c r="B1916" s="41" t="s">
        <v>6407</v>
      </c>
      <c r="E1916" s="41" t="s">
        <v>6408</v>
      </c>
      <c r="F1916" s="41" t="s">
        <v>28</v>
      </c>
      <c r="G1916" s="41" t="s">
        <v>64</v>
      </c>
      <c r="I1916" s="41" t="s">
        <v>194</v>
      </c>
      <c r="J1916" s="41" t="s">
        <v>295</v>
      </c>
      <c r="K1916" s="42"/>
      <c r="L1916" s="41" t="s">
        <v>6409</v>
      </c>
      <c r="M1916" s="41">
        <v>44</v>
      </c>
      <c r="N1916" s="41" t="s">
        <v>6410</v>
      </c>
      <c r="O1916" s="41" t="s">
        <v>6410</v>
      </c>
      <c r="P1916" s="41" t="s">
        <v>68</v>
      </c>
      <c r="Q1916" s="41" t="s">
        <v>69</v>
      </c>
      <c r="R1916" s="41" t="s">
        <v>39</v>
      </c>
      <c r="S1916" s="41" t="s">
        <v>40</v>
      </c>
      <c r="T1916" s="41" t="s">
        <v>40</v>
      </c>
      <c r="U1916" s="41" t="s">
        <v>40</v>
      </c>
    </row>
    <row r="1917" spans="1:21">
      <c r="A1917" s="41">
        <v>854</v>
      </c>
      <c r="B1917" s="41" t="s">
        <v>679</v>
      </c>
      <c r="C1917" s="43">
        <v>1</v>
      </c>
      <c r="E1917" s="41" t="s">
        <v>670</v>
      </c>
      <c r="F1917" s="41" t="s">
        <v>53</v>
      </c>
      <c r="G1917" s="41" t="s">
        <v>64</v>
      </c>
      <c r="I1917" s="41" t="s">
        <v>464</v>
      </c>
      <c r="J1917" s="41" t="s">
        <v>672</v>
      </c>
      <c r="K1917" s="42"/>
      <c r="L1917" s="41" t="s">
        <v>682</v>
      </c>
      <c r="M1917" s="41">
        <v>110</v>
      </c>
      <c r="N1917" s="41" t="s">
        <v>683</v>
      </c>
      <c r="O1917" s="41" t="s">
        <v>684</v>
      </c>
      <c r="P1917" s="41" t="s">
        <v>68</v>
      </c>
      <c r="Q1917" s="41" t="s">
        <v>91</v>
      </c>
      <c r="R1917" s="41" t="s">
        <v>132</v>
      </c>
      <c r="S1917" s="41" t="s">
        <v>40</v>
      </c>
      <c r="T1917" s="41" t="s">
        <v>40</v>
      </c>
      <c r="U1917" s="41" t="s">
        <v>40</v>
      </c>
    </row>
    <row r="1918" spans="1:21">
      <c r="A1918" s="41">
        <v>853</v>
      </c>
      <c r="B1918" s="41" t="s">
        <v>6411</v>
      </c>
      <c r="E1918" s="41" t="s">
        <v>6408</v>
      </c>
      <c r="F1918" s="41" t="s">
        <v>53</v>
      </c>
      <c r="G1918" s="41" t="s">
        <v>64</v>
      </c>
      <c r="I1918" s="41" t="s">
        <v>6412</v>
      </c>
      <c r="J1918" s="41" t="s">
        <v>295</v>
      </c>
      <c r="K1918" s="42"/>
      <c r="L1918" s="41" t="s">
        <v>6413</v>
      </c>
      <c r="M1918" s="41">
        <v>220</v>
      </c>
      <c r="N1918" s="41" t="s">
        <v>2014</v>
      </c>
      <c r="O1918" s="41" t="s">
        <v>757</v>
      </c>
      <c r="P1918" s="41" t="s">
        <v>68</v>
      </c>
      <c r="Q1918" s="41" t="s">
        <v>69</v>
      </c>
      <c r="R1918" s="41" t="s">
        <v>62</v>
      </c>
      <c r="S1918" s="41" t="s">
        <v>40</v>
      </c>
      <c r="T1918" s="41" t="s">
        <v>40</v>
      </c>
      <c r="U1918" s="41" t="s">
        <v>40</v>
      </c>
    </row>
    <row r="1919" spans="1:21">
      <c r="A1919" s="41">
        <v>850</v>
      </c>
      <c r="B1919" s="41" t="s">
        <v>6414</v>
      </c>
      <c r="D1919" s="41">
        <v>2513</v>
      </c>
      <c r="E1919" s="41" t="s">
        <v>6415</v>
      </c>
      <c r="F1919" s="41" t="s">
        <v>53</v>
      </c>
      <c r="G1919" s="41" t="s">
        <v>64</v>
      </c>
      <c r="I1919" s="41" t="s">
        <v>325</v>
      </c>
      <c r="J1919" s="41" t="s">
        <v>380</v>
      </c>
      <c r="K1919" s="42"/>
      <c r="L1919" s="41" t="s">
        <v>6416</v>
      </c>
      <c r="M1919" s="41">
        <v>66</v>
      </c>
      <c r="N1919" s="41" t="s">
        <v>2014</v>
      </c>
      <c r="O1919" s="41" t="s">
        <v>6417</v>
      </c>
      <c r="P1919" s="41" t="s">
        <v>37</v>
      </c>
      <c r="Q1919" s="41" t="s">
        <v>3076</v>
      </c>
      <c r="R1919" s="41" t="s">
        <v>132</v>
      </c>
      <c r="S1919" s="41" t="s">
        <v>6418</v>
      </c>
      <c r="T1919" s="41" t="s">
        <v>5087</v>
      </c>
      <c r="U1919" s="41" t="s">
        <v>1773</v>
      </c>
    </row>
    <row r="1920" spans="1:21">
      <c r="A1920" s="41">
        <v>849</v>
      </c>
      <c r="B1920" s="41" t="s">
        <v>6419</v>
      </c>
      <c r="D1920" s="41">
        <v>2564</v>
      </c>
      <c r="E1920" s="41" t="s">
        <v>6420</v>
      </c>
      <c r="F1920" s="41" t="s">
        <v>53</v>
      </c>
      <c r="G1920" s="41" t="s">
        <v>141</v>
      </c>
      <c r="I1920" s="41" t="s">
        <v>45</v>
      </c>
      <c r="J1920" s="41" t="s">
        <v>295</v>
      </c>
      <c r="K1920" s="42"/>
      <c r="L1920" s="41" t="s">
        <v>6421</v>
      </c>
      <c r="M1920" s="41">
        <v>154</v>
      </c>
      <c r="N1920" s="41" t="s">
        <v>1220</v>
      </c>
      <c r="O1920" s="41" t="s">
        <v>2468</v>
      </c>
      <c r="P1920" s="41" t="s">
        <v>334</v>
      </c>
      <c r="Q1920" s="41" t="s">
        <v>2815</v>
      </c>
      <c r="R1920" s="41" t="s">
        <v>62</v>
      </c>
      <c r="S1920" s="41" t="s">
        <v>40</v>
      </c>
      <c r="T1920" s="41" t="s">
        <v>1699</v>
      </c>
      <c r="U1920" s="41" t="s">
        <v>40</v>
      </c>
    </row>
    <row r="1921" spans="1:21">
      <c r="A1921" s="41">
        <v>848</v>
      </c>
      <c r="B1921" s="41" t="s">
        <v>6419</v>
      </c>
      <c r="E1921" s="41" t="s">
        <v>869</v>
      </c>
      <c r="F1921" s="41" t="s">
        <v>53</v>
      </c>
      <c r="G1921" s="41" t="s">
        <v>43</v>
      </c>
      <c r="I1921" s="41" t="s">
        <v>406</v>
      </c>
      <c r="J1921" s="41" t="s">
        <v>295</v>
      </c>
      <c r="K1921" s="42"/>
      <c r="L1921" s="41" t="s">
        <v>6421</v>
      </c>
      <c r="M1921" s="41">
        <v>154</v>
      </c>
      <c r="N1921" s="41" t="s">
        <v>5687</v>
      </c>
      <c r="O1921" s="41" t="s">
        <v>2468</v>
      </c>
      <c r="P1921" s="41" t="s">
        <v>334</v>
      </c>
      <c r="Q1921" s="41" t="s">
        <v>2815</v>
      </c>
      <c r="R1921" s="41" t="s">
        <v>62</v>
      </c>
      <c r="S1921" s="41" t="s">
        <v>40</v>
      </c>
      <c r="T1921" s="41" t="s">
        <v>40</v>
      </c>
      <c r="U1921" s="41" t="s">
        <v>40</v>
      </c>
    </row>
    <row r="1922" spans="1:21">
      <c r="A1922" s="41">
        <v>847</v>
      </c>
      <c r="B1922" s="41" t="s">
        <v>6422</v>
      </c>
      <c r="D1922" s="41">
        <v>2395</v>
      </c>
      <c r="E1922" s="41" t="s">
        <v>1118</v>
      </c>
      <c r="F1922" s="41" t="s">
        <v>28</v>
      </c>
      <c r="G1922" s="41" t="s">
        <v>307</v>
      </c>
      <c r="I1922" s="41" t="s">
        <v>6423</v>
      </c>
      <c r="J1922" s="41" t="s">
        <v>672</v>
      </c>
      <c r="K1922" s="42"/>
      <c r="L1922" s="41" t="s">
        <v>6424</v>
      </c>
      <c r="M1922" s="41">
        <v>110</v>
      </c>
      <c r="N1922" s="41" t="s">
        <v>67</v>
      </c>
      <c r="O1922" s="41" t="s">
        <v>36</v>
      </c>
      <c r="P1922" s="41" t="s">
        <v>172</v>
      </c>
      <c r="Q1922" s="41" t="s">
        <v>3755</v>
      </c>
      <c r="R1922" s="41" t="s">
        <v>39</v>
      </c>
      <c r="S1922" s="41" t="s">
        <v>40</v>
      </c>
      <c r="T1922" s="41" t="s">
        <v>40</v>
      </c>
      <c r="U1922" s="41" t="s">
        <v>40</v>
      </c>
    </row>
    <row r="1923" spans="1:21">
      <c r="A1923" s="41">
        <v>846</v>
      </c>
      <c r="B1923" s="41" t="s">
        <v>6425</v>
      </c>
      <c r="E1923" s="41" t="s">
        <v>2405</v>
      </c>
      <c r="F1923" s="41" t="s">
        <v>28</v>
      </c>
      <c r="G1923" s="41" t="s">
        <v>64</v>
      </c>
      <c r="I1923" s="41" t="s">
        <v>966</v>
      </c>
      <c r="J1923" s="41" t="s">
        <v>295</v>
      </c>
      <c r="K1923" s="42"/>
      <c r="L1923" s="41" t="s">
        <v>5187</v>
      </c>
      <c r="M1923" s="41">
        <v>220</v>
      </c>
      <c r="N1923" s="41" t="s">
        <v>67</v>
      </c>
      <c r="O1923" s="41" t="s">
        <v>97</v>
      </c>
      <c r="P1923" s="41" t="s">
        <v>37</v>
      </c>
      <c r="Q1923" s="41" t="s">
        <v>38</v>
      </c>
      <c r="R1923" s="41" t="s">
        <v>39</v>
      </c>
      <c r="S1923" s="41" t="s">
        <v>40</v>
      </c>
      <c r="T1923" s="41" t="s">
        <v>40</v>
      </c>
      <c r="U1923" s="41" t="s">
        <v>40</v>
      </c>
    </row>
    <row r="1924" spans="1:21">
      <c r="A1924" s="41">
        <v>845</v>
      </c>
      <c r="B1924" s="41" t="s">
        <v>6426</v>
      </c>
      <c r="E1924" s="41" t="s">
        <v>2639</v>
      </c>
      <c r="F1924" s="41" t="s">
        <v>53</v>
      </c>
      <c r="G1924" s="41" t="s">
        <v>43</v>
      </c>
      <c r="I1924" s="41" t="s">
        <v>194</v>
      </c>
      <c r="J1924" s="41" t="s">
        <v>295</v>
      </c>
      <c r="K1924" s="42"/>
      <c r="L1924" s="41" t="s">
        <v>6427</v>
      </c>
      <c r="M1924" s="41">
        <v>15</v>
      </c>
      <c r="N1924" s="41" t="s">
        <v>1623</v>
      </c>
      <c r="O1924" s="41" t="s">
        <v>2275</v>
      </c>
      <c r="P1924" s="41" t="s">
        <v>172</v>
      </c>
      <c r="Q1924" s="41" t="s">
        <v>3856</v>
      </c>
      <c r="R1924" s="41" t="s">
        <v>132</v>
      </c>
      <c r="S1924" s="41" t="s">
        <v>40</v>
      </c>
      <c r="T1924" s="41" t="s">
        <v>40</v>
      </c>
      <c r="U1924" s="41" t="s">
        <v>40</v>
      </c>
    </row>
    <row r="1925" spans="1:21">
      <c r="A1925" s="41">
        <v>843</v>
      </c>
      <c r="B1925" s="41" t="s">
        <v>6428</v>
      </c>
      <c r="D1925" s="41">
        <v>2554</v>
      </c>
      <c r="E1925" s="41" t="s">
        <v>6429</v>
      </c>
      <c r="F1925" s="41" t="s">
        <v>28</v>
      </c>
      <c r="G1925" s="41" t="s">
        <v>301</v>
      </c>
      <c r="I1925" s="41" t="s">
        <v>6430</v>
      </c>
      <c r="J1925" s="41" t="s">
        <v>380</v>
      </c>
      <c r="K1925" s="42"/>
      <c r="L1925" s="41" t="s">
        <v>6431</v>
      </c>
      <c r="M1925" s="41">
        <v>220</v>
      </c>
      <c r="N1925" s="41" t="s">
        <v>59</v>
      </c>
      <c r="O1925" s="41" t="s">
        <v>36</v>
      </c>
      <c r="P1925" s="41" t="s">
        <v>179</v>
      </c>
      <c r="Q1925" s="41" t="s">
        <v>1116</v>
      </c>
      <c r="R1925" s="41" t="s">
        <v>39</v>
      </c>
      <c r="S1925" s="41" t="s">
        <v>6432</v>
      </c>
      <c r="T1925" s="41" t="s">
        <v>3157</v>
      </c>
      <c r="U1925" s="41" t="s">
        <v>40</v>
      </c>
    </row>
    <row r="1926" spans="1:21">
      <c r="A1926" s="41">
        <v>842</v>
      </c>
      <c r="B1926" s="41" t="s">
        <v>6433</v>
      </c>
      <c r="D1926" s="41">
        <v>2553</v>
      </c>
      <c r="E1926" s="41" t="s">
        <v>4746</v>
      </c>
      <c r="F1926" s="41" t="s">
        <v>53</v>
      </c>
      <c r="G1926" s="41" t="s">
        <v>141</v>
      </c>
      <c r="I1926" s="41" t="s">
        <v>6434</v>
      </c>
      <c r="J1926" s="41" t="s">
        <v>295</v>
      </c>
      <c r="K1926" s="42"/>
      <c r="L1926" s="41" t="s">
        <v>4722</v>
      </c>
      <c r="M1926" s="41">
        <v>220</v>
      </c>
      <c r="N1926" s="41" t="s">
        <v>395</v>
      </c>
      <c r="O1926" s="41" t="s">
        <v>747</v>
      </c>
      <c r="P1926" s="41" t="s">
        <v>179</v>
      </c>
      <c r="Q1926" s="41" t="s">
        <v>284</v>
      </c>
      <c r="R1926" s="41" t="s">
        <v>62</v>
      </c>
      <c r="S1926" s="41" t="s">
        <v>6435</v>
      </c>
      <c r="T1926" s="41" t="s">
        <v>2101</v>
      </c>
      <c r="U1926" s="41" t="s">
        <v>40</v>
      </c>
    </row>
    <row r="1927" spans="1:21">
      <c r="A1927" s="41">
        <v>841</v>
      </c>
      <c r="B1927" s="41" t="s">
        <v>6436</v>
      </c>
      <c r="E1927" s="41" t="s">
        <v>1191</v>
      </c>
      <c r="F1927" s="41" t="s">
        <v>53</v>
      </c>
      <c r="G1927" s="41" t="s">
        <v>64</v>
      </c>
      <c r="I1927" s="41" t="s">
        <v>392</v>
      </c>
      <c r="J1927" s="41" t="s">
        <v>380</v>
      </c>
      <c r="K1927" s="42"/>
      <c r="L1927" s="41" t="s">
        <v>6437</v>
      </c>
      <c r="M1927" s="41">
        <v>220</v>
      </c>
      <c r="N1927" s="41" t="s">
        <v>340</v>
      </c>
      <c r="O1927" s="41" t="s">
        <v>271</v>
      </c>
      <c r="P1927" s="41" t="s">
        <v>37</v>
      </c>
      <c r="Q1927" s="41" t="s">
        <v>1387</v>
      </c>
      <c r="R1927" s="41" t="s">
        <v>62</v>
      </c>
      <c r="S1927" s="41" t="s">
        <v>40</v>
      </c>
      <c r="T1927" s="41" t="s">
        <v>40</v>
      </c>
      <c r="U1927" s="41" t="s">
        <v>40</v>
      </c>
    </row>
    <row r="1928" spans="1:21">
      <c r="A1928" s="41">
        <v>840</v>
      </c>
      <c r="B1928" s="41" t="s">
        <v>6438</v>
      </c>
      <c r="E1928" s="41" t="s">
        <v>1136</v>
      </c>
      <c r="F1928" s="41" t="s">
        <v>53</v>
      </c>
      <c r="G1928" s="41" t="s">
        <v>64</v>
      </c>
      <c r="I1928" s="41" t="s">
        <v>162</v>
      </c>
      <c r="J1928" s="41" t="s">
        <v>295</v>
      </c>
      <c r="K1928" s="42"/>
      <c r="L1928" s="41" t="s">
        <v>6439</v>
      </c>
      <c r="M1928" s="41">
        <v>110</v>
      </c>
      <c r="N1928" s="41" t="s">
        <v>1869</v>
      </c>
      <c r="O1928" s="41" t="s">
        <v>747</v>
      </c>
      <c r="P1928" s="41" t="s">
        <v>172</v>
      </c>
      <c r="Q1928" s="41" t="s">
        <v>3329</v>
      </c>
      <c r="R1928" s="41" t="s">
        <v>132</v>
      </c>
      <c r="S1928" s="41" t="s">
        <v>40</v>
      </c>
      <c r="T1928" s="41" t="s">
        <v>40</v>
      </c>
      <c r="U1928" s="41" t="s">
        <v>40</v>
      </c>
    </row>
    <row r="1929" spans="1:21">
      <c r="A1929" s="41">
        <v>839</v>
      </c>
      <c r="B1929" s="41" t="s">
        <v>6440</v>
      </c>
      <c r="D1929" s="41">
        <v>2550</v>
      </c>
      <c r="E1929" s="41" t="s">
        <v>2639</v>
      </c>
      <c r="F1929" s="41" t="s">
        <v>53</v>
      </c>
      <c r="G1929" s="41" t="s">
        <v>64</v>
      </c>
      <c r="I1929" s="41" t="s">
        <v>194</v>
      </c>
      <c r="J1929" s="41" t="s">
        <v>295</v>
      </c>
      <c r="K1929" s="42"/>
      <c r="L1929" s="41" t="s">
        <v>6441</v>
      </c>
      <c r="M1929" s="41">
        <v>23</v>
      </c>
      <c r="N1929" s="41" t="s">
        <v>67</v>
      </c>
      <c r="O1929" s="41" t="s">
        <v>3296</v>
      </c>
      <c r="P1929" s="41" t="s">
        <v>68</v>
      </c>
      <c r="Q1929" s="41" t="s">
        <v>69</v>
      </c>
      <c r="R1929" s="41" t="s">
        <v>132</v>
      </c>
      <c r="S1929" s="41" t="s">
        <v>40</v>
      </c>
      <c r="T1929" s="41" t="s">
        <v>40</v>
      </c>
      <c r="U1929" s="41" t="s">
        <v>40</v>
      </c>
    </row>
    <row r="1930" spans="1:21">
      <c r="A1930" s="41">
        <v>838</v>
      </c>
      <c r="B1930" s="41" t="s">
        <v>6442</v>
      </c>
      <c r="D1930" s="41">
        <v>2542</v>
      </c>
      <c r="E1930" s="41" t="s">
        <v>6443</v>
      </c>
      <c r="F1930" s="41" t="s">
        <v>53</v>
      </c>
      <c r="G1930" s="41" t="s">
        <v>141</v>
      </c>
      <c r="I1930" s="41" t="s">
        <v>966</v>
      </c>
      <c r="J1930" s="41" t="s">
        <v>380</v>
      </c>
      <c r="K1930" s="42"/>
      <c r="L1930" s="41" t="s">
        <v>6444</v>
      </c>
      <c r="M1930" s="41">
        <v>220</v>
      </c>
      <c r="N1930" s="41" t="s">
        <v>6327</v>
      </c>
      <c r="O1930" s="41" t="s">
        <v>4176</v>
      </c>
      <c r="P1930" s="41" t="s">
        <v>37</v>
      </c>
      <c r="Q1930" s="41" t="s">
        <v>1125</v>
      </c>
      <c r="R1930" s="41" t="s">
        <v>62</v>
      </c>
      <c r="S1930" s="41" t="s">
        <v>6445</v>
      </c>
      <c r="T1930" s="41" t="s">
        <v>1796</v>
      </c>
      <c r="U1930" s="41" t="s">
        <v>40</v>
      </c>
    </row>
    <row r="1931" spans="1:21">
      <c r="A1931" s="41">
        <v>837</v>
      </c>
      <c r="B1931" s="41" t="s">
        <v>6446</v>
      </c>
      <c r="D1931" s="41">
        <v>2520</v>
      </c>
      <c r="E1931" s="41" t="s">
        <v>3500</v>
      </c>
      <c r="F1931" s="41" t="s">
        <v>28</v>
      </c>
      <c r="G1931" s="41" t="s">
        <v>43</v>
      </c>
      <c r="I1931" s="41" t="s">
        <v>1142</v>
      </c>
      <c r="J1931" s="41" t="s">
        <v>672</v>
      </c>
      <c r="K1931" s="42"/>
      <c r="L1931" s="41" t="s">
        <v>6447</v>
      </c>
      <c r="M1931" s="41">
        <v>66</v>
      </c>
      <c r="N1931" s="41" t="s">
        <v>6448</v>
      </c>
      <c r="O1931" s="41" t="s">
        <v>6449</v>
      </c>
      <c r="P1931" s="41" t="s">
        <v>50</v>
      </c>
      <c r="Q1931" s="41" t="s">
        <v>51</v>
      </c>
      <c r="R1931" s="41" t="s">
        <v>39</v>
      </c>
      <c r="S1931" s="41" t="s">
        <v>40</v>
      </c>
      <c r="T1931" s="41" t="s">
        <v>40</v>
      </c>
      <c r="U1931" s="41" t="s">
        <v>40</v>
      </c>
    </row>
    <row r="1932" spans="1:21">
      <c r="A1932" s="41">
        <v>836</v>
      </c>
      <c r="B1932" s="41" t="s">
        <v>6450</v>
      </c>
      <c r="D1932" s="41">
        <v>2547</v>
      </c>
      <c r="E1932" s="41" t="s">
        <v>1470</v>
      </c>
      <c r="F1932" s="41" t="s">
        <v>53</v>
      </c>
      <c r="G1932" s="41" t="s">
        <v>141</v>
      </c>
      <c r="I1932" s="41" t="s">
        <v>1679</v>
      </c>
      <c r="J1932" s="41" t="s">
        <v>295</v>
      </c>
      <c r="K1932" s="42"/>
      <c r="L1932" s="41" t="s">
        <v>6451</v>
      </c>
      <c r="M1932" s="41">
        <v>110</v>
      </c>
      <c r="N1932" s="41" t="s">
        <v>6452</v>
      </c>
      <c r="O1932" s="41" t="s">
        <v>747</v>
      </c>
      <c r="P1932" s="41" t="s">
        <v>68</v>
      </c>
      <c r="Q1932" s="41" t="s">
        <v>69</v>
      </c>
      <c r="R1932" s="41" t="s">
        <v>132</v>
      </c>
      <c r="S1932" s="41" t="s">
        <v>6453</v>
      </c>
      <c r="T1932" s="41" t="s">
        <v>1699</v>
      </c>
      <c r="U1932" s="41" t="s">
        <v>40</v>
      </c>
    </row>
    <row r="1933" spans="1:21">
      <c r="A1933" s="41">
        <v>835</v>
      </c>
      <c r="B1933" s="41" t="s">
        <v>6454</v>
      </c>
      <c r="D1933" s="41">
        <v>2540</v>
      </c>
      <c r="E1933" s="41" t="s">
        <v>1196</v>
      </c>
      <c r="F1933" s="41" t="s">
        <v>28</v>
      </c>
      <c r="G1933" s="41" t="s">
        <v>43</v>
      </c>
      <c r="I1933" s="41" t="s">
        <v>325</v>
      </c>
      <c r="J1933" s="41" t="s">
        <v>295</v>
      </c>
      <c r="K1933" s="42"/>
      <c r="L1933" s="41" t="s">
        <v>6455</v>
      </c>
      <c r="M1933" s="41">
        <v>220</v>
      </c>
      <c r="N1933" s="41" t="s">
        <v>1566</v>
      </c>
      <c r="O1933" s="41" t="s">
        <v>311</v>
      </c>
      <c r="P1933" s="41" t="s">
        <v>60</v>
      </c>
      <c r="Q1933" s="41" t="s">
        <v>1348</v>
      </c>
      <c r="R1933" s="41" t="s">
        <v>39</v>
      </c>
      <c r="S1933" s="41" t="s">
        <v>40</v>
      </c>
      <c r="T1933" s="41" t="s">
        <v>40</v>
      </c>
      <c r="U1933" s="41" t="s">
        <v>40</v>
      </c>
    </row>
    <row r="1934" spans="1:21">
      <c r="A1934" s="41">
        <v>834</v>
      </c>
      <c r="B1934" s="41" t="s">
        <v>6454</v>
      </c>
      <c r="D1934" s="41">
        <v>2539</v>
      </c>
      <c r="E1934" s="41" t="s">
        <v>1196</v>
      </c>
      <c r="F1934" s="41" t="s">
        <v>28</v>
      </c>
      <c r="G1934" s="41" t="s">
        <v>301</v>
      </c>
      <c r="I1934" s="41" t="s">
        <v>406</v>
      </c>
      <c r="J1934" s="41" t="s">
        <v>295</v>
      </c>
      <c r="K1934" s="42"/>
      <c r="L1934" s="41" t="s">
        <v>5839</v>
      </c>
      <c r="M1934" s="41">
        <v>220</v>
      </c>
      <c r="N1934" s="41" t="s">
        <v>6456</v>
      </c>
      <c r="O1934" s="41" t="s">
        <v>311</v>
      </c>
      <c r="P1934" s="41" t="s">
        <v>60</v>
      </c>
      <c r="Q1934" s="41" t="s">
        <v>1348</v>
      </c>
      <c r="R1934" s="41" t="s">
        <v>39</v>
      </c>
      <c r="S1934" s="41" t="s">
        <v>40</v>
      </c>
      <c r="T1934" s="41" t="s">
        <v>198</v>
      </c>
      <c r="U1934" s="41" t="s">
        <v>146</v>
      </c>
    </row>
    <row r="1935" spans="1:21">
      <c r="A1935" s="41">
        <v>833</v>
      </c>
      <c r="B1935" s="41" t="s">
        <v>6457</v>
      </c>
      <c r="E1935" s="41" t="s">
        <v>6216</v>
      </c>
      <c r="F1935" s="41" t="s">
        <v>53</v>
      </c>
      <c r="G1935" s="41" t="s">
        <v>64</v>
      </c>
      <c r="I1935" s="41" t="s">
        <v>325</v>
      </c>
      <c r="J1935" s="41" t="s">
        <v>295</v>
      </c>
      <c r="K1935" s="42"/>
      <c r="L1935" s="41" t="s">
        <v>6458</v>
      </c>
      <c r="M1935" s="41">
        <v>220</v>
      </c>
      <c r="N1935" s="41" t="s">
        <v>6459</v>
      </c>
      <c r="O1935" s="41" t="s">
        <v>620</v>
      </c>
      <c r="P1935" s="41" t="s">
        <v>68</v>
      </c>
      <c r="Q1935" s="41" t="s">
        <v>191</v>
      </c>
      <c r="R1935" s="41" t="s">
        <v>132</v>
      </c>
      <c r="S1935" s="41" t="s">
        <v>40</v>
      </c>
      <c r="T1935" s="41" t="s">
        <v>40</v>
      </c>
      <c r="U1935" s="41" t="s">
        <v>40</v>
      </c>
    </row>
    <row r="1936" spans="1:21">
      <c r="A1936" s="41">
        <v>832</v>
      </c>
      <c r="B1936" s="41" t="s">
        <v>6460</v>
      </c>
      <c r="D1936" s="41">
        <v>2516</v>
      </c>
      <c r="E1936" s="41" t="s">
        <v>2487</v>
      </c>
      <c r="F1936" s="41" t="s">
        <v>28</v>
      </c>
      <c r="G1936" s="41" t="s">
        <v>307</v>
      </c>
      <c r="I1936" s="41" t="s">
        <v>6461</v>
      </c>
      <c r="J1936" s="41" t="s">
        <v>295</v>
      </c>
      <c r="K1936" s="42"/>
      <c r="L1936" s="41" t="s">
        <v>6462</v>
      </c>
      <c r="M1936" s="41">
        <v>44</v>
      </c>
      <c r="N1936" s="41" t="s">
        <v>1366</v>
      </c>
      <c r="O1936" s="41" t="s">
        <v>1366</v>
      </c>
      <c r="P1936" s="41" t="s">
        <v>68</v>
      </c>
      <c r="Q1936" s="41" t="s">
        <v>1156</v>
      </c>
      <c r="R1936" s="41" t="s">
        <v>39</v>
      </c>
      <c r="S1936" s="41" t="s">
        <v>40</v>
      </c>
      <c r="T1936" s="41" t="s">
        <v>454</v>
      </c>
      <c r="U1936" s="41" t="s">
        <v>40</v>
      </c>
    </row>
    <row r="1937" spans="1:21">
      <c r="A1937" s="41">
        <v>831</v>
      </c>
      <c r="B1937" s="41" t="s">
        <v>6463</v>
      </c>
      <c r="E1937" s="41" t="s">
        <v>2487</v>
      </c>
      <c r="F1937" s="41" t="s">
        <v>28</v>
      </c>
      <c r="G1937" s="41" t="s">
        <v>43</v>
      </c>
      <c r="I1937" s="41" t="s">
        <v>194</v>
      </c>
      <c r="J1937" s="41" t="s">
        <v>295</v>
      </c>
      <c r="K1937" s="42"/>
      <c r="L1937" s="41" t="s">
        <v>6462</v>
      </c>
      <c r="M1937" s="41">
        <v>44</v>
      </c>
      <c r="N1937" s="41" t="s">
        <v>1366</v>
      </c>
      <c r="O1937" s="41" t="s">
        <v>6464</v>
      </c>
      <c r="P1937" s="41" t="s">
        <v>68</v>
      </c>
      <c r="Q1937" s="41" t="s">
        <v>1156</v>
      </c>
      <c r="R1937" s="41" t="s">
        <v>39</v>
      </c>
      <c r="S1937" s="41" t="s">
        <v>40</v>
      </c>
      <c r="T1937" s="41" t="s">
        <v>40</v>
      </c>
      <c r="U1937" s="41" t="s">
        <v>40</v>
      </c>
    </row>
    <row r="1938" spans="1:21">
      <c r="A1938" s="41">
        <v>830</v>
      </c>
      <c r="B1938" s="41" t="s">
        <v>6395</v>
      </c>
      <c r="E1938" s="41" t="s">
        <v>869</v>
      </c>
      <c r="F1938" s="41" t="s">
        <v>53</v>
      </c>
      <c r="G1938" s="41" t="s">
        <v>64</v>
      </c>
      <c r="I1938" s="41" t="s">
        <v>966</v>
      </c>
      <c r="J1938" s="41" t="s">
        <v>295</v>
      </c>
      <c r="K1938" s="42"/>
      <c r="L1938" s="41" t="s">
        <v>4768</v>
      </c>
      <c r="M1938" s="41">
        <v>220</v>
      </c>
      <c r="N1938" s="41" t="s">
        <v>2432</v>
      </c>
      <c r="O1938" s="41" t="s">
        <v>452</v>
      </c>
      <c r="P1938" s="41" t="s">
        <v>334</v>
      </c>
      <c r="Q1938" s="41" t="s">
        <v>1021</v>
      </c>
      <c r="R1938" s="41" t="s">
        <v>62</v>
      </c>
      <c r="S1938" s="41" t="s">
        <v>40</v>
      </c>
      <c r="T1938" s="41" t="s">
        <v>40</v>
      </c>
      <c r="U1938" s="41" t="s">
        <v>40</v>
      </c>
    </row>
    <row r="1939" spans="1:21">
      <c r="A1939" s="41">
        <v>829</v>
      </c>
      <c r="B1939" s="41" t="s">
        <v>6465</v>
      </c>
      <c r="D1939" s="41">
        <v>2171</v>
      </c>
      <c r="E1939" s="41" t="s">
        <v>6466</v>
      </c>
      <c r="F1939" s="41" t="s">
        <v>28</v>
      </c>
      <c r="G1939" s="41" t="s">
        <v>307</v>
      </c>
      <c r="I1939" s="41" t="s">
        <v>619</v>
      </c>
      <c r="J1939" s="41" t="s">
        <v>672</v>
      </c>
      <c r="K1939" s="42"/>
      <c r="L1939" s="41" t="s">
        <v>6467</v>
      </c>
      <c r="M1939" s="41">
        <v>13.2</v>
      </c>
      <c r="N1939" s="41" t="s">
        <v>40</v>
      </c>
      <c r="O1939" s="41" t="s">
        <v>6468</v>
      </c>
      <c r="P1939" s="41" t="s">
        <v>37</v>
      </c>
      <c r="Q1939" s="41" t="s">
        <v>38</v>
      </c>
      <c r="R1939" s="41" t="s">
        <v>39</v>
      </c>
      <c r="S1939" s="41" t="s">
        <v>40</v>
      </c>
      <c r="T1939" s="41" t="s">
        <v>6469</v>
      </c>
      <c r="U1939" s="41" t="s">
        <v>40</v>
      </c>
    </row>
    <row r="1940" spans="1:21">
      <c r="A1940" s="41">
        <v>828</v>
      </c>
      <c r="B1940" s="41" t="s">
        <v>6470</v>
      </c>
      <c r="E1940" s="41" t="s">
        <v>6340</v>
      </c>
      <c r="F1940" s="41" t="s">
        <v>53</v>
      </c>
      <c r="G1940" s="41" t="s">
        <v>43</v>
      </c>
      <c r="I1940" s="41" t="s">
        <v>6471</v>
      </c>
      <c r="J1940" s="41" t="s">
        <v>32</v>
      </c>
      <c r="K1940" s="42"/>
      <c r="L1940" s="41" t="s">
        <v>6472</v>
      </c>
      <c r="M1940" s="41">
        <v>220</v>
      </c>
      <c r="N1940" s="41" t="s">
        <v>6343</v>
      </c>
      <c r="O1940" s="41" t="s">
        <v>6344</v>
      </c>
      <c r="P1940" s="41" t="s">
        <v>153</v>
      </c>
      <c r="Q1940" s="41" t="s">
        <v>2004</v>
      </c>
      <c r="R1940" s="41" t="s">
        <v>62</v>
      </c>
      <c r="S1940" s="41" t="s">
        <v>40</v>
      </c>
      <c r="T1940" s="41" t="s">
        <v>40</v>
      </c>
      <c r="U1940" s="41" t="s">
        <v>40</v>
      </c>
    </row>
    <row r="1941" spans="1:21">
      <c r="A1941" s="41">
        <v>827</v>
      </c>
      <c r="B1941" s="41" t="s">
        <v>6473</v>
      </c>
      <c r="D1941" s="41">
        <v>2524</v>
      </c>
      <c r="E1941" s="41" t="s">
        <v>2405</v>
      </c>
      <c r="F1941" s="41" t="s">
        <v>53</v>
      </c>
      <c r="G1941" s="41" t="s">
        <v>64</v>
      </c>
      <c r="I1941" s="41" t="s">
        <v>966</v>
      </c>
      <c r="J1941" s="41" t="s">
        <v>295</v>
      </c>
      <c r="K1941" s="42"/>
      <c r="L1941" s="41" t="s">
        <v>6474</v>
      </c>
      <c r="M1941" s="41">
        <v>220</v>
      </c>
      <c r="N1941" s="41" t="s">
        <v>67</v>
      </c>
      <c r="O1941" s="41" t="s">
        <v>77</v>
      </c>
      <c r="P1941" s="41" t="s">
        <v>78</v>
      </c>
      <c r="Q1941" s="41" t="s">
        <v>1065</v>
      </c>
      <c r="R1941" s="41" t="s">
        <v>62</v>
      </c>
      <c r="S1941" s="41" t="s">
        <v>40</v>
      </c>
      <c r="T1941" s="41" t="s">
        <v>40</v>
      </c>
      <c r="U1941" s="41" t="s">
        <v>40</v>
      </c>
    </row>
    <row r="1942" spans="1:21">
      <c r="A1942" s="41">
        <v>826</v>
      </c>
      <c r="B1942" s="41" t="s">
        <v>6475</v>
      </c>
      <c r="D1942" s="41">
        <v>2492</v>
      </c>
      <c r="E1942" s="41" t="s">
        <v>6476</v>
      </c>
      <c r="F1942" s="41" t="s">
        <v>53</v>
      </c>
      <c r="G1942" s="41" t="s">
        <v>141</v>
      </c>
      <c r="I1942" s="41" t="s">
        <v>194</v>
      </c>
      <c r="J1942" s="41" t="s">
        <v>295</v>
      </c>
      <c r="K1942" s="42"/>
      <c r="L1942" s="41" t="s">
        <v>5184</v>
      </c>
      <c r="M1942" s="41">
        <v>12</v>
      </c>
      <c r="N1942" s="41" t="s">
        <v>67</v>
      </c>
      <c r="O1942" s="41" t="s">
        <v>4631</v>
      </c>
      <c r="P1942" s="41" t="s">
        <v>68</v>
      </c>
      <c r="Q1942" s="41" t="s">
        <v>1156</v>
      </c>
      <c r="R1942" s="41" t="s">
        <v>132</v>
      </c>
      <c r="S1942" s="41" t="s">
        <v>6477</v>
      </c>
      <c r="T1942" s="41" t="s">
        <v>1796</v>
      </c>
      <c r="U1942" s="41" t="s">
        <v>40</v>
      </c>
    </row>
    <row r="1943" spans="1:21">
      <c r="A1943" s="41">
        <v>825</v>
      </c>
      <c r="B1943" s="41" t="s">
        <v>6478</v>
      </c>
      <c r="E1943" s="41" t="s">
        <v>2639</v>
      </c>
      <c r="F1943" s="41" t="s">
        <v>53</v>
      </c>
      <c r="G1943" s="41" t="s">
        <v>43</v>
      </c>
      <c r="I1943" s="41" t="s">
        <v>194</v>
      </c>
      <c r="J1943" s="41" t="s">
        <v>295</v>
      </c>
      <c r="K1943" s="42"/>
      <c r="L1943" s="41" t="s">
        <v>6358</v>
      </c>
      <c r="M1943" s="41">
        <v>15</v>
      </c>
      <c r="N1943" s="41" t="s">
        <v>1335</v>
      </c>
      <c r="O1943" s="41" t="s">
        <v>663</v>
      </c>
      <c r="P1943" s="41" t="s">
        <v>172</v>
      </c>
      <c r="Q1943" s="41" t="s">
        <v>6359</v>
      </c>
      <c r="R1943" s="41" t="s">
        <v>132</v>
      </c>
      <c r="S1943" s="41" t="s">
        <v>40</v>
      </c>
      <c r="T1943" s="41" t="s">
        <v>40</v>
      </c>
      <c r="U1943" s="41" t="s">
        <v>40</v>
      </c>
    </row>
    <row r="1944" spans="1:21">
      <c r="A1944" s="41">
        <v>822</v>
      </c>
      <c r="B1944" s="41" t="s">
        <v>6479</v>
      </c>
      <c r="E1944" s="41" t="s">
        <v>6216</v>
      </c>
      <c r="F1944" s="41" t="s">
        <v>53</v>
      </c>
      <c r="G1944" s="41" t="s">
        <v>64</v>
      </c>
      <c r="I1944" s="41" t="s">
        <v>994</v>
      </c>
      <c r="J1944" s="41" t="s">
        <v>295</v>
      </c>
      <c r="K1944" s="42"/>
      <c r="L1944" s="41" t="s">
        <v>6480</v>
      </c>
      <c r="M1944" s="41">
        <v>110</v>
      </c>
      <c r="N1944" s="41" t="s">
        <v>6481</v>
      </c>
      <c r="O1944" s="41" t="s">
        <v>333</v>
      </c>
      <c r="P1944" s="41" t="s">
        <v>153</v>
      </c>
      <c r="Q1944" s="41" t="s">
        <v>153</v>
      </c>
      <c r="R1944" s="41" t="s">
        <v>132</v>
      </c>
      <c r="S1944" s="41" t="s">
        <v>40</v>
      </c>
      <c r="T1944" s="41" t="s">
        <v>40</v>
      </c>
      <c r="U1944" s="41" t="s">
        <v>40</v>
      </c>
    </row>
    <row r="1945" spans="1:21">
      <c r="A1945" s="41">
        <v>821</v>
      </c>
      <c r="B1945" s="41" t="s">
        <v>6482</v>
      </c>
      <c r="E1945" s="41" t="s">
        <v>2405</v>
      </c>
      <c r="F1945" s="41" t="s">
        <v>28</v>
      </c>
      <c r="G1945" s="41" t="s">
        <v>64</v>
      </c>
      <c r="I1945" s="41" t="s">
        <v>135</v>
      </c>
      <c r="J1945" s="41" t="s">
        <v>295</v>
      </c>
      <c r="K1945" s="42"/>
      <c r="L1945" s="41" t="s">
        <v>6483</v>
      </c>
      <c r="M1945" s="41">
        <v>220</v>
      </c>
      <c r="N1945" s="41" t="s">
        <v>67</v>
      </c>
      <c r="O1945" s="41" t="s">
        <v>1525</v>
      </c>
      <c r="P1945" s="41" t="s">
        <v>68</v>
      </c>
      <c r="Q1945" s="41" t="s">
        <v>677</v>
      </c>
      <c r="R1945" s="41" t="s">
        <v>39</v>
      </c>
      <c r="S1945" s="41" t="s">
        <v>40</v>
      </c>
      <c r="T1945" s="41" t="s">
        <v>40</v>
      </c>
      <c r="U1945" s="41" t="s">
        <v>40</v>
      </c>
    </row>
    <row r="1946" spans="1:21">
      <c r="A1946" s="41">
        <v>820</v>
      </c>
      <c r="B1946" s="41" t="s">
        <v>6123</v>
      </c>
      <c r="D1946" s="41">
        <v>2586</v>
      </c>
      <c r="E1946" s="41" t="s">
        <v>1227</v>
      </c>
      <c r="F1946" s="41" t="s">
        <v>53</v>
      </c>
      <c r="G1946" s="41" t="s">
        <v>64</v>
      </c>
      <c r="I1946" s="41" t="s">
        <v>6124</v>
      </c>
      <c r="J1946" s="41" t="s">
        <v>32</v>
      </c>
      <c r="K1946" s="42"/>
      <c r="L1946" s="41" t="s">
        <v>2950</v>
      </c>
      <c r="M1946" s="41">
        <v>500</v>
      </c>
      <c r="N1946" s="41" t="s">
        <v>719</v>
      </c>
      <c r="O1946" s="41" t="s">
        <v>6484</v>
      </c>
      <c r="P1946" s="41" t="s">
        <v>98</v>
      </c>
      <c r="Q1946" s="41" t="s">
        <v>99</v>
      </c>
      <c r="R1946" s="41" t="s">
        <v>62</v>
      </c>
      <c r="S1946" s="41" t="s">
        <v>40</v>
      </c>
      <c r="T1946" s="41" t="s">
        <v>40</v>
      </c>
      <c r="U1946" s="41" t="s">
        <v>40</v>
      </c>
    </row>
    <row r="1947" spans="1:21">
      <c r="A1947" s="41">
        <v>819</v>
      </c>
      <c r="B1947" s="41" t="s">
        <v>6485</v>
      </c>
      <c r="E1947" s="41" t="s">
        <v>1613</v>
      </c>
      <c r="F1947" s="41" t="s">
        <v>53</v>
      </c>
      <c r="G1947" s="41" t="s">
        <v>64</v>
      </c>
      <c r="I1947" s="41" t="s">
        <v>960</v>
      </c>
      <c r="J1947" s="41" t="s">
        <v>295</v>
      </c>
      <c r="K1947" s="42"/>
      <c r="L1947" s="41" t="s">
        <v>6486</v>
      </c>
      <c r="M1947" s="41">
        <v>66</v>
      </c>
      <c r="N1947" s="41" t="s">
        <v>6487</v>
      </c>
      <c r="O1947" s="41" t="s">
        <v>36</v>
      </c>
      <c r="P1947" s="41" t="s">
        <v>172</v>
      </c>
      <c r="Q1947" s="41" t="s">
        <v>197</v>
      </c>
      <c r="R1947" s="41" t="s">
        <v>132</v>
      </c>
      <c r="S1947" s="41" t="s">
        <v>40</v>
      </c>
      <c r="T1947" s="41" t="s">
        <v>40</v>
      </c>
      <c r="U1947" s="41" t="s">
        <v>40</v>
      </c>
    </row>
    <row r="1948" spans="1:21">
      <c r="A1948" s="41">
        <v>817</v>
      </c>
      <c r="B1948" s="41" t="s">
        <v>6488</v>
      </c>
      <c r="E1948" s="41" t="s">
        <v>1136</v>
      </c>
      <c r="F1948" s="41" t="s">
        <v>53</v>
      </c>
      <c r="G1948" s="41" t="s">
        <v>64</v>
      </c>
      <c r="I1948" s="41" t="s">
        <v>162</v>
      </c>
      <c r="J1948" s="41" t="s">
        <v>295</v>
      </c>
      <c r="K1948" s="42"/>
      <c r="L1948" s="41" t="s">
        <v>394</v>
      </c>
      <c r="M1948" s="41">
        <v>220</v>
      </c>
      <c r="N1948" s="41" t="s">
        <v>6489</v>
      </c>
      <c r="O1948" s="41" t="s">
        <v>36</v>
      </c>
      <c r="P1948" s="41" t="s">
        <v>153</v>
      </c>
      <c r="Q1948" s="41" t="s">
        <v>329</v>
      </c>
      <c r="R1948" s="41" t="s">
        <v>62</v>
      </c>
      <c r="S1948" s="41" t="s">
        <v>40</v>
      </c>
      <c r="T1948" s="41" t="s">
        <v>40</v>
      </c>
      <c r="U1948" s="41" t="s">
        <v>40</v>
      </c>
    </row>
    <row r="1949" spans="1:21">
      <c r="A1949" s="41">
        <v>816</v>
      </c>
      <c r="B1949" s="41" t="s">
        <v>6490</v>
      </c>
      <c r="D1949" s="41">
        <v>2216</v>
      </c>
      <c r="E1949" s="41" t="s">
        <v>6313</v>
      </c>
      <c r="F1949" s="41" t="s">
        <v>53</v>
      </c>
      <c r="G1949" s="41" t="s">
        <v>141</v>
      </c>
      <c r="I1949" s="41" t="s">
        <v>2923</v>
      </c>
      <c r="J1949" s="41" t="s">
        <v>32</v>
      </c>
      <c r="K1949" s="42"/>
      <c r="L1949" s="41" t="s">
        <v>6491</v>
      </c>
      <c r="M1949" s="41">
        <v>500</v>
      </c>
      <c r="N1949" s="41" t="s">
        <v>2395</v>
      </c>
      <c r="O1949" s="41" t="s">
        <v>6492</v>
      </c>
      <c r="P1949" s="41" t="s">
        <v>98</v>
      </c>
      <c r="Q1949" s="41" t="s">
        <v>99</v>
      </c>
      <c r="R1949" s="41" t="s">
        <v>62</v>
      </c>
      <c r="S1949" s="41" t="s">
        <v>6493</v>
      </c>
      <c r="T1949" s="41" t="s">
        <v>604</v>
      </c>
      <c r="U1949" s="41" t="s">
        <v>40</v>
      </c>
    </row>
    <row r="1950" spans="1:21">
      <c r="A1950" s="41">
        <v>815</v>
      </c>
      <c r="B1950" s="41" t="s">
        <v>397</v>
      </c>
      <c r="D1950" s="41">
        <v>2514</v>
      </c>
      <c r="E1950" s="41" t="s">
        <v>27</v>
      </c>
      <c r="F1950" s="41" t="s">
        <v>53</v>
      </c>
      <c r="G1950" s="41" t="s">
        <v>64</v>
      </c>
      <c r="I1950" s="41" t="s">
        <v>399</v>
      </c>
      <c r="J1950" s="41" t="s">
        <v>295</v>
      </c>
      <c r="K1950" s="42"/>
      <c r="L1950" s="41" t="s">
        <v>401</v>
      </c>
      <c r="M1950" s="41">
        <v>44</v>
      </c>
      <c r="N1950" s="41" t="s">
        <v>59</v>
      </c>
      <c r="O1950" s="41" t="s">
        <v>402</v>
      </c>
      <c r="P1950" s="41" t="s">
        <v>68</v>
      </c>
      <c r="Q1950" s="41" t="s">
        <v>403</v>
      </c>
      <c r="R1950" s="41" t="s">
        <v>132</v>
      </c>
      <c r="S1950" s="41" t="s">
        <v>40</v>
      </c>
      <c r="T1950" s="41" t="s">
        <v>40</v>
      </c>
      <c r="U1950" s="41" t="s">
        <v>40</v>
      </c>
    </row>
    <row r="1951" spans="1:21">
      <c r="A1951" s="41">
        <v>814</v>
      </c>
      <c r="B1951" s="41" t="s">
        <v>6494</v>
      </c>
      <c r="D1951" s="41">
        <v>2515</v>
      </c>
      <c r="E1951" s="41" t="s">
        <v>6495</v>
      </c>
      <c r="F1951" s="41" t="s">
        <v>28</v>
      </c>
      <c r="G1951" s="41" t="s">
        <v>307</v>
      </c>
      <c r="I1951" s="41" t="s">
        <v>194</v>
      </c>
      <c r="J1951" s="41" t="s">
        <v>295</v>
      </c>
      <c r="K1951" s="42"/>
      <c r="L1951" s="41" t="s">
        <v>6496</v>
      </c>
      <c r="M1951" s="41">
        <v>12</v>
      </c>
      <c r="N1951" s="41" t="s">
        <v>6497</v>
      </c>
      <c r="O1951" s="41" t="s">
        <v>77</v>
      </c>
      <c r="P1951" s="41" t="s">
        <v>78</v>
      </c>
      <c r="Q1951" s="41" t="s">
        <v>2407</v>
      </c>
      <c r="R1951" s="41" t="s">
        <v>39</v>
      </c>
      <c r="S1951" s="41" t="s">
        <v>40</v>
      </c>
      <c r="T1951" s="41" t="s">
        <v>40</v>
      </c>
      <c r="U1951" s="41" t="s">
        <v>40</v>
      </c>
    </row>
    <row r="1952" spans="1:21">
      <c r="A1952" s="41">
        <v>813</v>
      </c>
      <c r="B1952" s="41" t="s">
        <v>6498</v>
      </c>
      <c r="E1952" s="41" t="s">
        <v>6313</v>
      </c>
      <c r="F1952" s="41" t="s">
        <v>53</v>
      </c>
      <c r="G1952" s="41" t="s">
        <v>64</v>
      </c>
      <c r="I1952" s="41" t="s">
        <v>2572</v>
      </c>
      <c r="J1952" s="41" t="s">
        <v>380</v>
      </c>
      <c r="K1952" s="42"/>
      <c r="L1952" s="41" t="s">
        <v>6346</v>
      </c>
      <c r="M1952" s="41">
        <v>220</v>
      </c>
      <c r="N1952" s="41" t="s">
        <v>77</v>
      </c>
      <c r="O1952" s="41" t="s">
        <v>77</v>
      </c>
      <c r="P1952" s="41" t="s">
        <v>98</v>
      </c>
      <c r="Q1952" s="41" t="s">
        <v>99</v>
      </c>
      <c r="R1952" s="41" t="s">
        <v>62</v>
      </c>
      <c r="S1952" s="41" t="s">
        <v>40</v>
      </c>
      <c r="T1952" s="41" t="s">
        <v>40</v>
      </c>
      <c r="U1952" s="41" t="s">
        <v>40</v>
      </c>
    </row>
    <row r="1953" spans="1:21">
      <c r="A1953" s="41">
        <v>812</v>
      </c>
      <c r="B1953" s="41" t="s">
        <v>6499</v>
      </c>
      <c r="E1953" s="41" t="s">
        <v>6500</v>
      </c>
      <c r="F1953" s="41" t="s">
        <v>53</v>
      </c>
      <c r="G1953" s="41" t="s">
        <v>64</v>
      </c>
      <c r="I1953" s="41" t="s">
        <v>325</v>
      </c>
      <c r="J1953" s="41" t="s">
        <v>295</v>
      </c>
      <c r="K1953" s="42"/>
      <c r="L1953" s="41" t="s">
        <v>6501</v>
      </c>
      <c r="M1953" s="41">
        <v>220</v>
      </c>
      <c r="N1953" s="41" t="s">
        <v>59</v>
      </c>
      <c r="O1953" s="41" t="s">
        <v>620</v>
      </c>
      <c r="P1953" s="41" t="s">
        <v>50</v>
      </c>
      <c r="Q1953" s="41" t="s">
        <v>51</v>
      </c>
      <c r="R1953" s="41" t="s">
        <v>132</v>
      </c>
      <c r="S1953" s="41" t="s">
        <v>40</v>
      </c>
      <c r="T1953" s="41" t="s">
        <v>40</v>
      </c>
      <c r="U1953" s="41" t="s">
        <v>40</v>
      </c>
    </row>
    <row r="1954" spans="1:21">
      <c r="A1954" s="41">
        <v>809</v>
      </c>
      <c r="B1954" s="41" t="s">
        <v>6502</v>
      </c>
      <c r="D1954" s="41">
        <v>2445</v>
      </c>
      <c r="E1954" s="41" t="s">
        <v>3653</v>
      </c>
      <c r="F1954" s="41" t="s">
        <v>53</v>
      </c>
      <c r="G1954" s="41" t="s">
        <v>307</v>
      </c>
      <c r="I1954" s="41" t="s">
        <v>426</v>
      </c>
      <c r="J1954" s="41" t="s">
        <v>672</v>
      </c>
      <c r="K1954" s="42"/>
      <c r="L1954" s="41" t="s">
        <v>3093</v>
      </c>
      <c r="M1954" s="41">
        <v>110</v>
      </c>
      <c r="N1954" s="41" t="s">
        <v>979</v>
      </c>
      <c r="O1954" s="41" t="s">
        <v>2709</v>
      </c>
      <c r="P1954" s="41" t="s">
        <v>78</v>
      </c>
      <c r="Q1954" s="41" t="s">
        <v>3094</v>
      </c>
      <c r="R1954" s="41" t="s">
        <v>132</v>
      </c>
      <c r="S1954" s="41" t="s">
        <v>6503</v>
      </c>
      <c r="T1954" s="41" t="s">
        <v>5916</v>
      </c>
      <c r="U1954" s="41" t="s">
        <v>40</v>
      </c>
    </row>
    <row r="1955" spans="1:21">
      <c r="A1955" s="41">
        <v>808</v>
      </c>
      <c r="B1955" s="41" t="s">
        <v>5372</v>
      </c>
      <c r="E1955" s="41" t="s">
        <v>869</v>
      </c>
      <c r="F1955" s="41" t="s">
        <v>53</v>
      </c>
      <c r="G1955" s="41" t="s">
        <v>64</v>
      </c>
      <c r="I1955" s="41" t="s">
        <v>392</v>
      </c>
      <c r="J1955" s="41" t="s">
        <v>295</v>
      </c>
      <c r="K1955" s="42"/>
      <c r="L1955" s="41" t="s">
        <v>6504</v>
      </c>
      <c r="M1955" s="41">
        <v>220</v>
      </c>
      <c r="N1955" s="41" t="s">
        <v>2432</v>
      </c>
      <c r="O1955" s="41" t="s">
        <v>3045</v>
      </c>
      <c r="P1955" s="41" t="s">
        <v>68</v>
      </c>
      <c r="Q1955" s="41" t="s">
        <v>1254</v>
      </c>
      <c r="R1955" s="41" t="s">
        <v>62</v>
      </c>
      <c r="S1955" s="41" t="s">
        <v>40</v>
      </c>
      <c r="T1955" s="41" t="s">
        <v>40</v>
      </c>
      <c r="U1955" s="41" t="s">
        <v>40</v>
      </c>
    </row>
    <row r="1956" spans="1:21">
      <c r="A1956" s="41">
        <v>807</v>
      </c>
      <c r="B1956" s="41" t="s">
        <v>6505</v>
      </c>
      <c r="E1956" s="41" t="s">
        <v>2639</v>
      </c>
      <c r="F1956" s="41" t="s">
        <v>53</v>
      </c>
      <c r="G1956" s="41" t="s">
        <v>43</v>
      </c>
      <c r="I1956" s="41" t="s">
        <v>194</v>
      </c>
      <c r="J1956" s="41" t="s">
        <v>295</v>
      </c>
      <c r="K1956" s="42"/>
      <c r="L1956" s="41" t="s">
        <v>3859</v>
      </c>
      <c r="M1956" s="41">
        <v>13</v>
      </c>
      <c r="N1956" s="41" t="s">
        <v>1420</v>
      </c>
      <c r="O1956" s="41" t="s">
        <v>1925</v>
      </c>
      <c r="P1956" s="41" t="s">
        <v>60</v>
      </c>
      <c r="Q1956" s="41" t="s">
        <v>1468</v>
      </c>
      <c r="R1956" s="41" t="s">
        <v>132</v>
      </c>
      <c r="S1956" s="41" t="s">
        <v>40</v>
      </c>
      <c r="T1956" s="41" t="s">
        <v>40</v>
      </c>
      <c r="U1956" s="41" t="s">
        <v>40</v>
      </c>
    </row>
    <row r="1957" spans="1:21">
      <c r="A1957" s="41">
        <v>806</v>
      </c>
      <c r="B1957" s="41" t="s">
        <v>6506</v>
      </c>
      <c r="E1957" s="41" t="s">
        <v>3714</v>
      </c>
      <c r="F1957" s="41" t="s">
        <v>53</v>
      </c>
      <c r="G1957" s="41" t="s">
        <v>64</v>
      </c>
      <c r="I1957" s="41" t="s">
        <v>6100</v>
      </c>
      <c r="J1957" s="41" t="s">
        <v>380</v>
      </c>
      <c r="K1957" s="42"/>
      <c r="L1957" s="41" t="s">
        <v>6507</v>
      </c>
      <c r="M1957" s="41">
        <v>220</v>
      </c>
      <c r="N1957" s="41" t="s">
        <v>6327</v>
      </c>
      <c r="O1957" s="41" t="s">
        <v>3173</v>
      </c>
      <c r="P1957" s="41" t="s">
        <v>78</v>
      </c>
      <c r="Q1957" s="41" t="s">
        <v>483</v>
      </c>
      <c r="R1957" s="41" t="s">
        <v>62</v>
      </c>
      <c r="S1957" s="41" t="s">
        <v>40</v>
      </c>
      <c r="T1957" s="41" t="s">
        <v>40</v>
      </c>
      <c r="U1957" s="41" t="s">
        <v>40</v>
      </c>
    </row>
    <row r="1958" spans="1:21">
      <c r="A1958" s="41">
        <v>805</v>
      </c>
      <c r="B1958" s="41" t="s">
        <v>5372</v>
      </c>
      <c r="E1958" s="41" t="s">
        <v>869</v>
      </c>
      <c r="F1958" s="41" t="s">
        <v>53</v>
      </c>
      <c r="G1958" s="41" t="s">
        <v>43</v>
      </c>
      <c r="I1958" s="41" t="s">
        <v>392</v>
      </c>
      <c r="J1958" s="41" t="s">
        <v>295</v>
      </c>
      <c r="K1958" s="42"/>
      <c r="L1958" s="41" t="s">
        <v>1153</v>
      </c>
      <c r="M1958" s="41">
        <v>220</v>
      </c>
      <c r="N1958" s="41" t="s">
        <v>2432</v>
      </c>
      <c r="O1958" s="41" t="s">
        <v>3045</v>
      </c>
      <c r="P1958" s="41" t="s">
        <v>68</v>
      </c>
      <c r="Q1958" s="41" t="s">
        <v>1254</v>
      </c>
      <c r="R1958" s="41" t="s">
        <v>62</v>
      </c>
      <c r="S1958" s="41" t="s">
        <v>40</v>
      </c>
      <c r="T1958" s="41" t="s">
        <v>40</v>
      </c>
      <c r="U1958" s="41" t="s">
        <v>40</v>
      </c>
    </row>
    <row r="1959" spans="1:21">
      <c r="A1959" s="41">
        <v>804</v>
      </c>
      <c r="B1959" s="41" t="s">
        <v>6508</v>
      </c>
      <c r="D1959" s="41">
        <v>2493</v>
      </c>
      <c r="E1959" s="41" t="s">
        <v>6509</v>
      </c>
      <c r="F1959" s="41" t="s">
        <v>28</v>
      </c>
      <c r="G1959" s="41" t="s">
        <v>307</v>
      </c>
      <c r="I1959" s="41" t="s">
        <v>5117</v>
      </c>
      <c r="J1959" s="41" t="s">
        <v>1906</v>
      </c>
      <c r="K1959" s="42"/>
      <c r="L1959" s="41" t="s">
        <v>6510</v>
      </c>
      <c r="M1959" s="41">
        <v>23</v>
      </c>
      <c r="N1959" s="41" t="s">
        <v>1619</v>
      </c>
      <c r="O1959" s="41" t="s">
        <v>6511</v>
      </c>
      <c r="P1959" s="41" t="s">
        <v>172</v>
      </c>
      <c r="Q1959" s="41" t="s">
        <v>1104</v>
      </c>
      <c r="R1959" s="41" t="s">
        <v>39</v>
      </c>
      <c r="S1959" s="41" t="s">
        <v>40</v>
      </c>
      <c r="T1959" s="41" t="s">
        <v>6512</v>
      </c>
      <c r="U1959" s="41" t="s">
        <v>40</v>
      </c>
    </row>
    <row r="1960" spans="1:21">
      <c r="A1960" s="41">
        <v>803</v>
      </c>
      <c r="B1960" s="41" t="s">
        <v>6126</v>
      </c>
      <c r="D1960" s="41">
        <v>2510</v>
      </c>
      <c r="E1960" s="41" t="s">
        <v>1227</v>
      </c>
      <c r="F1960" s="41" t="s">
        <v>53</v>
      </c>
      <c r="G1960" s="41" t="s">
        <v>64</v>
      </c>
      <c r="I1960" s="41" t="s">
        <v>6127</v>
      </c>
      <c r="J1960" s="41" t="s">
        <v>380</v>
      </c>
      <c r="K1960" s="42"/>
      <c r="L1960" s="41" t="s">
        <v>3077</v>
      </c>
      <c r="M1960" s="41">
        <v>220</v>
      </c>
      <c r="N1960" s="41" t="s">
        <v>719</v>
      </c>
      <c r="O1960" s="41" t="s">
        <v>6280</v>
      </c>
      <c r="P1960" s="41" t="s">
        <v>98</v>
      </c>
      <c r="Q1960" s="41" t="s">
        <v>99</v>
      </c>
      <c r="R1960" s="41" t="s">
        <v>62</v>
      </c>
      <c r="S1960" s="41" t="s">
        <v>40</v>
      </c>
      <c r="T1960" s="41" t="s">
        <v>40</v>
      </c>
      <c r="U1960" s="41" t="s">
        <v>40</v>
      </c>
    </row>
    <row r="1961" spans="1:21">
      <c r="A1961" s="41">
        <v>802</v>
      </c>
      <c r="B1961" s="41" t="s">
        <v>6513</v>
      </c>
      <c r="D1961" s="41">
        <v>2491</v>
      </c>
      <c r="E1961" s="41" t="s">
        <v>6514</v>
      </c>
      <c r="F1961" s="41" t="s">
        <v>53</v>
      </c>
      <c r="G1961" s="41" t="s">
        <v>307</v>
      </c>
      <c r="I1961" s="41" t="s">
        <v>3473</v>
      </c>
      <c r="J1961" s="41" t="s">
        <v>672</v>
      </c>
      <c r="K1961" s="42"/>
      <c r="L1961" s="41" t="s">
        <v>6515</v>
      </c>
      <c r="M1961" s="41">
        <v>220</v>
      </c>
      <c r="N1961" s="41" t="s">
        <v>6516</v>
      </c>
      <c r="O1961" s="41" t="s">
        <v>6517</v>
      </c>
      <c r="P1961" s="41" t="s">
        <v>68</v>
      </c>
      <c r="Q1961" s="41" t="s">
        <v>1794</v>
      </c>
      <c r="R1961" s="41" t="s">
        <v>62</v>
      </c>
      <c r="S1961" s="41" t="s">
        <v>6518</v>
      </c>
      <c r="T1961" s="41" t="s">
        <v>40</v>
      </c>
      <c r="U1961" s="41" t="s">
        <v>40</v>
      </c>
    </row>
    <row r="1962" spans="1:21">
      <c r="A1962" s="41">
        <v>798</v>
      </c>
      <c r="B1962" s="41" t="s">
        <v>6519</v>
      </c>
      <c r="D1962" s="41">
        <v>2283</v>
      </c>
      <c r="E1962" s="41" t="s">
        <v>6429</v>
      </c>
      <c r="F1962" s="41" t="s">
        <v>28</v>
      </c>
      <c r="G1962" s="41" t="s">
        <v>307</v>
      </c>
      <c r="I1962" s="41" t="s">
        <v>1068</v>
      </c>
      <c r="J1962" s="41" t="s">
        <v>672</v>
      </c>
      <c r="K1962" s="42"/>
      <c r="L1962" s="41" t="s">
        <v>5927</v>
      </c>
      <c r="M1962" s="41">
        <v>23</v>
      </c>
      <c r="N1962" s="41" t="s">
        <v>1908</v>
      </c>
      <c r="O1962" s="41" t="s">
        <v>6520</v>
      </c>
      <c r="P1962" s="41" t="s">
        <v>179</v>
      </c>
      <c r="Q1962" s="41" t="s">
        <v>284</v>
      </c>
      <c r="R1962" s="41" t="s">
        <v>39</v>
      </c>
      <c r="S1962" s="41" t="s">
        <v>40</v>
      </c>
      <c r="T1962" s="41" t="s">
        <v>40</v>
      </c>
      <c r="U1962" s="41" t="s">
        <v>40</v>
      </c>
    </row>
    <row r="1963" spans="1:21">
      <c r="A1963" s="41">
        <v>797</v>
      </c>
      <c r="B1963" s="41" t="s">
        <v>6521</v>
      </c>
      <c r="E1963" s="41" t="s">
        <v>5340</v>
      </c>
      <c r="F1963" s="41" t="s">
        <v>28</v>
      </c>
      <c r="G1963" s="41" t="s">
        <v>64</v>
      </c>
      <c r="I1963" s="41" t="s">
        <v>194</v>
      </c>
      <c r="J1963" s="41" t="s">
        <v>295</v>
      </c>
      <c r="K1963" s="42"/>
      <c r="L1963" s="41" t="s">
        <v>6522</v>
      </c>
      <c r="M1963" s="41">
        <v>23</v>
      </c>
      <c r="N1963" s="41" t="s">
        <v>5945</v>
      </c>
      <c r="O1963" s="41" t="s">
        <v>36</v>
      </c>
      <c r="P1963" s="41" t="s">
        <v>179</v>
      </c>
      <c r="Q1963" s="41" t="s">
        <v>180</v>
      </c>
      <c r="R1963" s="41" t="s">
        <v>39</v>
      </c>
      <c r="S1963" s="41" t="s">
        <v>40</v>
      </c>
      <c r="T1963" s="41" t="s">
        <v>40</v>
      </c>
      <c r="U1963" s="41" t="s">
        <v>40</v>
      </c>
    </row>
    <row r="1964" spans="1:21">
      <c r="A1964" s="41">
        <v>796</v>
      </c>
      <c r="B1964" s="41" t="s">
        <v>6523</v>
      </c>
      <c r="E1964" s="41" t="s">
        <v>5340</v>
      </c>
      <c r="F1964" s="41" t="s">
        <v>28</v>
      </c>
      <c r="G1964" s="41" t="s">
        <v>64</v>
      </c>
      <c r="I1964" s="41" t="s">
        <v>6461</v>
      </c>
      <c r="J1964" s="41" t="s">
        <v>295</v>
      </c>
      <c r="K1964" s="42"/>
      <c r="L1964" s="41" t="s">
        <v>6524</v>
      </c>
      <c r="M1964" s="41">
        <v>13</v>
      </c>
      <c r="N1964" s="41" t="s">
        <v>1052</v>
      </c>
      <c r="O1964" s="41" t="s">
        <v>36</v>
      </c>
      <c r="P1964" s="41" t="s">
        <v>98</v>
      </c>
      <c r="Q1964" s="41" t="s">
        <v>98</v>
      </c>
      <c r="R1964" s="41" t="s">
        <v>39</v>
      </c>
      <c r="S1964" s="41" t="s">
        <v>40</v>
      </c>
      <c r="T1964" s="41" t="s">
        <v>40</v>
      </c>
      <c r="U1964" s="41" t="s">
        <v>40</v>
      </c>
    </row>
    <row r="1965" spans="1:21">
      <c r="A1965" s="41">
        <v>795</v>
      </c>
      <c r="B1965" s="41" t="s">
        <v>6525</v>
      </c>
      <c r="D1965" s="41">
        <v>2465</v>
      </c>
      <c r="E1965" s="41" t="s">
        <v>6526</v>
      </c>
      <c r="F1965" s="41" t="s">
        <v>53</v>
      </c>
      <c r="G1965" s="41" t="s">
        <v>43</v>
      </c>
      <c r="I1965" s="41" t="s">
        <v>966</v>
      </c>
      <c r="J1965" s="41" t="s">
        <v>295</v>
      </c>
      <c r="K1965" s="42"/>
      <c r="L1965" s="41" t="s">
        <v>1304</v>
      </c>
      <c r="M1965" s="41">
        <v>220</v>
      </c>
      <c r="N1965" s="41" t="s">
        <v>395</v>
      </c>
      <c r="O1965" s="41" t="s">
        <v>396</v>
      </c>
      <c r="P1965" s="41" t="s">
        <v>98</v>
      </c>
      <c r="Q1965" s="41" t="s">
        <v>116</v>
      </c>
      <c r="R1965" s="41" t="s">
        <v>62</v>
      </c>
      <c r="S1965" s="41" t="s">
        <v>40</v>
      </c>
      <c r="T1965" s="41" t="s">
        <v>40</v>
      </c>
      <c r="U1965" s="41" t="s">
        <v>40</v>
      </c>
    </row>
    <row r="1966" spans="1:21">
      <c r="A1966" s="41">
        <v>794</v>
      </c>
      <c r="B1966" s="41" t="s">
        <v>6527</v>
      </c>
      <c r="D1966" s="41">
        <v>2435</v>
      </c>
      <c r="E1966" s="41" t="s">
        <v>1286</v>
      </c>
      <c r="F1966" s="41" t="s">
        <v>53</v>
      </c>
      <c r="G1966" s="41" t="s">
        <v>54</v>
      </c>
      <c r="I1966" s="41" t="s">
        <v>6528</v>
      </c>
      <c r="J1966" s="41" t="s">
        <v>295</v>
      </c>
      <c r="K1966" s="42"/>
      <c r="L1966" s="41" t="s">
        <v>115</v>
      </c>
      <c r="M1966" s="41">
        <v>220</v>
      </c>
      <c r="N1966" s="41" t="s">
        <v>6529</v>
      </c>
      <c r="O1966" s="41" t="s">
        <v>6530</v>
      </c>
      <c r="P1966" s="41" t="s">
        <v>98</v>
      </c>
      <c r="Q1966" s="41" t="s">
        <v>116</v>
      </c>
      <c r="R1966" s="41" t="s">
        <v>62</v>
      </c>
      <c r="S1966" s="41" t="s">
        <v>40</v>
      </c>
      <c r="T1966" s="41" t="s">
        <v>40</v>
      </c>
      <c r="U1966" s="41" t="s">
        <v>40</v>
      </c>
    </row>
    <row r="1967" spans="1:21">
      <c r="A1967" s="41">
        <v>792</v>
      </c>
      <c r="B1967" s="41" t="s">
        <v>5793</v>
      </c>
      <c r="D1967" s="41">
        <v>2457</v>
      </c>
      <c r="E1967" s="41" t="s">
        <v>2426</v>
      </c>
      <c r="F1967" s="41" t="s">
        <v>28</v>
      </c>
      <c r="G1967" s="41" t="s">
        <v>64</v>
      </c>
      <c r="I1967" s="41" t="s">
        <v>406</v>
      </c>
      <c r="J1967" s="41" t="s">
        <v>295</v>
      </c>
      <c r="K1967" s="42"/>
      <c r="L1967" s="41" t="s">
        <v>6531</v>
      </c>
      <c r="M1967" s="41">
        <v>23</v>
      </c>
      <c r="N1967" s="41" t="s">
        <v>2742</v>
      </c>
      <c r="O1967" s="41" t="s">
        <v>36</v>
      </c>
      <c r="P1967" s="41" t="s">
        <v>68</v>
      </c>
      <c r="Q1967" s="41" t="s">
        <v>699</v>
      </c>
      <c r="R1967" s="41" t="s">
        <v>39</v>
      </c>
      <c r="S1967" s="41" t="s">
        <v>40</v>
      </c>
      <c r="T1967" s="41" t="s">
        <v>40</v>
      </c>
      <c r="U1967" s="41" t="s">
        <v>40</v>
      </c>
    </row>
    <row r="1968" spans="1:21">
      <c r="A1968" s="41">
        <v>791</v>
      </c>
      <c r="B1968" s="41" t="s">
        <v>6499</v>
      </c>
      <c r="D1968" s="41">
        <v>2176</v>
      </c>
      <c r="E1968" s="41" t="s">
        <v>6500</v>
      </c>
      <c r="F1968" s="41" t="s">
        <v>53</v>
      </c>
      <c r="G1968" s="41" t="s">
        <v>64</v>
      </c>
      <c r="I1968" s="41" t="s">
        <v>325</v>
      </c>
      <c r="J1968" s="41" t="s">
        <v>295</v>
      </c>
      <c r="K1968" s="42"/>
      <c r="L1968" s="41" t="s">
        <v>2682</v>
      </c>
      <c r="M1968" s="41">
        <v>110</v>
      </c>
      <c r="N1968" s="41" t="s">
        <v>1026</v>
      </c>
      <c r="O1968" s="41" t="s">
        <v>741</v>
      </c>
      <c r="P1968" s="41" t="s">
        <v>50</v>
      </c>
      <c r="Q1968" s="41" t="s">
        <v>51</v>
      </c>
      <c r="R1968" s="41" t="s">
        <v>132</v>
      </c>
      <c r="S1968" s="41" t="s">
        <v>40</v>
      </c>
      <c r="T1968" s="41" t="s">
        <v>40</v>
      </c>
      <c r="U1968" s="41" t="s">
        <v>40</v>
      </c>
    </row>
    <row r="1969" spans="1:21">
      <c r="A1969" s="41">
        <v>790</v>
      </c>
      <c r="B1969" s="41" t="s">
        <v>6532</v>
      </c>
      <c r="E1969" s="41" t="s">
        <v>1076</v>
      </c>
      <c r="F1969" s="41" t="s">
        <v>53</v>
      </c>
      <c r="G1969" s="41" t="s">
        <v>64</v>
      </c>
      <c r="I1969" s="41" t="s">
        <v>194</v>
      </c>
      <c r="J1969" s="41" t="s">
        <v>295</v>
      </c>
      <c r="K1969" s="42"/>
      <c r="L1969" s="41" t="s">
        <v>6533</v>
      </c>
      <c r="M1969" s="41">
        <v>15</v>
      </c>
      <c r="N1969" s="41" t="s">
        <v>6534</v>
      </c>
      <c r="O1969" s="41" t="s">
        <v>402</v>
      </c>
      <c r="P1969" s="41" t="s">
        <v>172</v>
      </c>
      <c r="Q1969" s="41" t="s">
        <v>2270</v>
      </c>
      <c r="R1969" s="41" t="s">
        <v>132</v>
      </c>
      <c r="S1969" s="41" t="s">
        <v>40</v>
      </c>
      <c r="T1969" s="41" t="s">
        <v>40</v>
      </c>
      <c r="U1969" s="41" t="s">
        <v>40</v>
      </c>
    </row>
    <row r="1970" spans="1:21">
      <c r="A1970" s="41">
        <v>789</v>
      </c>
      <c r="B1970" s="41" t="s">
        <v>6535</v>
      </c>
      <c r="E1970" s="41" t="s">
        <v>6536</v>
      </c>
      <c r="F1970" s="41" t="s">
        <v>53</v>
      </c>
      <c r="G1970" s="41" t="s">
        <v>64</v>
      </c>
      <c r="I1970" s="41" t="s">
        <v>135</v>
      </c>
      <c r="J1970" s="41" t="s">
        <v>295</v>
      </c>
      <c r="K1970" s="42"/>
      <c r="L1970" s="41" t="s">
        <v>6537</v>
      </c>
      <c r="M1970" s="41">
        <v>110</v>
      </c>
      <c r="N1970" s="41" t="s">
        <v>1052</v>
      </c>
      <c r="O1970" s="41" t="s">
        <v>6538</v>
      </c>
      <c r="P1970" s="41" t="s">
        <v>68</v>
      </c>
      <c r="Q1970" s="41" t="s">
        <v>3518</v>
      </c>
      <c r="R1970" s="41" t="s">
        <v>132</v>
      </c>
      <c r="S1970" s="41" t="s">
        <v>40</v>
      </c>
      <c r="T1970" s="41" t="s">
        <v>40</v>
      </c>
      <c r="U1970" s="41" t="s">
        <v>40</v>
      </c>
    </row>
    <row r="1971" spans="1:21">
      <c r="A1971" s="41">
        <v>788</v>
      </c>
      <c r="B1971" s="41" t="s">
        <v>6539</v>
      </c>
      <c r="D1971" s="41">
        <v>2469</v>
      </c>
      <c r="E1971" s="41" t="s">
        <v>1958</v>
      </c>
      <c r="F1971" s="41" t="s">
        <v>28</v>
      </c>
      <c r="G1971" s="41" t="s">
        <v>64</v>
      </c>
      <c r="I1971" s="41" t="s">
        <v>1142</v>
      </c>
      <c r="J1971" s="41" t="s">
        <v>1906</v>
      </c>
      <c r="K1971" s="42"/>
      <c r="L1971" s="41" t="s">
        <v>6540</v>
      </c>
      <c r="M1971" s="41">
        <v>23</v>
      </c>
      <c r="N1971" s="41" t="s">
        <v>4266</v>
      </c>
      <c r="O1971" s="41" t="s">
        <v>6541</v>
      </c>
      <c r="P1971" s="41" t="s">
        <v>37</v>
      </c>
      <c r="Q1971" s="41" t="s">
        <v>1960</v>
      </c>
      <c r="R1971" s="41" t="s">
        <v>39</v>
      </c>
      <c r="S1971" s="41" t="s">
        <v>40</v>
      </c>
      <c r="T1971" s="41" t="s">
        <v>454</v>
      </c>
      <c r="U1971" s="41" t="s">
        <v>205</v>
      </c>
    </row>
    <row r="1972" spans="1:21">
      <c r="A1972" s="41">
        <v>787</v>
      </c>
      <c r="B1972" s="41" t="s">
        <v>3530</v>
      </c>
      <c r="D1972" s="41">
        <v>2468</v>
      </c>
      <c r="E1972" s="41" t="s">
        <v>1227</v>
      </c>
      <c r="F1972" s="41" t="s">
        <v>28</v>
      </c>
      <c r="G1972" s="41" t="s">
        <v>43</v>
      </c>
      <c r="I1972" s="41" t="s">
        <v>6542</v>
      </c>
      <c r="J1972" s="41" t="s">
        <v>295</v>
      </c>
      <c r="K1972" s="42"/>
      <c r="L1972" s="41" t="s">
        <v>6543</v>
      </c>
      <c r="M1972" s="41">
        <v>220</v>
      </c>
      <c r="N1972" s="41" t="s">
        <v>1333</v>
      </c>
      <c r="O1972" s="41" t="s">
        <v>452</v>
      </c>
      <c r="P1972" s="41" t="s">
        <v>98</v>
      </c>
      <c r="Q1972" s="41" t="s">
        <v>116</v>
      </c>
      <c r="R1972" s="41" t="s">
        <v>39</v>
      </c>
      <c r="S1972" s="41" t="s">
        <v>40</v>
      </c>
      <c r="T1972" s="41" t="s">
        <v>40</v>
      </c>
      <c r="U1972" s="41" t="s">
        <v>40</v>
      </c>
    </row>
    <row r="1973" spans="1:21">
      <c r="A1973" s="41">
        <v>786</v>
      </c>
      <c r="B1973" s="41" t="s">
        <v>6544</v>
      </c>
      <c r="E1973" s="41" t="s">
        <v>1136</v>
      </c>
      <c r="F1973" s="41" t="s">
        <v>53</v>
      </c>
      <c r="G1973" s="41" t="s">
        <v>64</v>
      </c>
      <c r="I1973" s="41" t="s">
        <v>56</v>
      </c>
      <c r="J1973" s="41" t="s">
        <v>32</v>
      </c>
      <c r="K1973" s="42"/>
      <c r="L1973" s="41" t="s">
        <v>6545</v>
      </c>
      <c r="M1973" s="41">
        <v>110</v>
      </c>
      <c r="N1973" s="41" t="s">
        <v>59</v>
      </c>
      <c r="O1973" s="41" t="s">
        <v>328</v>
      </c>
      <c r="P1973" s="41" t="s">
        <v>78</v>
      </c>
      <c r="Q1973" s="41" t="s">
        <v>2407</v>
      </c>
      <c r="R1973" s="41" t="s">
        <v>132</v>
      </c>
      <c r="S1973" s="41" t="s">
        <v>40</v>
      </c>
      <c r="T1973" s="41" t="s">
        <v>40</v>
      </c>
      <c r="U1973" s="41" t="s">
        <v>40</v>
      </c>
    </row>
    <row r="1974" spans="1:21">
      <c r="A1974" s="41">
        <v>784</v>
      </c>
      <c r="B1974" s="41" t="s">
        <v>6546</v>
      </c>
      <c r="E1974" s="41" t="s">
        <v>2639</v>
      </c>
      <c r="F1974" s="41" t="s">
        <v>53</v>
      </c>
      <c r="G1974" s="41" t="s">
        <v>64</v>
      </c>
      <c r="I1974" s="41" t="s">
        <v>392</v>
      </c>
      <c r="J1974" s="41" t="s">
        <v>295</v>
      </c>
      <c r="K1974" s="42"/>
      <c r="L1974" s="41" t="s">
        <v>115</v>
      </c>
      <c r="M1974" s="41">
        <v>220</v>
      </c>
      <c r="N1974" s="41" t="s">
        <v>151</v>
      </c>
      <c r="O1974" s="41" t="s">
        <v>1305</v>
      </c>
      <c r="P1974" s="41" t="s">
        <v>98</v>
      </c>
      <c r="Q1974" s="41" t="s">
        <v>116</v>
      </c>
      <c r="R1974" s="41" t="s">
        <v>62</v>
      </c>
      <c r="S1974" s="41" t="s">
        <v>40</v>
      </c>
      <c r="T1974" s="41" t="s">
        <v>40</v>
      </c>
      <c r="U1974" s="41" t="s">
        <v>40</v>
      </c>
    </row>
    <row r="1975" spans="1:21">
      <c r="A1975" s="41">
        <v>781</v>
      </c>
      <c r="B1975" s="41" t="s">
        <v>6547</v>
      </c>
      <c r="D1975" s="41">
        <v>2224</v>
      </c>
      <c r="E1975" s="41" t="s">
        <v>1286</v>
      </c>
      <c r="F1975" s="41" t="s">
        <v>28</v>
      </c>
      <c r="G1975" s="41" t="s">
        <v>307</v>
      </c>
      <c r="I1975" s="41" t="s">
        <v>56</v>
      </c>
      <c r="J1975" s="41" t="s">
        <v>295</v>
      </c>
      <c r="K1975" s="42"/>
      <c r="L1975" s="41" t="s">
        <v>6548</v>
      </c>
      <c r="M1975" s="41">
        <v>110</v>
      </c>
      <c r="N1975" s="41" t="s">
        <v>6549</v>
      </c>
      <c r="O1975" s="41" t="s">
        <v>77</v>
      </c>
      <c r="P1975" s="41" t="s">
        <v>68</v>
      </c>
      <c r="Q1975" s="41" t="s">
        <v>69</v>
      </c>
      <c r="R1975" s="41" t="s">
        <v>39</v>
      </c>
      <c r="S1975" s="41" t="s">
        <v>40</v>
      </c>
      <c r="T1975" s="41" t="s">
        <v>40</v>
      </c>
      <c r="U1975" s="41" t="s">
        <v>40</v>
      </c>
    </row>
    <row r="1976" spans="1:21">
      <c r="A1976" s="41">
        <v>780</v>
      </c>
      <c r="B1976" s="41" t="s">
        <v>6550</v>
      </c>
      <c r="E1976" s="41" t="s">
        <v>1475</v>
      </c>
      <c r="F1976" s="41" t="s">
        <v>53</v>
      </c>
      <c r="G1976" s="41" t="s">
        <v>64</v>
      </c>
      <c r="I1976" s="41" t="s">
        <v>338</v>
      </c>
      <c r="J1976" s="41" t="s">
        <v>295</v>
      </c>
      <c r="K1976" s="42"/>
      <c r="L1976" s="41" t="s">
        <v>115</v>
      </c>
      <c r="M1976" s="41">
        <v>220</v>
      </c>
      <c r="N1976" s="41" t="s">
        <v>6551</v>
      </c>
      <c r="O1976" s="41" t="s">
        <v>6552</v>
      </c>
      <c r="P1976" s="41" t="s">
        <v>98</v>
      </c>
      <c r="Q1976" s="41" t="s">
        <v>116</v>
      </c>
      <c r="R1976" s="41" t="s">
        <v>62</v>
      </c>
      <c r="S1976" s="41" t="s">
        <v>40</v>
      </c>
      <c r="T1976" s="41" t="s">
        <v>40</v>
      </c>
      <c r="U1976" s="41" t="s">
        <v>40</v>
      </c>
    </row>
    <row r="1977" spans="1:21">
      <c r="A1977" s="41">
        <v>779</v>
      </c>
      <c r="B1977" s="41" t="s">
        <v>6553</v>
      </c>
      <c r="D1977" s="41">
        <v>2446</v>
      </c>
      <c r="E1977" s="41" t="s">
        <v>6378</v>
      </c>
      <c r="F1977" s="41" t="s">
        <v>53</v>
      </c>
      <c r="G1977" s="41" t="s">
        <v>141</v>
      </c>
      <c r="I1977" s="41" t="s">
        <v>2923</v>
      </c>
      <c r="J1977" s="41" t="s">
        <v>295</v>
      </c>
      <c r="K1977" s="42"/>
      <c r="L1977" s="41" t="s">
        <v>6554</v>
      </c>
      <c r="M1977" s="41">
        <v>220</v>
      </c>
      <c r="N1977" s="41" t="s">
        <v>6555</v>
      </c>
      <c r="O1977" s="41" t="s">
        <v>36</v>
      </c>
      <c r="P1977" s="41" t="s">
        <v>98</v>
      </c>
      <c r="Q1977" s="41" t="s">
        <v>98</v>
      </c>
      <c r="R1977" s="41" t="s">
        <v>62</v>
      </c>
      <c r="S1977" s="41" t="s">
        <v>2158</v>
      </c>
      <c r="T1977" s="41" t="s">
        <v>210</v>
      </c>
      <c r="U1977" s="41" t="s">
        <v>40</v>
      </c>
    </row>
    <row r="1978" spans="1:21">
      <c r="A1978" s="41">
        <v>778</v>
      </c>
      <c r="B1978" s="41" t="s">
        <v>6556</v>
      </c>
      <c r="D1978" s="41">
        <v>2447</v>
      </c>
      <c r="E1978" s="41" t="s">
        <v>1076</v>
      </c>
      <c r="F1978" s="41" t="s">
        <v>53</v>
      </c>
      <c r="G1978" s="41" t="s">
        <v>43</v>
      </c>
      <c r="I1978" s="41" t="s">
        <v>194</v>
      </c>
      <c r="J1978" s="41" t="s">
        <v>295</v>
      </c>
      <c r="K1978" s="42"/>
      <c r="L1978" s="41" t="s">
        <v>3832</v>
      </c>
      <c r="M1978" s="41">
        <v>23</v>
      </c>
      <c r="N1978" s="41" t="s">
        <v>6557</v>
      </c>
      <c r="O1978" s="41" t="s">
        <v>5444</v>
      </c>
      <c r="P1978" s="41" t="s">
        <v>37</v>
      </c>
      <c r="Q1978" s="41" t="s">
        <v>969</v>
      </c>
      <c r="R1978" s="41" t="s">
        <v>132</v>
      </c>
      <c r="S1978" s="41" t="s">
        <v>40</v>
      </c>
      <c r="T1978" s="41" t="s">
        <v>40</v>
      </c>
      <c r="U1978" s="41" t="s">
        <v>40</v>
      </c>
    </row>
    <row r="1979" spans="1:21">
      <c r="A1979" s="41">
        <v>777</v>
      </c>
      <c r="B1979" s="41" t="s">
        <v>6558</v>
      </c>
      <c r="E1979" s="41" t="s">
        <v>5340</v>
      </c>
      <c r="F1979" s="41" t="s">
        <v>53</v>
      </c>
      <c r="G1979" s="41" t="s">
        <v>43</v>
      </c>
      <c r="I1979" s="41" t="s">
        <v>6100</v>
      </c>
      <c r="J1979" s="41" t="s">
        <v>295</v>
      </c>
      <c r="K1979" s="42"/>
      <c r="L1979" s="41" t="s">
        <v>6559</v>
      </c>
      <c r="M1979" s="41">
        <v>220</v>
      </c>
      <c r="N1979" s="41" t="s">
        <v>6560</v>
      </c>
      <c r="O1979" s="41" t="s">
        <v>1045</v>
      </c>
      <c r="P1979" s="41" t="s">
        <v>50</v>
      </c>
      <c r="Q1979" s="41" t="s">
        <v>1499</v>
      </c>
      <c r="R1979" s="41" t="s">
        <v>62</v>
      </c>
      <c r="S1979" s="41" t="s">
        <v>40</v>
      </c>
      <c r="T1979" s="41" t="s">
        <v>40</v>
      </c>
      <c r="U1979" s="41" t="s">
        <v>40</v>
      </c>
    </row>
    <row r="1980" spans="1:21">
      <c r="A1980" s="41">
        <v>776</v>
      </c>
      <c r="B1980" s="41" t="s">
        <v>6558</v>
      </c>
      <c r="E1980" s="41" t="s">
        <v>5340</v>
      </c>
      <c r="F1980" s="41" t="s">
        <v>53</v>
      </c>
      <c r="G1980" s="41" t="s">
        <v>64</v>
      </c>
      <c r="I1980" s="41" t="s">
        <v>6100</v>
      </c>
      <c r="J1980" s="41" t="s">
        <v>295</v>
      </c>
      <c r="K1980" s="42"/>
      <c r="L1980" s="41" t="s">
        <v>6559</v>
      </c>
      <c r="M1980" s="41">
        <v>220</v>
      </c>
      <c r="N1980" s="41" t="s">
        <v>6560</v>
      </c>
      <c r="O1980" s="41" t="s">
        <v>1045</v>
      </c>
      <c r="P1980" s="41" t="s">
        <v>50</v>
      </c>
      <c r="Q1980" s="41" t="s">
        <v>1499</v>
      </c>
      <c r="R1980" s="41" t="s">
        <v>62</v>
      </c>
      <c r="S1980" s="41" t="s">
        <v>40</v>
      </c>
      <c r="T1980" s="41" t="s">
        <v>40</v>
      </c>
      <c r="U1980" s="41" t="s">
        <v>40</v>
      </c>
    </row>
    <row r="1981" spans="1:21">
      <c r="A1981" s="41">
        <v>775</v>
      </c>
      <c r="B1981" s="41" t="s">
        <v>6561</v>
      </c>
      <c r="E1981" s="41" t="s">
        <v>6216</v>
      </c>
      <c r="F1981" s="41" t="s">
        <v>53</v>
      </c>
      <c r="G1981" s="41" t="s">
        <v>64</v>
      </c>
      <c r="I1981" s="41" t="s">
        <v>966</v>
      </c>
      <c r="J1981" s="41" t="s">
        <v>295</v>
      </c>
      <c r="K1981" s="42"/>
      <c r="L1981" s="41" t="s">
        <v>5834</v>
      </c>
      <c r="M1981" s="41">
        <v>110</v>
      </c>
      <c r="N1981" s="41" t="s">
        <v>6562</v>
      </c>
      <c r="O1981" s="41" t="s">
        <v>1473</v>
      </c>
      <c r="P1981" s="41" t="s">
        <v>68</v>
      </c>
      <c r="Q1981" s="41" t="s">
        <v>244</v>
      </c>
      <c r="R1981" s="41" t="s">
        <v>132</v>
      </c>
      <c r="S1981" s="41" t="s">
        <v>40</v>
      </c>
      <c r="T1981" s="41" t="s">
        <v>40</v>
      </c>
      <c r="U1981" s="41" t="s">
        <v>40</v>
      </c>
    </row>
    <row r="1982" spans="1:21">
      <c r="A1982" s="41">
        <v>774</v>
      </c>
      <c r="B1982" s="41" t="s">
        <v>6563</v>
      </c>
      <c r="E1982" s="41" t="s">
        <v>1638</v>
      </c>
      <c r="F1982" s="41" t="s">
        <v>53</v>
      </c>
      <c r="G1982" s="41" t="s">
        <v>43</v>
      </c>
      <c r="I1982" s="41" t="s">
        <v>56</v>
      </c>
      <c r="J1982" s="41" t="s">
        <v>295</v>
      </c>
      <c r="K1982" s="42"/>
      <c r="L1982" s="41" t="s">
        <v>6564</v>
      </c>
      <c r="M1982" s="41">
        <v>220</v>
      </c>
      <c r="N1982" s="41" t="s">
        <v>1623</v>
      </c>
      <c r="O1982" s="41" t="s">
        <v>2566</v>
      </c>
      <c r="P1982" s="41" t="s">
        <v>172</v>
      </c>
      <c r="Q1982" s="41" t="s">
        <v>197</v>
      </c>
      <c r="R1982" s="41" t="s">
        <v>132</v>
      </c>
      <c r="S1982" s="41" t="s">
        <v>40</v>
      </c>
      <c r="T1982" s="41" t="s">
        <v>40</v>
      </c>
      <c r="U1982" s="41" t="s">
        <v>40</v>
      </c>
    </row>
    <row r="1983" spans="1:21">
      <c r="A1983" s="41">
        <v>773</v>
      </c>
      <c r="B1983" s="41" t="s">
        <v>6565</v>
      </c>
      <c r="E1983" s="41" t="s">
        <v>1106</v>
      </c>
      <c r="F1983" s="41" t="s">
        <v>53</v>
      </c>
      <c r="G1983" s="41" t="s">
        <v>64</v>
      </c>
      <c r="I1983" s="41" t="s">
        <v>325</v>
      </c>
      <c r="J1983" s="41" t="s">
        <v>295</v>
      </c>
      <c r="K1983" s="42"/>
      <c r="L1983" s="41" t="s">
        <v>6566</v>
      </c>
      <c r="M1983" s="41">
        <v>154</v>
      </c>
      <c r="N1983" s="41" t="s">
        <v>6567</v>
      </c>
      <c r="O1983" s="41" t="s">
        <v>6568</v>
      </c>
      <c r="P1983" s="41" t="s">
        <v>60</v>
      </c>
      <c r="Q1983" s="41" t="s">
        <v>990</v>
      </c>
      <c r="R1983" s="41" t="s">
        <v>132</v>
      </c>
      <c r="S1983" s="41" t="s">
        <v>40</v>
      </c>
      <c r="T1983" s="41" t="s">
        <v>40</v>
      </c>
      <c r="U1983" s="41" t="s">
        <v>40</v>
      </c>
    </row>
    <row r="1984" spans="1:21">
      <c r="A1984" s="41">
        <v>772</v>
      </c>
      <c r="B1984" s="41" t="s">
        <v>6569</v>
      </c>
      <c r="D1984" s="41">
        <v>2449</v>
      </c>
      <c r="E1984" s="41" t="s">
        <v>5729</v>
      </c>
      <c r="F1984" s="41" t="s">
        <v>28</v>
      </c>
      <c r="G1984" s="41" t="s">
        <v>301</v>
      </c>
      <c r="I1984" s="41" t="s">
        <v>6570</v>
      </c>
      <c r="J1984" s="41" t="s">
        <v>672</v>
      </c>
      <c r="K1984" s="42"/>
      <c r="L1984" s="41" t="s">
        <v>6571</v>
      </c>
      <c r="M1984" s="41">
        <v>220</v>
      </c>
      <c r="N1984" s="41" t="s">
        <v>1988</v>
      </c>
      <c r="O1984" s="41" t="s">
        <v>5732</v>
      </c>
      <c r="P1984" s="41" t="s">
        <v>98</v>
      </c>
      <c r="Q1984" s="41" t="s">
        <v>98</v>
      </c>
      <c r="R1984" s="41" t="s">
        <v>39</v>
      </c>
      <c r="S1984" s="41" t="s">
        <v>40</v>
      </c>
      <c r="T1984" s="41" t="s">
        <v>4822</v>
      </c>
      <c r="U1984" s="41" t="s">
        <v>40</v>
      </c>
    </row>
    <row r="1985" spans="1:21">
      <c r="A1985" s="41">
        <v>771</v>
      </c>
      <c r="B1985" s="41" t="s">
        <v>6572</v>
      </c>
      <c r="E1985" s="41" t="s">
        <v>6429</v>
      </c>
      <c r="F1985" s="41" t="s">
        <v>53</v>
      </c>
      <c r="G1985" s="41" t="s">
        <v>64</v>
      </c>
      <c r="I1985" s="41" t="s">
        <v>3554</v>
      </c>
      <c r="J1985" s="41" t="s">
        <v>380</v>
      </c>
      <c r="K1985" s="42"/>
      <c r="L1985" s="41" t="s">
        <v>1990</v>
      </c>
      <c r="M1985" s="41">
        <v>220</v>
      </c>
      <c r="N1985" s="41" t="s">
        <v>6327</v>
      </c>
      <c r="O1985" s="41" t="s">
        <v>3173</v>
      </c>
      <c r="P1985" s="41" t="s">
        <v>179</v>
      </c>
      <c r="Q1985" s="41" t="s">
        <v>1116</v>
      </c>
      <c r="R1985" s="41" t="s">
        <v>62</v>
      </c>
      <c r="S1985" s="41" t="s">
        <v>40</v>
      </c>
      <c r="T1985" s="41" t="s">
        <v>40</v>
      </c>
      <c r="U1985" s="41" t="s">
        <v>40</v>
      </c>
    </row>
    <row r="1986" spans="1:21">
      <c r="A1986" s="41">
        <v>770</v>
      </c>
      <c r="B1986" s="41" t="s">
        <v>6573</v>
      </c>
      <c r="D1986" s="41">
        <v>2442</v>
      </c>
      <c r="E1986" s="41" t="s">
        <v>1136</v>
      </c>
      <c r="F1986" s="41" t="s">
        <v>53</v>
      </c>
      <c r="G1986" s="41" t="s">
        <v>141</v>
      </c>
      <c r="I1986" s="41" t="s">
        <v>1374</v>
      </c>
      <c r="J1986" s="41" t="s">
        <v>295</v>
      </c>
      <c r="K1986" s="42"/>
      <c r="L1986" s="41" t="s">
        <v>6554</v>
      </c>
      <c r="M1986" s="41">
        <v>220</v>
      </c>
      <c r="N1986" s="41" t="s">
        <v>59</v>
      </c>
      <c r="O1986" s="41" t="s">
        <v>36</v>
      </c>
      <c r="P1986" s="41" t="s">
        <v>98</v>
      </c>
      <c r="Q1986" s="41" t="s">
        <v>98</v>
      </c>
      <c r="R1986" s="41" t="s">
        <v>132</v>
      </c>
      <c r="S1986" s="41" t="s">
        <v>6574</v>
      </c>
      <c r="T1986" s="41" t="s">
        <v>1773</v>
      </c>
      <c r="U1986" s="41" t="s">
        <v>40</v>
      </c>
    </row>
    <row r="1987" spans="1:21">
      <c r="A1987" s="41">
        <v>769</v>
      </c>
      <c r="B1987" s="41" t="s">
        <v>6575</v>
      </c>
      <c r="E1987" s="41" t="s">
        <v>6576</v>
      </c>
      <c r="F1987" s="41" t="s">
        <v>53</v>
      </c>
      <c r="G1987" s="41" t="s">
        <v>43</v>
      </c>
      <c r="I1987" s="41" t="s">
        <v>201</v>
      </c>
      <c r="J1987" s="41" t="s">
        <v>295</v>
      </c>
      <c r="K1987" s="42"/>
      <c r="L1987" s="41" t="s">
        <v>6577</v>
      </c>
      <c r="M1987" s="41">
        <v>220</v>
      </c>
      <c r="N1987" s="41" t="s">
        <v>395</v>
      </c>
      <c r="O1987" s="41" t="s">
        <v>6578</v>
      </c>
      <c r="P1987" s="41" t="s">
        <v>172</v>
      </c>
      <c r="Q1987" s="41" t="s">
        <v>4030</v>
      </c>
      <c r="R1987" s="41" t="s">
        <v>62</v>
      </c>
      <c r="S1987" s="41" t="s">
        <v>40</v>
      </c>
      <c r="T1987" s="41" t="s">
        <v>40</v>
      </c>
      <c r="U1987" s="41" t="s">
        <v>40</v>
      </c>
    </row>
    <row r="1988" spans="1:21">
      <c r="A1988" s="41">
        <v>768</v>
      </c>
      <c r="B1988" s="41" t="s">
        <v>6575</v>
      </c>
      <c r="D1988" s="41">
        <v>2441</v>
      </c>
      <c r="E1988" s="41" t="s">
        <v>6576</v>
      </c>
      <c r="F1988" s="41" t="s">
        <v>53</v>
      </c>
      <c r="G1988" s="41" t="s">
        <v>141</v>
      </c>
      <c r="I1988" s="41" t="s">
        <v>201</v>
      </c>
      <c r="J1988" s="41" t="s">
        <v>295</v>
      </c>
      <c r="K1988" s="42"/>
      <c r="L1988" s="41" t="s">
        <v>6577</v>
      </c>
      <c r="M1988" s="41">
        <v>220</v>
      </c>
      <c r="N1988" s="41" t="s">
        <v>395</v>
      </c>
      <c r="O1988" s="41" t="s">
        <v>6578</v>
      </c>
      <c r="P1988" s="41" t="s">
        <v>172</v>
      </c>
      <c r="Q1988" s="41" t="s">
        <v>4030</v>
      </c>
      <c r="R1988" s="41" t="s">
        <v>62</v>
      </c>
      <c r="S1988" s="41" t="s">
        <v>6579</v>
      </c>
      <c r="T1988" s="41" t="s">
        <v>753</v>
      </c>
      <c r="U1988" s="41" t="s">
        <v>1289</v>
      </c>
    </row>
    <row r="1989" spans="1:21">
      <c r="A1989" s="41">
        <v>767</v>
      </c>
      <c r="B1989" s="41" t="s">
        <v>6575</v>
      </c>
      <c r="E1989" s="41" t="s">
        <v>6580</v>
      </c>
      <c r="F1989" s="41" t="s">
        <v>53</v>
      </c>
      <c r="G1989" s="41" t="s">
        <v>43</v>
      </c>
      <c r="I1989" s="41" t="s">
        <v>201</v>
      </c>
      <c r="J1989" s="41" t="s">
        <v>295</v>
      </c>
      <c r="K1989" s="42"/>
      <c r="L1989" s="41" t="s">
        <v>4740</v>
      </c>
      <c r="M1989" s="41">
        <v>220</v>
      </c>
      <c r="N1989" s="41" t="s">
        <v>395</v>
      </c>
      <c r="O1989" s="41" t="s">
        <v>2854</v>
      </c>
      <c r="P1989" s="41" t="s">
        <v>172</v>
      </c>
      <c r="Q1989" s="41" t="s">
        <v>4030</v>
      </c>
      <c r="R1989" s="41" t="s">
        <v>62</v>
      </c>
      <c r="S1989" s="41" t="s">
        <v>40</v>
      </c>
      <c r="T1989" s="41" t="s">
        <v>40</v>
      </c>
      <c r="U1989" s="41" t="s">
        <v>40</v>
      </c>
    </row>
    <row r="1990" spans="1:21">
      <c r="A1990" s="41">
        <v>766</v>
      </c>
      <c r="B1990" s="41" t="s">
        <v>6581</v>
      </c>
      <c r="E1990" s="41" t="s">
        <v>6332</v>
      </c>
      <c r="F1990" s="41" t="s">
        <v>53</v>
      </c>
      <c r="G1990" s="41" t="s">
        <v>64</v>
      </c>
      <c r="I1990" s="41" t="s">
        <v>426</v>
      </c>
      <c r="J1990" s="41" t="s">
        <v>295</v>
      </c>
      <c r="K1990" s="42"/>
      <c r="L1990" s="41" t="s">
        <v>6582</v>
      </c>
      <c r="M1990" s="41">
        <v>66</v>
      </c>
      <c r="N1990" s="41" t="s">
        <v>395</v>
      </c>
      <c r="O1990" s="41" t="s">
        <v>388</v>
      </c>
      <c r="P1990" s="41" t="s">
        <v>172</v>
      </c>
      <c r="Q1990" s="41" t="s">
        <v>4030</v>
      </c>
      <c r="R1990" s="41" t="s">
        <v>132</v>
      </c>
      <c r="S1990" s="41" t="s">
        <v>40</v>
      </c>
      <c r="T1990" s="41" t="s">
        <v>40</v>
      </c>
      <c r="U1990" s="41" t="s">
        <v>40</v>
      </c>
    </row>
    <row r="1991" spans="1:21">
      <c r="A1991" s="41">
        <v>765</v>
      </c>
      <c r="B1991" s="41" t="s">
        <v>6583</v>
      </c>
      <c r="D1991" s="41">
        <v>2438</v>
      </c>
      <c r="E1991" s="41" t="s">
        <v>6584</v>
      </c>
      <c r="F1991" s="41" t="s">
        <v>53</v>
      </c>
      <c r="G1991" s="41" t="s">
        <v>307</v>
      </c>
      <c r="I1991" s="41" t="s">
        <v>194</v>
      </c>
      <c r="J1991" s="41" t="s">
        <v>295</v>
      </c>
      <c r="K1991" s="42"/>
      <c r="L1991" s="41" t="s">
        <v>6585</v>
      </c>
      <c r="M1991" s="41">
        <v>23</v>
      </c>
      <c r="N1991" s="41" t="s">
        <v>67</v>
      </c>
      <c r="O1991" s="41" t="s">
        <v>3296</v>
      </c>
      <c r="P1991" s="41" t="s">
        <v>68</v>
      </c>
      <c r="Q1991" s="41" t="s">
        <v>3518</v>
      </c>
      <c r="R1991" s="41" t="s">
        <v>132</v>
      </c>
      <c r="S1991" s="41" t="s">
        <v>6586</v>
      </c>
      <c r="T1991" s="41" t="s">
        <v>6587</v>
      </c>
      <c r="U1991" s="41" t="s">
        <v>508</v>
      </c>
    </row>
    <row r="1992" spans="1:21">
      <c r="A1992" s="41">
        <v>764</v>
      </c>
      <c r="B1992" s="41" t="s">
        <v>6588</v>
      </c>
      <c r="E1992" s="41" t="s">
        <v>1136</v>
      </c>
      <c r="F1992" s="41" t="s">
        <v>53</v>
      </c>
      <c r="G1992" s="41" t="s">
        <v>64</v>
      </c>
      <c r="I1992" s="41" t="s">
        <v>2649</v>
      </c>
      <c r="J1992" s="41" t="s">
        <v>295</v>
      </c>
      <c r="K1992" s="42"/>
      <c r="L1992" s="41" t="s">
        <v>1602</v>
      </c>
      <c r="M1992" s="41">
        <v>110</v>
      </c>
      <c r="N1992" s="41" t="s">
        <v>67</v>
      </c>
      <c r="O1992" s="41" t="s">
        <v>178</v>
      </c>
      <c r="P1992" s="41" t="s">
        <v>68</v>
      </c>
      <c r="Q1992" s="41" t="s">
        <v>1165</v>
      </c>
      <c r="R1992" s="41" t="s">
        <v>132</v>
      </c>
      <c r="S1992" s="41" t="s">
        <v>40</v>
      </c>
      <c r="T1992" s="41" t="s">
        <v>40</v>
      </c>
      <c r="U1992" s="41" t="s">
        <v>40</v>
      </c>
    </row>
    <row r="1993" spans="1:21">
      <c r="A1993" s="41">
        <v>763</v>
      </c>
      <c r="B1993" s="41" t="s">
        <v>6589</v>
      </c>
      <c r="D1993" s="41">
        <v>2365</v>
      </c>
      <c r="E1993" s="41" t="s">
        <v>6590</v>
      </c>
      <c r="F1993" s="41" t="s">
        <v>53</v>
      </c>
      <c r="G1993" s="41" t="s">
        <v>141</v>
      </c>
      <c r="I1993" s="41" t="s">
        <v>6591</v>
      </c>
      <c r="J1993" s="41" t="s">
        <v>32</v>
      </c>
      <c r="K1993" s="42"/>
      <c r="L1993" s="41" t="s">
        <v>1304</v>
      </c>
      <c r="M1993" s="41">
        <v>220</v>
      </c>
      <c r="N1993" s="41" t="s">
        <v>805</v>
      </c>
      <c r="O1993" s="41" t="s">
        <v>6592</v>
      </c>
      <c r="P1993" s="41" t="s">
        <v>98</v>
      </c>
      <c r="Q1993" s="41" t="s">
        <v>116</v>
      </c>
      <c r="R1993" s="41" t="s">
        <v>62</v>
      </c>
      <c r="S1993" s="41" t="s">
        <v>6593</v>
      </c>
      <c r="T1993" s="41" t="s">
        <v>1890</v>
      </c>
      <c r="U1993" s="41" t="s">
        <v>1890</v>
      </c>
    </row>
    <row r="1994" spans="1:21">
      <c r="A1994" s="41">
        <v>761</v>
      </c>
      <c r="B1994" s="41" t="s">
        <v>6594</v>
      </c>
      <c r="D1994" s="41">
        <v>2436</v>
      </c>
      <c r="E1994" s="41" t="s">
        <v>2639</v>
      </c>
      <c r="F1994" s="41" t="s">
        <v>53</v>
      </c>
      <c r="G1994" s="41" t="s">
        <v>64</v>
      </c>
      <c r="I1994" s="41" t="s">
        <v>194</v>
      </c>
      <c r="J1994" s="41" t="s">
        <v>295</v>
      </c>
      <c r="K1994" s="42"/>
      <c r="L1994" s="41" t="s">
        <v>6595</v>
      </c>
      <c r="M1994" s="41">
        <v>23</v>
      </c>
      <c r="N1994" s="41" t="s">
        <v>67</v>
      </c>
      <c r="O1994" s="41" t="s">
        <v>989</v>
      </c>
      <c r="P1994" s="41" t="s">
        <v>68</v>
      </c>
      <c r="Q1994" s="41" t="s">
        <v>69</v>
      </c>
      <c r="R1994" s="41" t="s">
        <v>132</v>
      </c>
      <c r="S1994" s="41" t="s">
        <v>40</v>
      </c>
      <c r="T1994" s="41" t="s">
        <v>40</v>
      </c>
      <c r="U1994" s="41" t="s">
        <v>40</v>
      </c>
    </row>
    <row r="1995" spans="1:21">
      <c r="A1995" s="41">
        <v>760</v>
      </c>
      <c r="B1995" s="41" t="s">
        <v>6596</v>
      </c>
      <c r="D1995" s="41">
        <v>2552</v>
      </c>
      <c r="E1995" s="41" t="s">
        <v>1248</v>
      </c>
      <c r="F1995" s="41" t="s">
        <v>53</v>
      </c>
      <c r="G1995" s="41" t="s">
        <v>1071</v>
      </c>
      <c r="I1995" s="41" t="s">
        <v>6597</v>
      </c>
      <c r="J1995" s="41" t="s">
        <v>672</v>
      </c>
      <c r="K1995" s="42"/>
      <c r="L1995" s="41" t="s">
        <v>6598</v>
      </c>
      <c r="M1995" s="41">
        <v>13</v>
      </c>
      <c r="N1995" s="41" t="s">
        <v>6599</v>
      </c>
      <c r="O1995" s="41" t="s">
        <v>2076</v>
      </c>
      <c r="P1995" s="41" t="s">
        <v>334</v>
      </c>
      <c r="Q1995" s="41" t="s">
        <v>4538</v>
      </c>
      <c r="R1995" s="41" t="s">
        <v>132</v>
      </c>
      <c r="S1995" s="41" t="s">
        <v>40</v>
      </c>
      <c r="T1995" s="41" t="s">
        <v>40</v>
      </c>
      <c r="U1995" s="41" t="s">
        <v>40</v>
      </c>
    </row>
    <row r="1996" spans="1:21">
      <c r="A1996" s="41">
        <v>759</v>
      </c>
      <c r="B1996" s="41" t="s">
        <v>5616</v>
      </c>
      <c r="E1996" s="41" t="s">
        <v>4746</v>
      </c>
      <c r="F1996" s="41" t="s">
        <v>53</v>
      </c>
      <c r="G1996" s="41" t="s">
        <v>64</v>
      </c>
      <c r="I1996" s="41" t="s">
        <v>45</v>
      </c>
      <c r="J1996" s="41" t="s">
        <v>380</v>
      </c>
      <c r="K1996" s="42"/>
      <c r="L1996" s="41" t="s">
        <v>513</v>
      </c>
      <c r="M1996" s="41">
        <v>220</v>
      </c>
      <c r="N1996" s="41" t="s">
        <v>805</v>
      </c>
      <c r="O1996" s="41" t="s">
        <v>36</v>
      </c>
      <c r="P1996" s="41" t="s">
        <v>382</v>
      </c>
      <c r="Q1996" s="41" t="s">
        <v>3148</v>
      </c>
      <c r="R1996" s="41" t="s">
        <v>62</v>
      </c>
      <c r="S1996" s="41" t="s">
        <v>40</v>
      </c>
      <c r="T1996" s="41" t="s">
        <v>40</v>
      </c>
      <c r="U1996" s="41" t="s">
        <v>40</v>
      </c>
    </row>
    <row r="1997" spans="1:21">
      <c r="A1997" s="41">
        <v>758</v>
      </c>
      <c r="B1997" s="41" t="s">
        <v>6600</v>
      </c>
      <c r="D1997" s="41">
        <v>2352</v>
      </c>
      <c r="E1997" s="41" t="s">
        <v>3476</v>
      </c>
      <c r="F1997" s="41" t="s">
        <v>53</v>
      </c>
      <c r="G1997" s="41" t="s">
        <v>307</v>
      </c>
      <c r="I1997" s="41" t="s">
        <v>194</v>
      </c>
      <c r="J1997" s="41" t="s">
        <v>295</v>
      </c>
      <c r="K1997" s="42"/>
      <c r="L1997" s="41" t="s">
        <v>6601</v>
      </c>
      <c r="M1997" s="41">
        <v>13</v>
      </c>
      <c r="N1997" s="41" t="s">
        <v>67</v>
      </c>
      <c r="O1997" s="41" t="s">
        <v>2275</v>
      </c>
      <c r="P1997" s="41" t="s">
        <v>179</v>
      </c>
      <c r="Q1997" s="41" t="s">
        <v>284</v>
      </c>
      <c r="R1997" s="41" t="s">
        <v>132</v>
      </c>
      <c r="S1997" s="41" t="s">
        <v>6602</v>
      </c>
      <c r="T1997" s="41" t="s">
        <v>4640</v>
      </c>
      <c r="U1997" s="41" t="s">
        <v>305</v>
      </c>
    </row>
    <row r="1998" spans="1:21">
      <c r="A1998" s="41">
        <v>757</v>
      </c>
      <c r="B1998" s="41" t="s">
        <v>6603</v>
      </c>
      <c r="D1998" s="41">
        <v>2394</v>
      </c>
      <c r="E1998" s="41" t="s">
        <v>1613</v>
      </c>
      <c r="F1998" s="41" t="s">
        <v>28</v>
      </c>
      <c r="G1998" s="41" t="s">
        <v>64</v>
      </c>
      <c r="I1998" s="41" t="s">
        <v>231</v>
      </c>
      <c r="J1998" s="41" t="s">
        <v>295</v>
      </c>
      <c r="K1998" s="42"/>
      <c r="L1998" s="41" t="s">
        <v>6604</v>
      </c>
      <c r="M1998" s="41">
        <v>154</v>
      </c>
      <c r="N1998" s="41" t="s">
        <v>6605</v>
      </c>
      <c r="O1998" s="41" t="s">
        <v>6606</v>
      </c>
      <c r="P1998" s="41" t="s">
        <v>60</v>
      </c>
      <c r="Q1998" s="41" t="s">
        <v>608</v>
      </c>
      <c r="R1998" s="41" t="s">
        <v>39</v>
      </c>
      <c r="S1998" s="41" t="s">
        <v>40</v>
      </c>
      <c r="T1998" s="41" t="s">
        <v>40</v>
      </c>
      <c r="U1998" s="41" t="s">
        <v>40</v>
      </c>
    </row>
    <row r="1999" spans="1:21">
      <c r="A1999" s="41">
        <v>752</v>
      </c>
      <c r="B1999" s="41" t="s">
        <v>6607</v>
      </c>
      <c r="E1999" s="41" t="s">
        <v>6608</v>
      </c>
      <c r="F1999" s="41" t="s">
        <v>53</v>
      </c>
      <c r="G1999" s="41" t="s">
        <v>64</v>
      </c>
      <c r="I1999" s="41" t="s">
        <v>6609</v>
      </c>
      <c r="J1999" s="41" t="s">
        <v>380</v>
      </c>
      <c r="K1999" s="42"/>
      <c r="L1999" s="41" t="s">
        <v>6610</v>
      </c>
      <c r="M1999" s="41">
        <v>220</v>
      </c>
      <c r="N1999" s="41" t="s">
        <v>6611</v>
      </c>
      <c r="O1999" s="41" t="s">
        <v>6612</v>
      </c>
      <c r="P1999" s="41" t="s">
        <v>153</v>
      </c>
      <c r="Q1999" s="41" t="s">
        <v>329</v>
      </c>
      <c r="R1999" s="41" t="s">
        <v>62</v>
      </c>
      <c r="S1999" s="41" t="s">
        <v>40</v>
      </c>
      <c r="T1999" s="41" t="s">
        <v>40</v>
      </c>
      <c r="U1999" s="41" t="s">
        <v>40</v>
      </c>
    </row>
    <row r="2000" spans="1:21">
      <c r="A2000" s="41">
        <v>749</v>
      </c>
      <c r="B2000" s="41" t="s">
        <v>6613</v>
      </c>
      <c r="D2000" s="41">
        <v>2393</v>
      </c>
      <c r="E2000" s="41" t="s">
        <v>1882</v>
      </c>
      <c r="F2000" s="41" t="s">
        <v>53</v>
      </c>
      <c r="G2000" s="41" t="s">
        <v>64</v>
      </c>
      <c r="I2000" s="41" t="s">
        <v>194</v>
      </c>
      <c r="J2000" s="41" t="s">
        <v>295</v>
      </c>
      <c r="K2000" s="42"/>
      <c r="L2000" s="41" t="s">
        <v>6152</v>
      </c>
      <c r="M2000" s="41">
        <v>23</v>
      </c>
      <c r="N2000" s="41" t="s">
        <v>1020</v>
      </c>
      <c r="O2000" s="41" t="s">
        <v>1194</v>
      </c>
      <c r="P2000" s="41" t="s">
        <v>68</v>
      </c>
      <c r="Q2000" s="41" t="s">
        <v>69</v>
      </c>
      <c r="R2000" s="41" t="s">
        <v>132</v>
      </c>
      <c r="S2000" s="41" t="s">
        <v>40</v>
      </c>
      <c r="T2000" s="41" t="s">
        <v>40</v>
      </c>
      <c r="U2000" s="41" t="s">
        <v>40</v>
      </c>
    </row>
    <row r="2001" spans="1:21">
      <c r="A2001" s="41">
        <v>748</v>
      </c>
      <c r="B2001" s="41" t="s">
        <v>6614</v>
      </c>
      <c r="D2001" s="41">
        <v>2392</v>
      </c>
      <c r="E2001" s="41" t="s">
        <v>6615</v>
      </c>
      <c r="F2001" s="41" t="s">
        <v>53</v>
      </c>
      <c r="G2001" s="41" t="s">
        <v>141</v>
      </c>
      <c r="I2001" s="41" t="s">
        <v>6616</v>
      </c>
      <c r="J2001" s="41" t="s">
        <v>295</v>
      </c>
      <c r="K2001" s="42"/>
      <c r="L2001" s="41" t="s">
        <v>6617</v>
      </c>
      <c r="M2001" s="41">
        <v>220</v>
      </c>
      <c r="N2001" s="41" t="s">
        <v>6279</v>
      </c>
      <c r="O2001" s="41" t="s">
        <v>396</v>
      </c>
      <c r="P2001" s="41" t="s">
        <v>172</v>
      </c>
      <c r="Q2001" s="41" t="s">
        <v>197</v>
      </c>
      <c r="R2001" s="41" t="s">
        <v>62</v>
      </c>
      <c r="S2001" s="41" t="s">
        <v>6618</v>
      </c>
      <c r="T2001" s="41" t="s">
        <v>706</v>
      </c>
      <c r="U2001" s="41" t="s">
        <v>1449</v>
      </c>
    </row>
    <row r="2002" spans="1:21">
      <c r="A2002" s="41">
        <v>747</v>
      </c>
      <c r="B2002" s="41" t="s">
        <v>6619</v>
      </c>
      <c r="D2002" s="41">
        <v>2389</v>
      </c>
      <c r="E2002" s="41" t="s">
        <v>1609</v>
      </c>
      <c r="F2002" s="41" t="s">
        <v>28</v>
      </c>
      <c r="G2002" s="41" t="s">
        <v>301</v>
      </c>
      <c r="I2002" s="41" t="s">
        <v>338</v>
      </c>
      <c r="J2002" s="41" t="s">
        <v>295</v>
      </c>
      <c r="K2002" s="42"/>
      <c r="L2002" s="41" t="s">
        <v>6620</v>
      </c>
      <c r="M2002" s="41">
        <v>220</v>
      </c>
      <c r="N2002" s="41" t="s">
        <v>59</v>
      </c>
      <c r="O2002" s="41" t="s">
        <v>36</v>
      </c>
      <c r="P2002" s="41" t="s">
        <v>98</v>
      </c>
      <c r="Q2002" s="41" t="s">
        <v>98</v>
      </c>
      <c r="R2002" s="41" t="s">
        <v>39</v>
      </c>
      <c r="S2002" s="41" t="s">
        <v>40</v>
      </c>
      <c r="T2002" s="41" t="s">
        <v>3646</v>
      </c>
      <c r="U2002" s="41" t="s">
        <v>1402</v>
      </c>
    </row>
    <row r="2003" spans="1:21">
      <c r="A2003" s="41">
        <v>746</v>
      </c>
      <c r="B2003" s="41" t="s">
        <v>6060</v>
      </c>
      <c r="E2003" s="41" t="s">
        <v>5007</v>
      </c>
      <c r="F2003" s="41" t="s">
        <v>28</v>
      </c>
      <c r="G2003" s="41" t="s">
        <v>64</v>
      </c>
      <c r="I2003" s="41" t="s">
        <v>2649</v>
      </c>
      <c r="J2003" s="41" t="s">
        <v>380</v>
      </c>
      <c r="K2003" s="42"/>
      <c r="L2003" s="41" t="s">
        <v>6621</v>
      </c>
      <c r="M2003" s="41">
        <v>220</v>
      </c>
      <c r="N2003" s="41" t="s">
        <v>6622</v>
      </c>
      <c r="O2003" s="41" t="s">
        <v>138</v>
      </c>
      <c r="P2003" s="41" t="s">
        <v>153</v>
      </c>
      <c r="Q2003" s="41" t="s">
        <v>329</v>
      </c>
      <c r="R2003" s="41" t="s">
        <v>39</v>
      </c>
      <c r="S2003" s="41" t="s">
        <v>40</v>
      </c>
      <c r="T2003" s="41" t="s">
        <v>40</v>
      </c>
      <c r="U2003" s="41" t="s">
        <v>40</v>
      </c>
    </row>
    <row r="2004" spans="1:21">
      <c r="A2004" s="41">
        <v>740</v>
      </c>
      <c r="B2004" s="41" t="s">
        <v>6623</v>
      </c>
      <c r="E2004" s="41" t="s">
        <v>1613</v>
      </c>
      <c r="F2004" s="41" t="s">
        <v>53</v>
      </c>
      <c r="G2004" s="41" t="s">
        <v>64</v>
      </c>
      <c r="I2004" s="41" t="s">
        <v>162</v>
      </c>
      <c r="J2004" s="41" t="s">
        <v>295</v>
      </c>
      <c r="K2004" s="42"/>
      <c r="L2004" s="41" t="s">
        <v>3567</v>
      </c>
      <c r="M2004" s="41">
        <v>110</v>
      </c>
      <c r="N2004" s="41" t="s">
        <v>67</v>
      </c>
      <c r="O2004" s="41" t="s">
        <v>36</v>
      </c>
      <c r="P2004" s="41" t="s">
        <v>68</v>
      </c>
      <c r="Q2004" s="41" t="s">
        <v>3518</v>
      </c>
      <c r="R2004" s="41" t="s">
        <v>62</v>
      </c>
      <c r="S2004" s="41" t="s">
        <v>40</v>
      </c>
      <c r="T2004" s="41" t="s">
        <v>40</v>
      </c>
      <c r="U2004" s="41" t="s">
        <v>40</v>
      </c>
    </row>
    <row r="2005" spans="1:21">
      <c r="A2005" s="41">
        <v>738</v>
      </c>
      <c r="B2005" s="41" t="s">
        <v>6624</v>
      </c>
      <c r="D2005" s="41">
        <v>2351</v>
      </c>
      <c r="E2005" s="41" t="s">
        <v>3481</v>
      </c>
      <c r="F2005" s="41" t="s">
        <v>53</v>
      </c>
      <c r="G2005" s="41" t="s">
        <v>307</v>
      </c>
      <c r="I2005" s="41" t="s">
        <v>194</v>
      </c>
      <c r="J2005" s="41" t="s">
        <v>295</v>
      </c>
      <c r="K2005" s="42"/>
      <c r="L2005" s="41" t="s">
        <v>6601</v>
      </c>
      <c r="M2005" s="41">
        <v>13</v>
      </c>
      <c r="N2005" s="41" t="s">
        <v>1596</v>
      </c>
      <c r="O2005" s="41" t="s">
        <v>1261</v>
      </c>
      <c r="P2005" s="41" t="s">
        <v>179</v>
      </c>
      <c r="Q2005" s="41" t="s">
        <v>284</v>
      </c>
      <c r="R2005" s="41" t="s">
        <v>132</v>
      </c>
      <c r="S2005" s="41" t="s">
        <v>6625</v>
      </c>
      <c r="T2005" s="41" t="s">
        <v>4640</v>
      </c>
      <c r="U2005" s="41" t="s">
        <v>305</v>
      </c>
    </row>
    <row r="2006" spans="1:21">
      <c r="A2006" s="41">
        <v>737</v>
      </c>
      <c r="B2006" s="41" t="s">
        <v>6626</v>
      </c>
      <c r="E2006" s="41" t="s">
        <v>2405</v>
      </c>
      <c r="F2006" s="41" t="s">
        <v>53</v>
      </c>
      <c r="G2006" s="41" t="s">
        <v>64</v>
      </c>
      <c r="I2006" s="41" t="s">
        <v>960</v>
      </c>
      <c r="J2006" s="41" t="s">
        <v>295</v>
      </c>
      <c r="K2006" s="42"/>
      <c r="L2006" s="41" t="s">
        <v>6627</v>
      </c>
      <c r="M2006" s="41">
        <v>110</v>
      </c>
      <c r="N2006" s="41" t="s">
        <v>67</v>
      </c>
      <c r="O2006" s="41" t="s">
        <v>6628</v>
      </c>
      <c r="P2006" s="41" t="s">
        <v>179</v>
      </c>
      <c r="Q2006" s="41" t="s">
        <v>524</v>
      </c>
      <c r="R2006" s="41" t="s">
        <v>132</v>
      </c>
      <c r="S2006" s="41" t="s">
        <v>40</v>
      </c>
      <c r="T2006" s="41" t="s">
        <v>40</v>
      </c>
      <c r="U2006" s="41" t="s">
        <v>40</v>
      </c>
    </row>
    <row r="2007" spans="1:21">
      <c r="A2007" s="41">
        <v>736</v>
      </c>
      <c r="B2007" s="41" t="s">
        <v>6629</v>
      </c>
      <c r="E2007" s="41" t="s">
        <v>1613</v>
      </c>
      <c r="F2007" s="41" t="s">
        <v>53</v>
      </c>
      <c r="G2007" s="41" t="s">
        <v>64</v>
      </c>
      <c r="I2007" s="41" t="s">
        <v>338</v>
      </c>
      <c r="J2007" s="41" t="s">
        <v>295</v>
      </c>
      <c r="K2007" s="42"/>
      <c r="L2007" s="41" t="s">
        <v>6630</v>
      </c>
      <c r="M2007" s="41">
        <v>220</v>
      </c>
      <c r="N2007" s="41" t="s">
        <v>59</v>
      </c>
      <c r="O2007" s="41" t="s">
        <v>36</v>
      </c>
      <c r="P2007" s="41" t="s">
        <v>60</v>
      </c>
      <c r="Q2007" s="41" t="s">
        <v>6631</v>
      </c>
      <c r="R2007" s="41" t="s">
        <v>62</v>
      </c>
      <c r="S2007" s="41" t="s">
        <v>40</v>
      </c>
      <c r="T2007" s="41" t="s">
        <v>40</v>
      </c>
      <c r="U2007" s="41" t="s">
        <v>40</v>
      </c>
    </row>
    <row r="2008" spans="1:21">
      <c r="A2008" s="41">
        <v>735</v>
      </c>
      <c r="B2008" s="41" t="s">
        <v>6632</v>
      </c>
      <c r="D2008" s="41">
        <v>2349</v>
      </c>
      <c r="E2008" s="41" t="s">
        <v>4134</v>
      </c>
      <c r="F2008" s="41" t="s">
        <v>53</v>
      </c>
      <c r="G2008" s="41" t="s">
        <v>64</v>
      </c>
      <c r="I2008" s="41" t="s">
        <v>6633</v>
      </c>
      <c r="J2008" s="41" t="s">
        <v>295</v>
      </c>
      <c r="K2008" s="42"/>
      <c r="L2008" s="41" t="s">
        <v>3337</v>
      </c>
      <c r="M2008" s="41">
        <v>66</v>
      </c>
      <c r="N2008" s="41" t="s">
        <v>6634</v>
      </c>
      <c r="O2008" s="41" t="s">
        <v>2721</v>
      </c>
      <c r="P2008" s="41" t="s">
        <v>546</v>
      </c>
      <c r="Q2008" s="41" t="s">
        <v>2100</v>
      </c>
      <c r="R2008" s="41" t="s">
        <v>132</v>
      </c>
      <c r="S2008" s="41" t="s">
        <v>6635</v>
      </c>
      <c r="T2008" s="41" t="s">
        <v>40</v>
      </c>
      <c r="U2008" s="41" t="s">
        <v>40</v>
      </c>
    </row>
    <row r="2009" spans="1:21">
      <c r="A2009" s="41">
        <v>734</v>
      </c>
      <c r="B2009" s="41" t="s">
        <v>6636</v>
      </c>
      <c r="D2009" s="41">
        <v>2250</v>
      </c>
      <c r="E2009" s="41" t="s">
        <v>6636</v>
      </c>
      <c r="F2009" s="41" t="s">
        <v>53</v>
      </c>
      <c r="G2009" s="41" t="s">
        <v>307</v>
      </c>
      <c r="I2009" s="41" t="s">
        <v>31</v>
      </c>
      <c r="J2009" s="41" t="s">
        <v>32</v>
      </c>
      <c r="K2009" s="42"/>
      <c r="L2009" s="41" t="s">
        <v>6637</v>
      </c>
      <c r="M2009" s="41">
        <v>220</v>
      </c>
      <c r="N2009" s="41" t="s">
        <v>6638</v>
      </c>
      <c r="O2009" s="41" t="s">
        <v>619</v>
      </c>
      <c r="P2009" s="41" t="s">
        <v>153</v>
      </c>
      <c r="Q2009" s="41" t="s">
        <v>329</v>
      </c>
      <c r="R2009" s="41" t="s">
        <v>62</v>
      </c>
      <c r="S2009" s="41" t="s">
        <v>6639</v>
      </c>
      <c r="T2009" s="41" t="s">
        <v>3185</v>
      </c>
      <c r="U2009" s="41" t="s">
        <v>198</v>
      </c>
    </row>
    <row r="2010" spans="1:21">
      <c r="A2010" s="41">
        <v>733</v>
      </c>
      <c r="B2010" s="41" t="s">
        <v>2410</v>
      </c>
      <c r="D2010" s="41">
        <v>2362</v>
      </c>
      <c r="E2010" s="41" t="s">
        <v>6640</v>
      </c>
      <c r="F2010" s="41" t="s">
        <v>53</v>
      </c>
      <c r="G2010" s="41" t="s">
        <v>43</v>
      </c>
      <c r="I2010" s="41" t="s">
        <v>102</v>
      </c>
      <c r="J2010" s="41" t="s">
        <v>295</v>
      </c>
      <c r="K2010" s="42"/>
      <c r="L2010" s="41" t="s">
        <v>6641</v>
      </c>
      <c r="M2010" s="41">
        <v>220</v>
      </c>
      <c r="N2010" s="41" t="s">
        <v>619</v>
      </c>
      <c r="O2010" s="41" t="s">
        <v>6642</v>
      </c>
      <c r="P2010" s="41" t="s">
        <v>98</v>
      </c>
      <c r="Q2010" s="41" t="s">
        <v>204</v>
      </c>
      <c r="R2010" s="41" t="s">
        <v>62</v>
      </c>
      <c r="S2010" s="41" t="s">
        <v>6643</v>
      </c>
      <c r="T2010" s="41" t="s">
        <v>215</v>
      </c>
      <c r="U2010" s="41" t="s">
        <v>40</v>
      </c>
    </row>
    <row r="2011" spans="1:21">
      <c r="A2011" s="41">
        <v>732</v>
      </c>
      <c r="B2011" s="41" t="s">
        <v>6644</v>
      </c>
      <c r="D2011" s="41">
        <v>2385</v>
      </c>
      <c r="E2011" s="41" t="s">
        <v>1118</v>
      </c>
      <c r="F2011" s="41" t="s">
        <v>28</v>
      </c>
      <c r="G2011" s="41" t="s">
        <v>307</v>
      </c>
      <c r="I2011" s="41" t="s">
        <v>6645</v>
      </c>
      <c r="J2011" s="41" t="s">
        <v>672</v>
      </c>
      <c r="K2011" s="42"/>
      <c r="L2011" s="41" t="s">
        <v>6646</v>
      </c>
      <c r="M2011" s="41">
        <v>220</v>
      </c>
      <c r="N2011" s="41" t="s">
        <v>6647</v>
      </c>
      <c r="O2011" s="41" t="s">
        <v>77</v>
      </c>
      <c r="P2011" s="41" t="s">
        <v>98</v>
      </c>
      <c r="Q2011" s="41" t="s">
        <v>116</v>
      </c>
      <c r="R2011" s="41" t="s">
        <v>39</v>
      </c>
      <c r="S2011" s="41" t="s">
        <v>40</v>
      </c>
      <c r="T2011" s="41" t="s">
        <v>6282</v>
      </c>
      <c r="U2011" s="41" t="s">
        <v>6129</v>
      </c>
    </row>
    <row r="2012" spans="1:21">
      <c r="A2012" s="41">
        <v>731</v>
      </c>
      <c r="B2012" s="41" t="s">
        <v>6648</v>
      </c>
      <c r="D2012" s="41">
        <v>2384</v>
      </c>
      <c r="E2012" s="41" t="s">
        <v>1118</v>
      </c>
      <c r="F2012" s="41" t="s">
        <v>28</v>
      </c>
      <c r="G2012" s="41" t="s">
        <v>307</v>
      </c>
      <c r="I2012" s="41" t="s">
        <v>6649</v>
      </c>
      <c r="J2012" s="41" t="s">
        <v>672</v>
      </c>
      <c r="K2012" s="42"/>
      <c r="L2012" s="41" t="s">
        <v>6650</v>
      </c>
      <c r="M2012" s="41">
        <v>110</v>
      </c>
      <c r="N2012" s="41" t="s">
        <v>67</v>
      </c>
      <c r="O2012" s="41" t="s">
        <v>1473</v>
      </c>
      <c r="P2012" s="41" t="s">
        <v>98</v>
      </c>
      <c r="Q2012" s="41" t="s">
        <v>370</v>
      </c>
      <c r="R2012" s="41" t="s">
        <v>39</v>
      </c>
      <c r="S2012" s="41" t="s">
        <v>40</v>
      </c>
      <c r="T2012" s="41" t="s">
        <v>6282</v>
      </c>
      <c r="U2012" s="41" t="s">
        <v>6129</v>
      </c>
    </row>
    <row r="2013" spans="1:21">
      <c r="A2013" s="41">
        <v>730</v>
      </c>
      <c r="B2013" s="41" t="s">
        <v>6651</v>
      </c>
      <c r="E2013" s="41" t="s">
        <v>6652</v>
      </c>
      <c r="F2013" s="41" t="s">
        <v>53</v>
      </c>
      <c r="G2013" s="41" t="s">
        <v>43</v>
      </c>
      <c r="I2013" s="41" t="s">
        <v>102</v>
      </c>
      <c r="J2013" s="41" t="s">
        <v>295</v>
      </c>
      <c r="K2013" s="42"/>
      <c r="L2013" s="41" t="s">
        <v>6641</v>
      </c>
      <c r="M2013" s="41">
        <v>220</v>
      </c>
      <c r="N2013" s="41" t="s">
        <v>2432</v>
      </c>
      <c r="O2013" s="41" t="s">
        <v>3045</v>
      </c>
      <c r="P2013" s="41" t="s">
        <v>98</v>
      </c>
      <c r="Q2013" s="41" t="s">
        <v>569</v>
      </c>
      <c r="R2013" s="41" t="s">
        <v>62</v>
      </c>
      <c r="S2013" s="41" t="s">
        <v>40</v>
      </c>
      <c r="T2013" s="41" t="s">
        <v>40</v>
      </c>
      <c r="U2013" s="41" t="s">
        <v>40</v>
      </c>
    </row>
    <row r="2014" spans="1:21">
      <c r="A2014" s="41">
        <v>729</v>
      </c>
      <c r="B2014" s="41" t="s">
        <v>6651</v>
      </c>
      <c r="D2014" s="41">
        <v>2361</v>
      </c>
      <c r="E2014" s="41" t="s">
        <v>6652</v>
      </c>
      <c r="F2014" s="41" t="s">
        <v>53</v>
      </c>
      <c r="G2014" s="41" t="s">
        <v>43</v>
      </c>
      <c r="I2014" s="41" t="s">
        <v>102</v>
      </c>
      <c r="J2014" s="41" t="s">
        <v>295</v>
      </c>
      <c r="K2014" s="42"/>
      <c r="L2014" s="41" t="s">
        <v>5363</v>
      </c>
      <c r="M2014" s="41">
        <v>220</v>
      </c>
      <c r="N2014" s="41" t="s">
        <v>2432</v>
      </c>
      <c r="O2014" s="41" t="s">
        <v>3045</v>
      </c>
      <c r="P2014" s="41" t="s">
        <v>98</v>
      </c>
      <c r="Q2014" s="41" t="s">
        <v>569</v>
      </c>
      <c r="R2014" s="41" t="s">
        <v>62</v>
      </c>
      <c r="S2014" s="41" t="s">
        <v>6653</v>
      </c>
      <c r="T2014" s="41" t="s">
        <v>3195</v>
      </c>
      <c r="U2014" s="41" t="s">
        <v>3429</v>
      </c>
    </row>
    <row r="2015" spans="1:21">
      <c r="A2015" s="41">
        <v>726</v>
      </c>
      <c r="B2015" s="41" t="s">
        <v>6654</v>
      </c>
      <c r="E2015" s="41" t="s">
        <v>3536</v>
      </c>
      <c r="F2015" s="41" t="s">
        <v>53</v>
      </c>
      <c r="G2015" s="41" t="s">
        <v>43</v>
      </c>
      <c r="I2015" s="41" t="s">
        <v>1142</v>
      </c>
      <c r="J2015" s="41" t="s">
        <v>672</v>
      </c>
      <c r="K2015" s="42"/>
      <c r="L2015" s="41" t="s">
        <v>6655</v>
      </c>
      <c r="M2015" s="41">
        <v>13</v>
      </c>
      <c r="N2015" s="41" t="s">
        <v>1002</v>
      </c>
      <c r="O2015" s="41" t="s">
        <v>77</v>
      </c>
      <c r="P2015" s="41" t="s">
        <v>334</v>
      </c>
      <c r="Q2015" s="41" t="s">
        <v>4538</v>
      </c>
      <c r="R2015" s="41" t="s">
        <v>132</v>
      </c>
      <c r="S2015" s="41" t="s">
        <v>40</v>
      </c>
      <c r="T2015" s="41" t="s">
        <v>40</v>
      </c>
      <c r="U2015" s="41" t="s">
        <v>40</v>
      </c>
    </row>
    <row r="2016" spans="1:21">
      <c r="A2016" s="41">
        <v>725</v>
      </c>
      <c r="B2016" s="41" t="s">
        <v>6656</v>
      </c>
      <c r="E2016" s="41" t="s">
        <v>5340</v>
      </c>
      <c r="F2016" s="41" t="s">
        <v>53</v>
      </c>
      <c r="G2016" s="41" t="s">
        <v>43</v>
      </c>
      <c r="I2016" s="41" t="s">
        <v>194</v>
      </c>
      <c r="J2016" s="41" t="s">
        <v>295</v>
      </c>
      <c r="K2016" s="42"/>
      <c r="L2016" s="41" t="s">
        <v>1783</v>
      </c>
      <c r="M2016" s="41">
        <v>12</v>
      </c>
      <c r="N2016" s="41" t="s">
        <v>6657</v>
      </c>
      <c r="O2016" s="41" t="s">
        <v>77</v>
      </c>
      <c r="P2016" s="41" t="s">
        <v>78</v>
      </c>
      <c r="Q2016" s="41" t="s">
        <v>1786</v>
      </c>
      <c r="R2016" s="41" t="s">
        <v>132</v>
      </c>
      <c r="S2016" s="41" t="s">
        <v>40</v>
      </c>
      <c r="T2016" s="41" t="s">
        <v>40</v>
      </c>
      <c r="U2016" s="41" t="s">
        <v>40</v>
      </c>
    </row>
    <row r="2017" spans="1:21">
      <c r="A2017" s="41">
        <v>724</v>
      </c>
      <c r="B2017" s="41" t="s">
        <v>6658</v>
      </c>
      <c r="D2017" s="41">
        <v>2358</v>
      </c>
      <c r="E2017" s="41" t="s">
        <v>3536</v>
      </c>
      <c r="F2017" s="41" t="s">
        <v>53</v>
      </c>
      <c r="G2017" s="41" t="s">
        <v>307</v>
      </c>
      <c r="I2017" s="41" t="s">
        <v>999</v>
      </c>
      <c r="J2017" s="41" t="s">
        <v>672</v>
      </c>
      <c r="K2017" s="42"/>
      <c r="L2017" s="41" t="s">
        <v>6659</v>
      </c>
      <c r="M2017" s="41">
        <v>13</v>
      </c>
      <c r="N2017" s="41" t="s">
        <v>6660</v>
      </c>
      <c r="O2017" s="41" t="s">
        <v>6660</v>
      </c>
      <c r="P2017" s="41" t="s">
        <v>334</v>
      </c>
      <c r="Q2017" s="41" t="s">
        <v>2815</v>
      </c>
      <c r="R2017" s="41" t="s">
        <v>132</v>
      </c>
      <c r="S2017" s="41" t="s">
        <v>6661</v>
      </c>
      <c r="T2017" s="41" t="s">
        <v>40</v>
      </c>
      <c r="U2017" s="41" t="s">
        <v>40</v>
      </c>
    </row>
    <row r="2018" spans="1:21">
      <c r="A2018" s="41">
        <v>723</v>
      </c>
      <c r="B2018" s="41" t="s">
        <v>6662</v>
      </c>
      <c r="E2018" s="41" t="s">
        <v>6663</v>
      </c>
      <c r="F2018" s="41" t="s">
        <v>53</v>
      </c>
      <c r="G2018" s="41" t="s">
        <v>64</v>
      </c>
      <c r="I2018" s="41" t="s">
        <v>194</v>
      </c>
      <c r="J2018" s="41" t="s">
        <v>295</v>
      </c>
      <c r="K2018" s="42"/>
      <c r="L2018" s="41" t="s">
        <v>592</v>
      </c>
      <c r="M2018" s="41">
        <v>23</v>
      </c>
      <c r="N2018" s="41" t="s">
        <v>6664</v>
      </c>
      <c r="O2018" s="41" t="s">
        <v>6664</v>
      </c>
      <c r="P2018" s="41" t="s">
        <v>179</v>
      </c>
      <c r="Q2018" s="41" t="s">
        <v>592</v>
      </c>
      <c r="R2018" s="41" t="s">
        <v>132</v>
      </c>
      <c r="S2018" s="41" t="s">
        <v>40</v>
      </c>
      <c r="T2018" s="41" t="s">
        <v>40</v>
      </c>
      <c r="U2018" s="41" t="s">
        <v>40</v>
      </c>
    </row>
    <row r="2019" spans="1:21">
      <c r="A2019" s="41">
        <v>722</v>
      </c>
      <c r="B2019" s="41" t="s">
        <v>6665</v>
      </c>
      <c r="E2019" s="41" t="s">
        <v>1475</v>
      </c>
      <c r="F2019" s="41" t="s">
        <v>53</v>
      </c>
      <c r="G2019" s="41" t="s">
        <v>64</v>
      </c>
      <c r="I2019" s="41" t="s">
        <v>4728</v>
      </c>
      <c r="J2019" s="41" t="s">
        <v>295</v>
      </c>
      <c r="K2019" s="42"/>
      <c r="L2019" s="41" t="s">
        <v>5014</v>
      </c>
      <c r="M2019" s="41">
        <v>220</v>
      </c>
      <c r="N2019" s="41" t="s">
        <v>6551</v>
      </c>
      <c r="O2019" s="41" t="s">
        <v>6666</v>
      </c>
      <c r="P2019" s="41" t="s">
        <v>50</v>
      </c>
      <c r="Q2019" s="41" t="s">
        <v>51</v>
      </c>
      <c r="R2019" s="41" t="s">
        <v>62</v>
      </c>
      <c r="S2019" s="41" t="s">
        <v>40</v>
      </c>
      <c r="T2019" s="41" t="s">
        <v>40</v>
      </c>
      <c r="U2019" s="41" t="s">
        <v>40</v>
      </c>
    </row>
    <row r="2020" spans="1:21">
      <c r="A2020" s="41">
        <v>721</v>
      </c>
      <c r="B2020" s="41" t="s">
        <v>6667</v>
      </c>
      <c r="D2020" s="41">
        <v>2356</v>
      </c>
      <c r="E2020" s="41" t="s">
        <v>1227</v>
      </c>
      <c r="F2020" s="41" t="s">
        <v>28</v>
      </c>
      <c r="G2020" s="41" t="s">
        <v>64</v>
      </c>
      <c r="I2020" s="41" t="s">
        <v>6668</v>
      </c>
      <c r="J2020" s="41" t="s">
        <v>380</v>
      </c>
      <c r="K2020" s="42"/>
      <c r="L2020" s="41" t="s">
        <v>6669</v>
      </c>
      <c r="M2020" s="41">
        <v>220</v>
      </c>
      <c r="N2020" s="41" t="s">
        <v>2432</v>
      </c>
      <c r="O2020" s="41" t="s">
        <v>6670</v>
      </c>
      <c r="P2020" s="41" t="s">
        <v>98</v>
      </c>
      <c r="Q2020" s="41" t="s">
        <v>569</v>
      </c>
      <c r="R2020" s="41" t="s">
        <v>39</v>
      </c>
      <c r="S2020" s="41" t="s">
        <v>40</v>
      </c>
      <c r="T2020" s="41" t="s">
        <v>40</v>
      </c>
      <c r="U2020" s="41" t="s">
        <v>40</v>
      </c>
    </row>
    <row r="2021" spans="1:21">
      <c r="A2021" s="41">
        <v>720</v>
      </c>
      <c r="B2021" s="41" t="s">
        <v>6667</v>
      </c>
      <c r="E2021" s="41" t="s">
        <v>1227</v>
      </c>
      <c r="F2021" s="41" t="s">
        <v>28</v>
      </c>
      <c r="G2021" s="41" t="s">
        <v>43</v>
      </c>
      <c r="I2021" s="41" t="s">
        <v>6668</v>
      </c>
      <c r="J2021" s="41" t="s">
        <v>380</v>
      </c>
      <c r="K2021" s="42"/>
      <c r="L2021" s="41" t="s">
        <v>6669</v>
      </c>
      <c r="M2021" s="41">
        <v>220</v>
      </c>
      <c r="N2021" s="41" t="s">
        <v>2432</v>
      </c>
      <c r="O2021" s="41" t="s">
        <v>6670</v>
      </c>
      <c r="P2021" s="41" t="s">
        <v>98</v>
      </c>
      <c r="Q2021" s="41" t="s">
        <v>569</v>
      </c>
      <c r="R2021" s="41" t="s">
        <v>39</v>
      </c>
      <c r="S2021" s="41" t="s">
        <v>40</v>
      </c>
      <c r="T2021" s="41" t="s">
        <v>40</v>
      </c>
      <c r="U2021" s="41" t="s">
        <v>40</v>
      </c>
    </row>
    <row r="2022" spans="1:21">
      <c r="A2022" s="41">
        <v>719</v>
      </c>
      <c r="B2022" s="41" t="s">
        <v>6671</v>
      </c>
      <c r="E2022" s="41" t="s">
        <v>5907</v>
      </c>
      <c r="F2022" s="41" t="s">
        <v>53</v>
      </c>
      <c r="G2022" s="41" t="s">
        <v>1071</v>
      </c>
      <c r="I2022" s="41" t="s">
        <v>999</v>
      </c>
      <c r="J2022" s="41" t="s">
        <v>672</v>
      </c>
      <c r="K2022" s="42"/>
      <c r="L2022" s="41" t="s">
        <v>6672</v>
      </c>
      <c r="M2022" s="41">
        <v>23</v>
      </c>
      <c r="N2022" s="41" t="s">
        <v>6673</v>
      </c>
      <c r="O2022" s="41" t="s">
        <v>5709</v>
      </c>
      <c r="P2022" s="41" t="s">
        <v>1046</v>
      </c>
      <c r="Q2022" s="41" t="s">
        <v>1903</v>
      </c>
      <c r="R2022" s="41" t="s">
        <v>132</v>
      </c>
      <c r="S2022" s="41" t="s">
        <v>40</v>
      </c>
      <c r="T2022" s="41" t="s">
        <v>40</v>
      </c>
      <c r="U2022" s="41" t="s">
        <v>40</v>
      </c>
    </row>
    <row r="2023" spans="1:21">
      <c r="A2023" s="41">
        <v>718</v>
      </c>
      <c r="B2023" s="41" t="s">
        <v>6674</v>
      </c>
      <c r="E2023" s="41" t="s">
        <v>1418</v>
      </c>
      <c r="F2023" s="41" t="s">
        <v>53</v>
      </c>
      <c r="G2023" s="41" t="s">
        <v>64</v>
      </c>
      <c r="I2023" s="41" t="s">
        <v>1966</v>
      </c>
      <c r="J2023" s="41" t="s">
        <v>672</v>
      </c>
      <c r="K2023" s="42"/>
      <c r="L2023" s="41" t="s">
        <v>6675</v>
      </c>
      <c r="M2023" s="41">
        <v>66</v>
      </c>
      <c r="N2023" s="41" t="s">
        <v>6676</v>
      </c>
      <c r="O2023" s="41" t="s">
        <v>6677</v>
      </c>
      <c r="P2023" s="41" t="s">
        <v>60</v>
      </c>
      <c r="Q2023" s="41" t="s">
        <v>1468</v>
      </c>
      <c r="R2023" s="41" t="s">
        <v>132</v>
      </c>
      <c r="S2023" s="41" t="s">
        <v>40</v>
      </c>
      <c r="T2023" s="41" t="s">
        <v>40</v>
      </c>
      <c r="U2023" s="41" t="s">
        <v>40</v>
      </c>
    </row>
    <row r="2024" spans="1:21">
      <c r="A2024" s="41">
        <v>717</v>
      </c>
      <c r="B2024" s="41" t="s">
        <v>6678</v>
      </c>
      <c r="E2024" s="41" t="s">
        <v>5907</v>
      </c>
      <c r="F2024" s="41" t="s">
        <v>53</v>
      </c>
      <c r="G2024" s="41" t="s">
        <v>1071</v>
      </c>
      <c r="I2024" s="41" t="s">
        <v>1142</v>
      </c>
      <c r="J2024" s="41" t="s">
        <v>672</v>
      </c>
      <c r="K2024" s="42"/>
      <c r="L2024" s="41" t="s">
        <v>6672</v>
      </c>
      <c r="M2024" s="41">
        <v>23</v>
      </c>
      <c r="N2024" s="41" t="s">
        <v>6679</v>
      </c>
      <c r="O2024" s="41" t="s">
        <v>5712</v>
      </c>
      <c r="P2024" s="41" t="s">
        <v>1046</v>
      </c>
      <c r="Q2024" s="41" t="s">
        <v>1903</v>
      </c>
      <c r="R2024" s="41" t="s">
        <v>132</v>
      </c>
      <c r="S2024" s="41" t="s">
        <v>40</v>
      </c>
      <c r="T2024" s="41" t="s">
        <v>40</v>
      </c>
      <c r="U2024" s="41" t="s">
        <v>40</v>
      </c>
    </row>
    <row r="2025" spans="1:21">
      <c r="A2025" s="41">
        <v>716</v>
      </c>
      <c r="B2025" s="41" t="s">
        <v>6680</v>
      </c>
      <c r="E2025" s="41" t="s">
        <v>5907</v>
      </c>
      <c r="F2025" s="41" t="s">
        <v>53</v>
      </c>
      <c r="G2025" s="41" t="s">
        <v>1071</v>
      </c>
      <c r="I2025" s="41" t="s">
        <v>521</v>
      </c>
      <c r="J2025" s="41" t="s">
        <v>672</v>
      </c>
      <c r="K2025" s="42"/>
      <c r="L2025" s="41" t="s">
        <v>6672</v>
      </c>
      <c r="M2025" s="41">
        <v>23</v>
      </c>
      <c r="N2025" s="41" t="s">
        <v>6681</v>
      </c>
      <c r="O2025" s="41" t="s">
        <v>1124</v>
      </c>
      <c r="P2025" s="41" t="s">
        <v>1046</v>
      </c>
      <c r="Q2025" s="41" t="s">
        <v>1903</v>
      </c>
      <c r="R2025" s="41" t="s">
        <v>132</v>
      </c>
      <c r="S2025" s="41" t="s">
        <v>40</v>
      </c>
      <c r="T2025" s="41" t="s">
        <v>40</v>
      </c>
      <c r="U2025" s="41" t="s">
        <v>40</v>
      </c>
    </row>
    <row r="2026" spans="1:21">
      <c r="A2026" s="41">
        <v>715</v>
      </c>
      <c r="B2026" s="41" t="s">
        <v>6682</v>
      </c>
      <c r="E2026" s="41" t="s">
        <v>6683</v>
      </c>
      <c r="F2026" s="41" t="s">
        <v>28</v>
      </c>
      <c r="G2026" s="41" t="s">
        <v>64</v>
      </c>
      <c r="I2026" s="41" t="s">
        <v>6684</v>
      </c>
      <c r="J2026" s="41" t="s">
        <v>295</v>
      </c>
      <c r="K2026" s="42"/>
      <c r="L2026" s="41" t="s">
        <v>6685</v>
      </c>
      <c r="M2026" s="41">
        <v>110</v>
      </c>
      <c r="N2026" s="41" t="s">
        <v>1693</v>
      </c>
      <c r="O2026" s="41" t="s">
        <v>2215</v>
      </c>
      <c r="P2026" s="41" t="s">
        <v>68</v>
      </c>
      <c r="Q2026" s="41" t="s">
        <v>69</v>
      </c>
      <c r="R2026" s="41" t="s">
        <v>39</v>
      </c>
      <c r="S2026" s="41" t="s">
        <v>40</v>
      </c>
      <c r="T2026" s="41" t="s">
        <v>40</v>
      </c>
      <c r="U2026" s="41" t="s">
        <v>40</v>
      </c>
    </row>
    <row r="2027" spans="1:21">
      <c r="A2027" s="41">
        <v>714</v>
      </c>
      <c r="B2027" s="41" t="s">
        <v>6686</v>
      </c>
      <c r="D2027" s="41">
        <v>2263</v>
      </c>
      <c r="E2027" s="41" t="s">
        <v>2495</v>
      </c>
      <c r="F2027" s="41" t="s">
        <v>28</v>
      </c>
      <c r="G2027" s="41" t="s">
        <v>43</v>
      </c>
      <c r="I2027" s="41" t="s">
        <v>6687</v>
      </c>
      <c r="J2027" s="41" t="s">
        <v>295</v>
      </c>
      <c r="K2027" s="42"/>
      <c r="L2027" s="41" t="s">
        <v>6688</v>
      </c>
      <c r="M2027" s="41">
        <v>220</v>
      </c>
      <c r="N2027" s="41" t="s">
        <v>67</v>
      </c>
      <c r="O2027" s="41" t="s">
        <v>6689</v>
      </c>
      <c r="P2027" s="41" t="s">
        <v>98</v>
      </c>
      <c r="Q2027" s="41" t="s">
        <v>99</v>
      </c>
      <c r="R2027" s="41" t="s">
        <v>39</v>
      </c>
      <c r="S2027" s="41" t="s">
        <v>6690</v>
      </c>
      <c r="T2027" s="41" t="s">
        <v>5519</v>
      </c>
      <c r="U2027" s="41" t="s">
        <v>305</v>
      </c>
    </row>
    <row r="2028" spans="1:21">
      <c r="A2028" s="41">
        <v>710</v>
      </c>
      <c r="B2028" s="41" t="s">
        <v>6691</v>
      </c>
      <c r="E2028" s="41" t="s">
        <v>1076</v>
      </c>
      <c r="F2028" s="41" t="s">
        <v>53</v>
      </c>
      <c r="G2028" s="41" t="s">
        <v>64</v>
      </c>
      <c r="I2028" s="41" t="s">
        <v>3645</v>
      </c>
      <c r="J2028" s="41" t="s">
        <v>295</v>
      </c>
      <c r="K2028" s="42"/>
      <c r="L2028" s="41" t="s">
        <v>6692</v>
      </c>
      <c r="M2028" s="41">
        <v>110</v>
      </c>
      <c r="N2028" s="41" t="s">
        <v>67</v>
      </c>
      <c r="O2028" s="41" t="s">
        <v>1473</v>
      </c>
      <c r="P2028" s="41" t="s">
        <v>172</v>
      </c>
      <c r="Q2028" s="41" t="s">
        <v>1803</v>
      </c>
      <c r="R2028" s="41" t="s">
        <v>132</v>
      </c>
      <c r="S2028" s="41" t="s">
        <v>40</v>
      </c>
      <c r="T2028" s="41" t="s">
        <v>40</v>
      </c>
      <c r="U2028" s="41" t="s">
        <v>40</v>
      </c>
    </row>
    <row r="2029" spans="1:21">
      <c r="A2029" s="41">
        <v>709</v>
      </c>
      <c r="B2029" s="41" t="s">
        <v>6693</v>
      </c>
      <c r="E2029" s="41" t="s">
        <v>2405</v>
      </c>
      <c r="F2029" s="41" t="s">
        <v>53</v>
      </c>
      <c r="G2029" s="41" t="s">
        <v>64</v>
      </c>
      <c r="I2029" s="41" t="s">
        <v>464</v>
      </c>
      <c r="J2029" s="41" t="s">
        <v>295</v>
      </c>
      <c r="K2029" s="42"/>
      <c r="L2029" s="41" t="s">
        <v>6694</v>
      </c>
      <c r="M2029" s="41">
        <v>110</v>
      </c>
      <c r="N2029" s="41" t="s">
        <v>67</v>
      </c>
      <c r="O2029" s="41" t="s">
        <v>741</v>
      </c>
      <c r="P2029" s="41" t="s">
        <v>179</v>
      </c>
      <c r="Q2029" s="41" t="s">
        <v>180</v>
      </c>
      <c r="R2029" s="41" t="s">
        <v>132</v>
      </c>
      <c r="S2029" s="41" t="s">
        <v>40</v>
      </c>
      <c r="T2029" s="41" t="s">
        <v>40</v>
      </c>
      <c r="U2029" s="41" t="s">
        <v>40</v>
      </c>
    </row>
    <row r="2030" spans="1:21">
      <c r="A2030" s="41">
        <v>708</v>
      </c>
      <c r="B2030" s="41" t="s">
        <v>6695</v>
      </c>
      <c r="D2030" s="41">
        <v>2295</v>
      </c>
      <c r="E2030" s="41" t="s">
        <v>1617</v>
      </c>
      <c r="F2030" s="41" t="s">
        <v>28</v>
      </c>
      <c r="G2030" s="41" t="s">
        <v>307</v>
      </c>
      <c r="I2030" s="41" t="s">
        <v>194</v>
      </c>
      <c r="J2030" s="41" t="s">
        <v>295</v>
      </c>
      <c r="K2030" s="42"/>
      <c r="L2030" s="41" t="s">
        <v>6696</v>
      </c>
      <c r="M2030" s="41">
        <v>23</v>
      </c>
      <c r="N2030" s="41" t="s">
        <v>67</v>
      </c>
      <c r="O2030" s="41" t="s">
        <v>299</v>
      </c>
      <c r="P2030" s="41" t="s">
        <v>153</v>
      </c>
      <c r="Q2030" s="41" t="s">
        <v>153</v>
      </c>
      <c r="R2030" s="41" t="s">
        <v>39</v>
      </c>
      <c r="S2030" s="41" t="s">
        <v>40</v>
      </c>
      <c r="T2030" s="41" t="s">
        <v>40</v>
      </c>
      <c r="U2030" s="41" t="s">
        <v>40</v>
      </c>
    </row>
    <row r="2031" spans="1:21">
      <c r="A2031" s="41">
        <v>705</v>
      </c>
      <c r="B2031" s="41" t="s">
        <v>6697</v>
      </c>
      <c r="E2031" s="41" t="s">
        <v>2405</v>
      </c>
      <c r="F2031" s="41" t="s">
        <v>28</v>
      </c>
      <c r="G2031" s="41" t="s">
        <v>64</v>
      </c>
      <c r="I2031" s="41" t="s">
        <v>3468</v>
      </c>
      <c r="J2031" s="41" t="s">
        <v>295</v>
      </c>
      <c r="K2031" s="42"/>
      <c r="L2031" s="41" t="s">
        <v>6698</v>
      </c>
      <c r="M2031" s="41">
        <v>110</v>
      </c>
      <c r="N2031" s="41" t="s">
        <v>67</v>
      </c>
      <c r="O2031" s="41" t="s">
        <v>97</v>
      </c>
      <c r="P2031" s="41" t="s">
        <v>179</v>
      </c>
      <c r="Q2031" s="41" t="s">
        <v>557</v>
      </c>
      <c r="R2031" s="41" t="s">
        <v>39</v>
      </c>
      <c r="S2031" s="41" t="s">
        <v>40</v>
      </c>
      <c r="T2031" s="41" t="s">
        <v>40</v>
      </c>
      <c r="U2031" s="41" t="s">
        <v>40</v>
      </c>
    </row>
    <row r="2032" spans="1:21">
      <c r="A2032" s="41">
        <v>704</v>
      </c>
      <c r="B2032" s="41" t="s">
        <v>6699</v>
      </c>
      <c r="D2032" s="41">
        <v>2144</v>
      </c>
      <c r="E2032" s="41" t="s">
        <v>1424</v>
      </c>
      <c r="F2032" s="41" t="s">
        <v>28</v>
      </c>
      <c r="G2032" s="41" t="s">
        <v>301</v>
      </c>
      <c r="I2032" s="41" t="s">
        <v>464</v>
      </c>
      <c r="J2032" s="41" t="s">
        <v>672</v>
      </c>
      <c r="K2032" s="42"/>
      <c r="L2032" s="41" t="s">
        <v>6700</v>
      </c>
      <c r="M2032" s="41">
        <v>220</v>
      </c>
      <c r="N2032" s="41" t="s">
        <v>395</v>
      </c>
      <c r="O2032" s="41" t="s">
        <v>6701</v>
      </c>
      <c r="P2032" s="41" t="s">
        <v>50</v>
      </c>
      <c r="Q2032" s="41" t="s">
        <v>1499</v>
      </c>
      <c r="R2032" s="41" t="s">
        <v>39</v>
      </c>
      <c r="S2032" s="41" t="s">
        <v>40</v>
      </c>
      <c r="T2032" s="41" t="s">
        <v>509</v>
      </c>
      <c r="U2032" s="41" t="s">
        <v>40</v>
      </c>
    </row>
    <row r="2033" spans="1:21">
      <c r="A2033" s="41">
        <v>698</v>
      </c>
      <c r="B2033" s="41" t="s">
        <v>5827</v>
      </c>
      <c r="E2033" s="41" t="s">
        <v>1136</v>
      </c>
      <c r="F2033" s="41" t="s">
        <v>53</v>
      </c>
      <c r="G2033" s="41" t="s">
        <v>64</v>
      </c>
      <c r="I2033" s="41" t="s">
        <v>458</v>
      </c>
      <c r="J2033" s="41" t="s">
        <v>295</v>
      </c>
      <c r="K2033" s="42"/>
      <c r="L2033" s="41" t="s">
        <v>1138</v>
      </c>
      <c r="M2033" s="41">
        <v>110</v>
      </c>
      <c r="N2033" s="41" t="s">
        <v>1908</v>
      </c>
      <c r="O2033" s="41" t="s">
        <v>1473</v>
      </c>
      <c r="P2033" s="41" t="s">
        <v>78</v>
      </c>
      <c r="Q2033" s="41" t="s">
        <v>1139</v>
      </c>
      <c r="R2033" s="41" t="s">
        <v>132</v>
      </c>
      <c r="S2033" s="41" t="s">
        <v>40</v>
      </c>
      <c r="T2033" s="41" t="s">
        <v>40</v>
      </c>
      <c r="U2033" s="41" t="s">
        <v>40</v>
      </c>
    </row>
    <row r="2034" spans="1:21">
      <c r="A2034" s="41">
        <v>697</v>
      </c>
      <c r="B2034" s="41" t="s">
        <v>6702</v>
      </c>
      <c r="E2034" s="41" t="s">
        <v>6536</v>
      </c>
      <c r="F2034" s="41" t="s">
        <v>53</v>
      </c>
      <c r="G2034" s="41" t="s">
        <v>43</v>
      </c>
      <c r="I2034" s="41" t="s">
        <v>194</v>
      </c>
      <c r="J2034" s="41" t="s">
        <v>295</v>
      </c>
      <c r="K2034" s="42"/>
      <c r="L2034" s="41" t="s">
        <v>6703</v>
      </c>
      <c r="M2034" s="41">
        <v>220</v>
      </c>
      <c r="N2034" s="41" t="s">
        <v>1020</v>
      </c>
      <c r="O2034" s="41" t="s">
        <v>2275</v>
      </c>
      <c r="P2034" s="41" t="s">
        <v>334</v>
      </c>
      <c r="Q2034" s="41" t="s">
        <v>2962</v>
      </c>
      <c r="R2034" s="41" t="s">
        <v>132</v>
      </c>
      <c r="S2034" s="41" t="s">
        <v>40</v>
      </c>
      <c r="T2034" s="41" t="s">
        <v>40</v>
      </c>
      <c r="U2034" s="41" t="s">
        <v>40</v>
      </c>
    </row>
    <row r="2035" spans="1:21">
      <c r="A2035" s="41">
        <v>695</v>
      </c>
      <c r="B2035" s="41" t="s">
        <v>4704</v>
      </c>
      <c r="D2035" s="41">
        <v>2332</v>
      </c>
      <c r="E2035" s="41" t="s">
        <v>1395</v>
      </c>
      <c r="F2035" s="41" t="s">
        <v>28</v>
      </c>
      <c r="G2035" s="41" t="s">
        <v>43</v>
      </c>
      <c r="I2035" s="41" t="s">
        <v>6687</v>
      </c>
      <c r="J2035" s="41" t="s">
        <v>295</v>
      </c>
      <c r="K2035" s="42"/>
      <c r="L2035" s="41" t="s">
        <v>6704</v>
      </c>
      <c r="M2035" s="41">
        <v>220</v>
      </c>
      <c r="N2035" s="41" t="s">
        <v>6705</v>
      </c>
      <c r="O2035" s="41" t="s">
        <v>36</v>
      </c>
      <c r="P2035" s="41" t="s">
        <v>68</v>
      </c>
      <c r="Q2035" s="41" t="s">
        <v>69</v>
      </c>
      <c r="R2035" s="41" t="s">
        <v>39</v>
      </c>
      <c r="S2035" s="41" t="s">
        <v>40</v>
      </c>
      <c r="T2035" s="41" t="s">
        <v>40</v>
      </c>
      <c r="U2035" s="41" t="s">
        <v>40</v>
      </c>
    </row>
    <row r="2036" spans="1:21">
      <c r="A2036" s="41">
        <v>694</v>
      </c>
      <c r="B2036" s="41" t="s">
        <v>6706</v>
      </c>
      <c r="E2036" s="41" t="s">
        <v>1136</v>
      </c>
      <c r="F2036" s="41" t="s">
        <v>28</v>
      </c>
      <c r="G2036" s="41" t="s">
        <v>64</v>
      </c>
      <c r="I2036" s="41" t="s">
        <v>31</v>
      </c>
      <c r="J2036" s="41" t="s">
        <v>380</v>
      </c>
      <c r="K2036" s="42"/>
      <c r="L2036" s="41" t="s">
        <v>6646</v>
      </c>
      <c r="M2036" s="41">
        <v>220</v>
      </c>
      <c r="N2036" s="41" t="s">
        <v>962</v>
      </c>
      <c r="O2036" s="41" t="s">
        <v>1525</v>
      </c>
      <c r="P2036" s="41" t="s">
        <v>98</v>
      </c>
      <c r="Q2036" s="41" t="s">
        <v>569</v>
      </c>
      <c r="R2036" s="41" t="s">
        <v>39</v>
      </c>
      <c r="S2036" s="41" t="s">
        <v>40</v>
      </c>
      <c r="T2036" s="41" t="s">
        <v>40</v>
      </c>
      <c r="U2036" s="41" t="s">
        <v>40</v>
      </c>
    </row>
    <row r="2037" spans="1:21">
      <c r="A2037" s="41">
        <v>693</v>
      </c>
      <c r="B2037" s="41" t="s">
        <v>6707</v>
      </c>
      <c r="E2037" s="41" t="s">
        <v>2446</v>
      </c>
      <c r="F2037" s="41" t="s">
        <v>28</v>
      </c>
      <c r="G2037" s="41" t="s">
        <v>64</v>
      </c>
      <c r="I2037" s="41" t="s">
        <v>1168</v>
      </c>
      <c r="J2037" s="41" t="s">
        <v>380</v>
      </c>
      <c r="K2037" s="42"/>
      <c r="L2037" s="41" t="s">
        <v>6708</v>
      </c>
      <c r="M2037" s="41">
        <v>220</v>
      </c>
      <c r="N2037" s="41" t="s">
        <v>805</v>
      </c>
      <c r="O2037" s="41" t="s">
        <v>741</v>
      </c>
      <c r="P2037" s="41" t="s">
        <v>37</v>
      </c>
      <c r="Q2037" s="41" t="s">
        <v>5060</v>
      </c>
      <c r="R2037" s="41" t="s">
        <v>39</v>
      </c>
      <c r="S2037" s="41" t="s">
        <v>40</v>
      </c>
      <c r="T2037" s="41" t="s">
        <v>40</v>
      </c>
      <c r="U2037" s="41" t="s">
        <v>40</v>
      </c>
    </row>
    <row r="2038" spans="1:21">
      <c r="A2038" s="41">
        <v>692</v>
      </c>
      <c r="B2038" s="41" t="s">
        <v>6709</v>
      </c>
      <c r="D2038" s="41">
        <v>2317</v>
      </c>
      <c r="E2038" s="41" t="s">
        <v>3236</v>
      </c>
      <c r="F2038" s="41" t="s">
        <v>53</v>
      </c>
      <c r="G2038" s="41" t="s">
        <v>307</v>
      </c>
      <c r="I2038" s="41" t="s">
        <v>194</v>
      </c>
      <c r="J2038" s="41" t="s">
        <v>295</v>
      </c>
      <c r="K2038" s="42"/>
      <c r="L2038" s="41" t="s">
        <v>5227</v>
      </c>
      <c r="M2038" s="41">
        <v>13</v>
      </c>
      <c r="N2038" s="41" t="s">
        <v>1980</v>
      </c>
      <c r="O2038" s="41" t="s">
        <v>663</v>
      </c>
      <c r="P2038" s="41" t="s">
        <v>546</v>
      </c>
      <c r="Q2038" s="41" t="s">
        <v>2100</v>
      </c>
      <c r="R2038" s="41" t="s">
        <v>132</v>
      </c>
      <c r="S2038" s="41" t="s">
        <v>6710</v>
      </c>
      <c r="T2038" s="41" t="s">
        <v>40</v>
      </c>
      <c r="U2038" s="41" t="s">
        <v>40</v>
      </c>
    </row>
    <row r="2039" spans="1:21">
      <c r="A2039" s="41">
        <v>691</v>
      </c>
      <c r="B2039" s="41" t="s">
        <v>6711</v>
      </c>
      <c r="D2039" s="41">
        <v>2333</v>
      </c>
      <c r="E2039" s="41" t="s">
        <v>2426</v>
      </c>
      <c r="F2039" s="41" t="s">
        <v>28</v>
      </c>
      <c r="G2039" s="41" t="s">
        <v>64</v>
      </c>
      <c r="I2039" s="41" t="s">
        <v>966</v>
      </c>
      <c r="J2039" s="41" t="s">
        <v>295</v>
      </c>
      <c r="K2039" s="42"/>
      <c r="L2039" s="41" t="s">
        <v>6712</v>
      </c>
      <c r="M2039" s="41">
        <v>66</v>
      </c>
      <c r="N2039" s="41" t="s">
        <v>67</v>
      </c>
      <c r="O2039" s="41" t="s">
        <v>1489</v>
      </c>
      <c r="P2039" s="41" t="s">
        <v>334</v>
      </c>
      <c r="Q2039" s="41" t="s">
        <v>423</v>
      </c>
      <c r="R2039" s="41" t="s">
        <v>39</v>
      </c>
      <c r="S2039" s="41" t="s">
        <v>40</v>
      </c>
      <c r="T2039" s="41" t="s">
        <v>40</v>
      </c>
      <c r="U2039" s="41" t="s">
        <v>40</v>
      </c>
    </row>
    <row r="2040" spans="1:21">
      <c r="A2040" s="41">
        <v>687</v>
      </c>
      <c r="B2040" s="41" t="s">
        <v>6713</v>
      </c>
      <c r="E2040" s="41" t="s">
        <v>6576</v>
      </c>
      <c r="F2040" s="41" t="s">
        <v>53</v>
      </c>
      <c r="G2040" s="41" t="s">
        <v>64</v>
      </c>
      <c r="I2040" s="41" t="s">
        <v>6714</v>
      </c>
      <c r="J2040" s="41" t="s">
        <v>295</v>
      </c>
      <c r="K2040" s="42"/>
      <c r="L2040" s="41" t="s">
        <v>3314</v>
      </c>
      <c r="M2040" s="41">
        <v>220</v>
      </c>
      <c r="N2040" s="41" t="s">
        <v>1052</v>
      </c>
      <c r="O2040" s="41" t="s">
        <v>36</v>
      </c>
      <c r="P2040" s="41" t="s">
        <v>172</v>
      </c>
      <c r="Q2040" s="41" t="s">
        <v>4030</v>
      </c>
      <c r="R2040" s="41" t="s">
        <v>62</v>
      </c>
      <c r="S2040" s="41" t="s">
        <v>40</v>
      </c>
      <c r="T2040" s="41" t="s">
        <v>40</v>
      </c>
      <c r="U2040" s="41" t="s">
        <v>40</v>
      </c>
    </row>
    <row r="2041" spans="1:21">
      <c r="A2041" s="41">
        <v>686</v>
      </c>
      <c r="B2041" s="41" t="s">
        <v>6715</v>
      </c>
      <c r="D2041" s="41">
        <v>2197</v>
      </c>
      <c r="E2041" s="41" t="s">
        <v>6716</v>
      </c>
      <c r="F2041" s="41" t="s">
        <v>53</v>
      </c>
      <c r="G2041" s="41" t="s">
        <v>64</v>
      </c>
      <c r="I2041" s="41" t="s">
        <v>6717</v>
      </c>
      <c r="J2041" s="41" t="s">
        <v>380</v>
      </c>
      <c r="K2041" s="42"/>
      <c r="L2041" s="41" t="s">
        <v>6718</v>
      </c>
      <c r="M2041" s="41">
        <v>220</v>
      </c>
      <c r="N2041" s="41" t="s">
        <v>1052</v>
      </c>
      <c r="O2041" s="41" t="s">
        <v>6719</v>
      </c>
      <c r="P2041" s="41" t="s">
        <v>83</v>
      </c>
      <c r="Q2041" s="41" t="s">
        <v>2000</v>
      </c>
      <c r="R2041" s="41" t="s">
        <v>62</v>
      </c>
      <c r="S2041" s="41" t="s">
        <v>40</v>
      </c>
      <c r="T2041" s="41" t="s">
        <v>40</v>
      </c>
      <c r="U2041" s="41" t="s">
        <v>40</v>
      </c>
    </row>
    <row r="2042" spans="1:21">
      <c r="A2042" s="41">
        <v>685</v>
      </c>
      <c r="B2042" s="41" t="s">
        <v>6715</v>
      </c>
      <c r="E2042" s="41" t="s">
        <v>6580</v>
      </c>
      <c r="F2042" s="41" t="s">
        <v>53</v>
      </c>
      <c r="G2042" s="41" t="s">
        <v>43</v>
      </c>
      <c r="I2042" s="41" t="s">
        <v>6717</v>
      </c>
      <c r="J2042" s="41" t="s">
        <v>380</v>
      </c>
      <c r="K2042" s="42"/>
      <c r="L2042" s="41" t="s">
        <v>6718</v>
      </c>
      <c r="M2042" s="41">
        <v>220</v>
      </c>
      <c r="N2042" s="41" t="s">
        <v>6720</v>
      </c>
      <c r="O2042" s="41" t="s">
        <v>6721</v>
      </c>
      <c r="P2042" s="41" t="s">
        <v>83</v>
      </c>
      <c r="Q2042" s="41" t="s">
        <v>2000</v>
      </c>
      <c r="R2042" s="41" t="s">
        <v>62</v>
      </c>
      <c r="S2042" s="41" t="s">
        <v>40</v>
      </c>
      <c r="T2042" s="41" t="s">
        <v>40</v>
      </c>
      <c r="U2042" s="41" t="s">
        <v>40</v>
      </c>
    </row>
    <row r="2043" spans="1:21">
      <c r="A2043" s="41">
        <v>684</v>
      </c>
      <c r="B2043" s="41" t="s">
        <v>4834</v>
      </c>
      <c r="E2043" s="41" t="s">
        <v>6722</v>
      </c>
      <c r="F2043" s="41" t="s">
        <v>53</v>
      </c>
      <c r="G2043" s="41" t="s">
        <v>64</v>
      </c>
      <c r="I2043" s="41" t="s">
        <v>4836</v>
      </c>
      <c r="J2043" s="41" t="s">
        <v>1906</v>
      </c>
      <c r="K2043" s="42"/>
      <c r="L2043" s="41" t="s">
        <v>5004</v>
      </c>
      <c r="M2043" s="41">
        <v>220</v>
      </c>
      <c r="N2043" s="41" t="s">
        <v>2432</v>
      </c>
      <c r="O2043" s="41" t="s">
        <v>396</v>
      </c>
      <c r="P2043" s="41" t="s">
        <v>37</v>
      </c>
      <c r="Q2043" s="41" t="s">
        <v>1661</v>
      </c>
      <c r="R2043" s="41" t="s">
        <v>62</v>
      </c>
      <c r="S2043" s="41" t="s">
        <v>40</v>
      </c>
      <c r="T2043" s="41" t="s">
        <v>40</v>
      </c>
      <c r="U2043" s="41" t="s">
        <v>40</v>
      </c>
    </row>
    <row r="2044" spans="1:21">
      <c r="A2044" s="41">
        <v>683</v>
      </c>
      <c r="B2044" s="41" t="s">
        <v>6723</v>
      </c>
      <c r="E2044" s="41" t="s">
        <v>5340</v>
      </c>
      <c r="F2044" s="41" t="s">
        <v>28</v>
      </c>
      <c r="G2044" s="41" t="s">
        <v>43</v>
      </c>
      <c r="I2044" s="41" t="s">
        <v>194</v>
      </c>
      <c r="J2044" s="41" t="s">
        <v>295</v>
      </c>
      <c r="K2044" s="42"/>
      <c r="L2044" s="41" t="s">
        <v>6724</v>
      </c>
      <c r="M2044" s="41">
        <v>12</v>
      </c>
      <c r="N2044" s="41" t="s">
        <v>5145</v>
      </c>
      <c r="O2044" s="41" t="s">
        <v>2498</v>
      </c>
      <c r="P2044" s="41" t="s">
        <v>78</v>
      </c>
      <c r="Q2044" s="41" t="s">
        <v>2407</v>
      </c>
      <c r="R2044" s="41" t="s">
        <v>39</v>
      </c>
      <c r="S2044" s="41" t="s">
        <v>40</v>
      </c>
      <c r="T2044" s="41" t="s">
        <v>40</v>
      </c>
      <c r="U2044" s="41" t="s">
        <v>40</v>
      </c>
    </row>
    <row r="2045" spans="1:21">
      <c r="A2045" s="41">
        <v>682</v>
      </c>
      <c r="B2045" s="41" t="s">
        <v>6725</v>
      </c>
      <c r="E2045" s="41" t="s">
        <v>1882</v>
      </c>
      <c r="F2045" s="41" t="s">
        <v>53</v>
      </c>
      <c r="G2045" s="41" t="s">
        <v>54</v>
      </c>
      <c r="I2045" s="41" t="s">
        <v>194</v>
      </c>
      <c r="J2045" s="41" t="s">
        <v>295</v>
      </c>
      <c r="K2045" s="42"/>
      <c r="L2045" s="41" t="s">
        <v>6726</v>
      </c>
      <c r="M2045" s="41">
        <v>12</v>
      </c>
      <c r="N2045" s="41" t="s">
        <v>1020</v>
      </c>
      <c r="O2045" s="41" t="s">
        <v>2085</v>
      </c>
      <c r="P2045" s="41" t="s">
        <v>78</v>
      </c>
      <c r="Q2045" s="41" t="s">
        <v>483</v>
      </c>
      <c r="R2045" s="41" t="s">
        <v>132</v>
      </c>
      <c r="S2045" s="41" t="s">
        <v>40</v>
      </c>
      <c r="T2045" s="41" t="s">
        <v>40</v>
      </c>
      <c r="U2045" s="41" t="s">
        <v>40</v>
      </c>
    </row>
    <row r="2046" spans="1:21">
      <c r="A2046" s="41">
        <v>681</v>
      </c>
      <c r="B2046" s="41" t="s">
        <v>6727</v>
      </c>
      <c r="D2046" s="41">
        <v>2433</v>
      </c>
      <c r="E2046" s="41" t="s">
        <v>1882</v>
      </c>
      <c r="F2046" s="41" t="s">
        <v>53</v>
      </c>
      <c r="G2046" s="41" t="s">
        <v>54</v>
      </c>
      <c r="I2046" s="41" t="s">
        <v>194</v>
      </c>
      <c r="J2046" s="41" t="s">
        <v>295</v>
      </c>
      <c r="K2046" s="42"/>
      <c r="L2046" s="41" t="s">
        <v>6728</v>
      </c>
      <c r="M2046" s="41">
        <v>12</v>
      </c>
      <c r="N2046" s="41" t="s">
        <v>1020</v>
      </c>
      <c r="O2046" s="41" t="s">
        <v>1095</v>
      </c>
      <c r="P2046" s="41" t="s">
        <v>78</v>
      </c>
      <c r="Q2046" s="41" t="s">
        <v>483</v>
      </c>
      <c r="R2046" s="41" t="s">
        <v>132</v>
      </c>
      <c r="S2046" s="41" t="s">
        <v>40</v>
      </c>
      <c r="T2046" s="41" t="s">
        <v>40</v>
      </c>
      <c r="U2046" s="41" t="s">
        <v>40</v>
      </c>
    </row>
    <row r="2047" spans="1:21">
      <c r="A2047" s="41">
        <v>1025</v>
      </c>
      <c r="B2047" s="41" t="s">
        <v>6729</v>
      </c>
      <c r="D2047" s="41">
        <v>2310</v>
      </c>
      <c r="E2047" s="41" t="s">
        <v>6730</v>
      </c>
      <c r="F2047" s="41" t="s">
        <v>28</v>
      </c>
      <c r="G2047" s="41" t="s">
        <v>307</v>
      </c>
      <c r="I2047" s="41" t="s">
        <v>194</v>
      </c>
      <c r="J2047" s="41" t="s">
        <v>295</v>
      </c>
      <c r="K2047" s="42"/>
      <c r="L2047" s="41" t="s">
        <v>4074</v>
      </c>
      <c r="M2047" s="41">
        <v>23</v>
      </c>
      <c r="N2047" s="41" t="s">
        <v>290</v>
      </c>
      <c r="O2047" s="41" t="s">
        <v>6731</v>
      </c>
      <c r="P2047" s="41" t="s">
        <v>179</v>
      </c>
      <c r="Q2047" s="41" t="s">
        <v>180</v>
      </c>
      <c r="R2047" s="41" t="s">
        <v>39</v>
      </c>
      <c r="S2047" s="41" t="s">
        <v>40</v>
      </c>
      <c r="T2047" s="41" t="s">
        <v>40</v>
      </c>
      <c r="U2047" s="41" t="s">
        <v>40</v>
      </c>
    </row>
    <row r="2048" spans="1:21">
      <c r="A2048" s="41">
        <v>680</v>
      </c>
      <c r="B2048" s="41" t="s">
        <v>6732</v>
      </c>
      <c r="E2048" s="41" t="s">
        <v>6332</v>
      </c>
      <c r="F2048" s="41" t="s">
        <v>28</v>
      </c>
      <c r="G2048" s="41" t="s">
        <v>64</v>
      </c>
      <c r="I2048" s="41" t="s">
        <v>194</v>
      </c>
      <c r="J2048" s="41" t="s">
        <v>295</v>
      </c>
      <c r="K2048" s="42"/>
      <c r="L2048" s="41" t="s">
        <v>6733</v>
      </c>
      <c r="M2048" s="41">
        <v>66</v>
      </c>
      <c r="N2048" s="41" t="s">
        <v>395</v>
      </c>
      <c r="O2048" s="41" t="s">
        <v>388</v>
      </c>
      <c r="P2048" s="41" t="s">
        <v>60</v>
      </c>
      <c r="Q2048" s="41" t="s">
        <v>1344</v>
      </c>
      <c r="R2048" s="41" t="s">
        <v>39</v>
      </c>
      <c r="S2048" s="41" t="s">
        <v>40</v>
      </c>
      <c r="T2048" s="41" t="s">
        <v>40</v>
      </c>
      <c r="U2048" s="41" t="s">
        <v>40</v>
      </c>
    </row>
    <row r="2049" spans="1:21">
      <c r="A2049" s="41">
        <v>679</v>
      </c>
      <c r="B2049" s="41" t="s">
        <v>6734</v>
      </c>
      <c r="D2049" s="41">
        <v>2342</v>
      </c>
      <c r="E2049" s="41" t="s">
        <v>1836</v>
      </c>
      <c r="F2049" s="41" t="s">
        <v>28</v>
      </c>
      <c r="G2049" s="41" t="s">
        <v>43</v>
      </c>
      <c r="I2049" s="41" t="s">
        <v>325</v>
      </c>
      <c r="J2049" s="41" t="s">
        <v>295</v>
      </c>
      <c r="K2049" s="42"/>
      <c r="L2049" s="41" t="s">
        <v>6735</v>
      </c>
      <c r="M2049" s="41">
        <v>220</v>
      </c>
      <c r="N2049" s="41" t="s">
        <v>6736</v>
      </c>
      <c r="O2049" s="41" t="s">
        <v>6737</v>
      </c>
      <c r="P2049" s="41" t="s">
        <v>50</v>
      </c>
      <c r="Q2049" s="41" t="s">
        <v>1499</v>
      </c>
      <c r="R2049" s="41" t="s">
        <v>39</v>
      </c>
      <c r="S2049" s="41" t="s">
        <v>6738</v>
      </c>
      <c r="T2049" s="41" t="s">
        <v>5087</v>
      </c>
      <c r="U2049" s="41" t="s">
        <v>40</v>
      </c>
    </row>
    <row r="2050" spans="1:21">
      <c r="A2050" s="41">
        <v>678</v>
      </c>
      <c r="B2050" s="41" t="s">
        <v>6739</v>
      </c>
      <c r="D2050" s="41">
        <v>2187</v>
      </c>
      <c r="E2050" s="41" t="s">
        <v>6293</v>
      </c>
      <c r="F2050" s="41" t="s">
        <v>53</v>
      </c>
      <c r="G2050" s="41" t="s">
        <v>1071</v>
      </c>
      <c r="I2050" s="41" t="s">
        <v>1249</v>
      </c>
      <c r="J2050" s="41" t="s">
        <v>672</v>
      </c>
      <c r="K2050" s="42"/>
      <c r="L2050" s="41" t="s">
        <v>6740</v>
      </c>
      <c r="M2050" s="41">
        <v>110</v>
      </c>
      <c r="N2050" s="41" t="s">
        <v>2133</v>
      </c>
      <c r="O2050" s="41" t="s">
        <v>6741</v>
      </c>
      <c r="P2050" s="41" t="s">
        <v>78</v>
      </c>
      <c r="Q2050" s="41" t="s">
        <v>1274</v>
      </c>
      <c r="R2050" s="41" t="s">
        <v>132</v>
      </c>
      <c r="S2050" s="41" t="s">
        <v>40</v>
      </c>
      <c r="T2050" s="41" t="s">
        <v>40</v>
      </c>
      <c r="U2050" s="41" t="s">
        <v>40</v>
      </c>
    </row>
    <row r="2051" spans="1:21">
      <c r="A2051" s="41">
        <v>677</v>
      </c>
      <c r="B2051" s="41" t="s">
        <v>6742</v>
      </c>
      <c r="D2051" s="41">
        <v>2186</v>
      </c>
      <c r="E2051" s="41" t="s">
        <v>6293</v>
      </c>
      <c r="F2051" s="41" t="s">
        <v>53</v>
      </c>
      <c r="G2051" s="41" t="s">
        <v>1071</v>
      </c>
      <c r="I2051" s="41" t="s">
        <v>1454</v>
      </c>
      <c r="J2051" s="41" t="s">
        <v>672</v>
      </c>
      <c r="K2051" s="42"/>
      <c r="L2051" s="41" t="s">
        <v>6740</v>
      </c>
      <c r="M2051" s="41">
        <v>110</v>
      </c>
      <c r="N2051" s="41" t="s">
        <v>2133</v>
      </c>
      <c r="O2051" s="41" t="s">
        <v>6743</v>
      </c>
      <c r="P2051" s="41" t="s">
        <v>78</v>
      </c>
      <c r="Q2051" s="41" t="s">
        <v>1274</v>
      </c>
      <c r="R2051" s="41" t="s">
        <v>132</v>
      </c>
      <c r="S2051" s="41" t="s">
        <v>40</v>
      </c>
      <c r="T2051" s="41" t="s">
        <v>40</v>
      </c>
      <c r="U2051" s="41" t="s">
        <v>40</v>
      </c>
    </row>
    <row r="2052" spans="1:21">
      <c r="A2052" s="41">
        <v>667</v>
      </c>
      <c r="B2052" s="41" t="s">
        <v>6744</v>
      </c>
      <c r="E2052" s="41" t="s">
        <v>1076</v>
      </c>
      <c r="F2052" s="41" t="s">
        <v>53</v>
      </c>
      <c r="G2052" s="41" t="s">
        <v>64</v>
      </c>
      <c r="I2052" s="41" t="s">
        <v>3645</v>
      </c>
      <c r="J2052" s="41" t="s">
        <v>295</v>
      </c>
      <c r="K2052" s="42"/>
      <c r="L2052" s="41" t="s">
        <v>6745</v>
      </c>
      <c r="M2052" s="41">
        <v>110</v>
      </c>
      <c r="N2052" s="41" t="s">
        <v>1869</v>
      </c>
      <c r="O2052" s="41" t="s">
        <v>1473</v>
      </c>
      <c r="P2052" s="41" t="s">
        <v>78</v>
      </c>
      <c r="Q2052" s="41" t="s">
        <v>1295</v>
      </c>
      <c r="R2052" s="41" t="s">
        <v>132</v>
      </c>
      <c r="S2052" s="41" t="s">
        <v>40</v>
      </c>
      <c r="T2052" s="41" t="s">
        <v>40</v>
      </c>
      <c r="U2052" s="41" t="s">
        <v>40</v>
      </c>
    </row>
    <row r="2053" spans="1:21">
      <c r="A2053" s="41">
        <v>666</v>
      </c>
      <c r="B2053" s="41" t="s">
        <v>6746</v>
      </c>
      <c r="E2053" s="41" t="s">
        <v>2426</v>
      </c>
      <c r="F2053" s="41" t="s">
        <v>53</v>
      </c>
      <c r="G2053" s="41" t="s">
        <v>64</v>
      </c>
      <c r="I2053" s="41" t="s">
        <v>966</v>
      </c>
      <c r="J2053" s="41" t="s">
        <v>295</v>
      </c>
      <c r="K2053" s="42"/>
      <c r="L2053" s="41" t="s">
        <v>6747</v>
      </c>
      <c r="M2053" s="41">
        <v>110</v>
      </c>
      <c r="N2053" s="41" t="s">
        <v>67</v>
      </c>
      <c r="O2053" s="41" t="s">
        <v>6748</v>
      </c>
      <c r="P2053" s="41" t="s">
        <v>68</v>
      </c>
      <c r="Q2053" s="41" t="s">
        <v>699</v>
      </c>
      <c r="R2053" s="41" t="s">
        <v>132</v>
      </c>
      <c r="S2053" s="41" t="s">
        <v>40</v>
      </c>
      <c r="T2053" s="41" t="s">
        <v>40</v>
      </c>
      <c r="U2053" s="41" t="s">
        <v>40</v>
      </c>
    </row>
    <row r="2054" spans="1:21">
      <c r="A2054" s="41">
        <v>663</v>
      </c>
      <c r="B2054" s="41" t="s">
        <v>6749</v>
      </c>
      <c r="D2054" s="41">
        <v>2071</v>
      </c>
      <c r="E2054" s="41" t="s">
        <v>1638</v>
      </c>
      <c r="F2054" s="41" t="s">
        <v>53</v>
      </c>
      <c r="G2054" s="41" t="s">
        <v>141</v>
      </c>
      <c r="I2054" s="41" t="s">
        <v>5625</v>
      </c>
      <c r="J2054" s="41" t="s">
        <v>380</v>
      </c>
      <c r="K2054" s="42"/>
      <c r="L2054" s="41" t="s">
        <v>1586</v>
      </c>
      <c r="M2054" s="41">
        <v>220</v>
      </c>
      <c r="N2054" s="41" t="s">
        <v>5484</v>
      </c>
      <c r="O2054" s="41" t="s">
        <v>6750</v>
      </c>
      <c r="P2054" s="41" t="s">
        <v>83</v>
      </c>
      <c r="Q2054" s="41" t="s">
        <v>2000</v>
      </c>
      <c r="R2054" s="41" t="s">
        <v>62</v>
      </c>
      <c r="S2054" s="41" t="s">
        <v>6751</v>
      </c>
      <c r="T2054" s="41" t="s">
        <v>2690</v>
      </c>
      <c r="U2054" s="41" t="s">
        <v>40</v>
      </c>
    </row>
    <row r="2055" spans="1:21">
      <c r="A2055" s="41">
        <v>662</v>
      </c>
      <c r="B2055" s="41" t="s">
        <v>6752</v>
      </c>
      <c r="E2055" s="41" t="s">
        <v>2405</v>
      </c>
      <c r="F2055" s="41" t="s">
        <v>53</v>
      </c>
      <c r="G2055" s="41" t="s">
        <v>64</v>
      </c>
      <c r="I2055" s="41" t="s">
        <v>411</v>
      </c>
      <c r="J2055" s="41" t="s">
        <v>295</v>
      </c>
      <c r="K2055" s="42"/>
      <c r="L2055" s="41" t="s">
        <v>2270</v>
      </c>
      <c r="M2055" s="41">
        <v>66</v>
      </c>
      <c r="N2055" s="41" t="s">
        <v>67</v>
      </c>
      <c r="O2055" s="41" t="s">
        <v>6753</v>
      </c>
      <c r="P2055" s="41" t="s">
        <v>172</v>
      </c>
      <c r="Q2055" s="41" t="s">
        <v>2270</v>
      </c>
      <c r="R2055" s="41" t="s">
        <v>132</v>
      </c>
      <c r="S2055" s="41" t="s">
        <v>40</v>
      </c>
      <c r="T2055" s="41" t="s">
        <v>40</v>
      </c>
      <c r="U2055" s="41" t="s">
        <v>40</v>
      </c>
    </row>
    <row r="2056" spans="1:21">
      <c r="A2056" s="41">
        <v>661</v>
      </c>
      <c r="B2056" s="41" t="s">
        <v>404</v>
      </c>
      <c r="E2056" s="41" t="s">
        <v>27</v>
      </c>
      <c r="F2056" s="41" t="s">
        <v>53</v>
      </c>
      <c r="G2056" s="41" t="s">
        <v>43</v>
      </c>
      <c r="I2056" s="41" t="s">
        <v>406</v>
      </c>
      <c r="J2056" s="41" t="s">
        <v>295</v>
      </c>
      <c r="K2056" s="42"/>
      <c r="L2056" s="41" t="s">
        <v>408</v>
      </c>
      <c r="M2056" s="41">
        <v>110</v>
      </c>
      <c r="N2056" s="41" t="s">
        <v>395</v>
      </c>
      <c r="O2056" s="41" t="s">
        <v>333</v>
      </c>
      <c r="P2056" s="41" t="s">
        <v>153</v>
      </c>
      <c r="Q2056" s="41" t="s">
        <v>329</v>
      </c>
      <c r="R2056" s="41" t="s">
        <v>132</v>
      </c>
      <c r="S2056" s="41" t="s">
        <v>40</v>
      </c>
      <c r="T2056" s="41" t="s">
        <v>40</v>
      </c>
      <c r="U2056" s="41" t="s">
        <v>40</v>
      </c>
    </row>
    <row r="2057" spans="1:21">
      <c r="A2057" s="41">
        <v>660</v>
      </c>
      <c r="B2057" s="41" t="s">
        <v>409</v>
      </c>
      <c r="D2057" s="41">
        <v>2303</v>
      </c>
      <c r="E2057" s="41" t="s">
        <v>27</v>
      </c>
      <c r="F2057" s="41" t="s">
        <v>53</v>
      </c>
      <c r="G2057" s="41" t="s">
        <v>307</v>
      </c>
      <c r="I2057" s="41" t="s">
        <v>411</v>
      </c>
      <c r="J2057" s="41" t="s">
        <v>295</v>
      </c>
      <c r="K2057" s="42"/>
      <c r="L2057" s="41" t="s">
        <v>412</v>
      </c>
      <c r="M2057" s="41">
        <v>66</v>
      </c>
      <c r="N2057" s="41" t="s">
        <v>395</v>
      </c>
      <c r="O2057" s="41" t="s">
        <v>388</v>
      </c>
      <c r="P2057" s="41" t="s">
        <v>60</v>
      </c>
      <c r="Q2057" s="41" t="s">
        <v>413</v>
      </c>
      <c r="R2057" s="41" t="s">
        <v>132</v>
      </c>
      <c r="S2057" s="41" t="s">
        <v>414</v>
      </c>
      <c r="T2057" s="41" t="s">
        <v>415</v>
      </c>
      <c r="U2057" s="41" t="s">
        <v>40</v>
      </c>
    </row>
    <row r="2058" spans="1:21">
      <c r="A2058" s="41">
        <v>656</v>
      </c>
      <c r="B2058" s="41" t="s">
        <v>6754</v>
      </c>
      <c r="E2058" s="41" t="s">
        <v>1076</v>
      </c>
      <c r="F2058" s="41" t="s">
        <v>53</v>
      </c>
      <c r="G2058" s="41" t="s">
        <v>64</v>
      </c>
      <c r="I2058" s="41" t="s">
        <v>6024</v>
      </c>
      <c r="J2058" s="41" t="s">
        <v>295</v>
      </c>
      <c r="K2058" s="42"/>
      <c r="L2058" s="41" t="s">
        <v>6755</v>
      </c>
      <c r="M2058" s="41">
        <v>220</v>
      </c>
      <c r="N2058" s="41" t="s">
        <v>3799</v>
      </c>
      <c r="O2058" s="41" t="s">
        <v>2843</v>
      </c>
      <c r="P2058" s="41" t="s">
        <v>37</v>
      </c>
      <c r="Q2058" s="41" t="s">
        <v>363</v>
      </c>
      <c r="R2058" s="41" t="s">
        <v>62</v>
      </c>
      <c r="S2058" s="41" t="s">
        <v>40</v>
      </c>
      <c r="T2058" s="41" t="s">
        <v>40</v>
      </c>
      <c r="U2058" s="41" t="s">
        <v>40</v>
      </c>
    </row>
    <row r="2059" spans="1:21">
      <c r="A2059" s="41">
        <v>655</v>
      </c>
      <c r="B2059" s="41" t="s">
        <v>6756</v>
      </c>
      <c r="E2059" s="41" t="s">
        <v>2405</v>
      </c>
      <c r="F2059" s="41" t="s">
        <v>53</v>
      </c>
      <c r="G2059" s="41" t="s">
        <v>64</v>
      </c>
      <c r="I2059" s="41" t="s">
        <v>5074</v>
      </c>
      <c r="J2059" s="41" t="s">
        <v>295</v>
      </c>
      <c r="K2059" s="42"/>
      <c r="L2059" s="41" t="s">
        <v>6757</v>
      </c>
      <c r="M2059" s="41">
        <v>66</v>
      </c>
      <c r="N2059" s="41" t="s">
        <v>67</v>
      </c>
      <c r="O2059" s="41" t="s">
        <v>6758</v>
      </c>
      <c r="P2059" s="41" t="s">
        <v>172</v>
      </c>
      <c r="Q2059" s="41" t="s">
        <v>197</v>
      </c>
      <c r="R2059" s="41" t="s">
        <v>132</v>
      </c>
      <c r="S2059" s="41" t="s">
        <v>40</v>
      </c>
      <c r="T2059" s="41" t="s">
        <v>40</v>
      </c>
      <c r="U2059" s="41" t="s">
        <v>40</v>
      </c>
    </row>
    <row r="2060" spans="1:21">
      <c r="A2060" s="41">
        <v>654</v>
      </c>
      <c r="B2060" s="41" t="s">
        <v>6759</v>
      </c>
      <c r="D2060" s="41">
        <v>2300</v>
      </c>
      <c r="E2060" s="41" t="s">
        <v>2405</v>
      </c>
      <c r="F2060" s="41" t="s">
        <v>53</v>
      </c>
      <c r="G2060" s="41" t="s">
        <v>64</v>
      </c>
      <c r="I2060" s="41" t="s">
        <v>960</v>
      </c>
      <c r="J2060" s="41" t="s">
        <v>295</v>
      </c>
      <c r="K2060" s="42"/>
      <c r="L2060" s="41" t="s">
        <v>6072</v>
      </c>
      <c r="M2060" s="41">
        <v>66</v>
      </c>
      <c r="N2060" s="41" t="s">
        <v>67</v>
      </c>
      <c r="O2060" s="41" t="s">
        <v>6760</v>
      </c>
      <c r="P2060" s="41" t="s">
        <v>172</v>
      </c>
      <c r="Q2060" s="41" t="s">
        <v>197</v>
      </c>
      <c r="R2060" s="41" t="s">
        <v>132</v>
      </c>
      <c r="S2060" s="41" t="s">
        <v>40</v>
      </c>
      <c r="T2060" s="41" t="s">
        <v>40</v>
      </c>
      <c r="U2060" s="41" t="s">
        <v>40</v>
      </c>
    </row>
    <row r="2061" spans="1:21">
      <c r="A2061" s="41">
        <v>653</v>
      </c>
      <c r="B2061" s="41" t="s">
        <v>6761</v>
      </c>
      <c r="E2061" s="41" t="s">
        <v>2405</v>
      </c>
      <c r="F2061" s="41" t="s">
        <v>53</v>
      </c>
      <c r="G2061" s="41" t="s">
        <v>64</v>
      </c>
      <c r="I2061" s="41" t="s">
        <v>464</v>
      </c>
      <c r="J2061" s="41" t="s">
        <v>295</v>
      </c>
      <c r="K2061" s="42"/>
      <c r="L2061" s="41" t="s">
        <v>1138</v>
      </c>
      <c r="M2061" s="41">
        <v>110</v>
      </c>
      <c r="N2061" s="41" t="s">
        <v>67</v>
      </c>
      <c r="O2061" s="41" t="s">
        <v>6762</v>
      </c>
      <c r="P2061" s="41" t="s">
        <v>78</v>
      </c>
      <c r="Q2061" s="41" t="s">
        <v>1139</v>
      </c>
      <c r="R2061" s="41" t="s">
        <v>62</v>
      </c>
      <c r="S2061" s="41" t="s">
        <v>40</v>
      </c>
      <c r="T2061" s="41" t="s">
        <v>40</v>
      </c>
      <c r="U2061" s="41" t="s">
        <v>40</v>
      </c>
    </row>
    <row r="2062" spans="1:21">
      <c r="A2062" s="41">
        <v>652</v>
      </c>
      <c r="B2062" s="41" t="s">
        <v>6763</v>
      </c>
      <c r="E2062" s="41" t="s">
        <v>1613</v>
      </c>
      <c r="F2062" s="41" t="s">
        <v>53</v>
      </c>
      <c r="G2062" s="41" t="s">
        <v>64</v>
      </c>
      <c r="I2062" s="41" t="s">
        <v>4790</v>
      </c>
      <c r="J2062" s="41" t="s">
        <v>295</v>
      </c>
      <c r="K2062" s="42"/>
      <c r="L2062" s="41" t="s">
        <v>6764</v>
      </c>
      <c r="M2062" s="41">
        <v>110</v>
      </c>
      <c r="N2062" s="41" t="s">
        <v>6765</v>
      </c>
      <c r="O2062" s="41" t="s">
        <v>741</v>
      </c>
      <c r="P2062" s="41" t="s">
        <v>68</v>
      </c>
      <c r="Q2062" s="41" t="s">
        <v>699</v>
      </c>
      <c r="R2062" s="41" t="s">
        <v>62</v>
      </c>
      <c r="S2062" s="41" t="s">
        <v>40</v>
      </c>
      <c r="T2062" s="41" t="s">
        <v>40</v>
      </c>
      <c r="U2062" s="41" t="s">
        <v>40</v>
      </c>
    </row>
    <row r="2063" spans="1:21">
      <c r="A2063" s="41">
        <v>651</v>
      </c>
      <c r="B2063" s="41" t="s">
        <v>6766</v>
      </c>
      <c r="E2063" s="41" t="s">
        <v>5140</v>
      </c>
      <c r="F2063" s="41" t="s">
        <v>53</v>
      </c>
      <c r="G2063" s="41" t="s">
        <v>64</v>
      </c>
      <c r="I2063" s="41" t="s">
        <v>399</v>
      </c>
      <c r="J2063" s="41" t="s">
        <v>1652</v>
      </c>
      <c r="K2063" s="42"/>
      <c r="L2063" s="41" t="s">
        <v>6767</v>
      </c>
      <c r="M2063" s="41">
        <v>23</v>
      </c>
      <c r="N2063" s="41" t="s">
        <v>395</v>
      </c>
      <c r="O2063" s="41" t="s">
        <v>6768</v>
      </c>
      <c r="P2063" s="41" t="s">
        <v>153</v>
      </c>
      <c r="Q2063" s="41" t="s">
        <v>153</v>
      </c>
      <c r="R2063" s="41" t="s">
        <v>62</v>
      </c>
      <c r="S2063" s="41" t="s">
        <v>40</v>
      </c>
      <c r="T2063" s="41" t="s">
        <v>40</v>
      </c>
      <c r="U2063" s="41" t="s">
        <v>40</v>
      </c>
    </row>
    <row r="2064" spans="1:21">
      <c r="A2064" s="41">
        <v>650</v>
      </c>
      <c r="B2064" s="41" t="s">
        <v>6769</v>
      </c>
      <c r="D2064" s="41">
        <v>2296</v>
      </c>
      <c r="E2064" s="41" t="s">
        <v>1613</v>
      </c>
      <c r="F2064" s="41" t="s">
        <v>53</v>
      </c>
      <c r="G2064" s="41" t="s">
        <v>141</v>
      </c>
      <c r="I2064" s="41" t="s">
        <v>45</v>
      </c>
      <c r="J2064" s="41" t="s">
        <v>32</v>
      </c>
      <c r="K2064" s="42"/>
      <c r="L2064" s="41" t="s">
        <v>4039</v>
      </c>
      <c r="M2064" s="41">
        <v>220</v>
      </c>
      <c r="N2064" s="41" t="s">
        <v>67</v>
      </c>
      <c r="O2064" s="41" t="s">
        <v>201</v>
      </c>
      <c r="P2064" s="41" t="s">
        <v>78</v>
      </c>
      <c r="Q2064" s="41" t="s">
        <v>1065</v>
      </c>
      <c r="R2064" s="41" t="s">
        <v>62</v>
      </c>
      <c r="S2064" s="41" t="s">
        <v>6770</v>
      </c>
      <c r="T2064" s="41" t="s">
        <v>2101</v>
      </c>
      <c r="U2064" s="41" t="s">
        <v>40</v>
      </c>
    </row>
    <row r="2065" spans="1:21">
      <c r="A2065" s="41">
        <v>649</v>
      </c>
      <c r="B2065" s="41" t="s">
        <v>6771</v>
      </c>
      <c r="E2065" s="41" t="s">
        <v>1613</v>
      </c>
      <c r="F2065" s="41" t="s">
        <v>53</v>
      </c>
      <c r="G2065" s="41" t="s">
        <v>43</v>
      </c>
      <c r="I2065" s="41" t="s">
        <v>406</v>
      </c>
      <c r="J2065" s="41" t="s">
        <v>380</v>
      </c>
      <c r="K2065" s="42"/>
      <c r="L2065" s="41" t="s">
        <v>6772</v>
      </c>
      <c r="M2065" s="41">
        <v>220</v>
      </c>
      <c r="N2065" s="41" t="s">
        <v>67</v>
      </c>
      <c r="O2065" s="41" t="s">
        <v>1877</v>
      </c>
      <c r="P2065" s="41" t="s">
        <v>37</v>
      </c>
      <c r="Q2065" s="41" t="s">
        <v>1125</v>
      </c>
      <c r="R2065" s="41" t="s">
        <v>62</v>
      </c>
      <c r="S2065" s="41" t="s">
        <v>40</v>
      </c>
      <c r="T2065" s="41" t="s">
        <v>40</v>
      </c>
      <c r="U2065" s="41" t="s">
        <v>40</v>
      </c>
    </row>
    <row r="2066" spans="1:21">
      <c r="A2066" s="41">
        <v>648</v>
      </c>
      <c r="B2066" s="41" t="s">
        <v>6773</v>
      </c>
      <c r="D2066" s="41">
        <v>2294</v>
      </c>
      <c r="E2066" s="41" t="s">
        <v>6774</v>
      </c>
      <c r="F2066" s="41" t="s">
        <v>53</v>
      </c>
      <c r="G2066" s="41" t="s">
        <v>64</v>
      </c>
      <c r="I2066" s="41" t="s">
        <v>194</v>
      </c>
      <c r="J2066" s="41" t="s">
        <v>295</v>
      </c>
      <c r="K2066" s="42"/>
      <c r="L2066" s="41" t="s">
        <v>6775</v>
      </c>
      <c r="M2066" s="41">
        <v>23</v>
      </c>
      <c r="N2066" s="41" t="s">
        <v>67</v>
      </c>
      <c r="O2066" s="41" t="s">
        <v>565</v>
      </c>
      <c r="P2066" s="41" t="s">
        <v>68</v>
      </c>
      <c r="Q2066" s="41" t="s">
        <v>69</v>
      </c>
      <c r="R2066" s="41" t="s">
        <v>132</v>
      </c>
      <c r="S2066" s="41" t="s">
        <v>40</v>
      </c>
      <c r="T2066" s="41" t="s">
        <v>40</v>
      </c>
      <c r="U2066" s="41" t="s">
        <v>40</v>
      </c>
    </row>
    <row r="2067" spans="1:21">
      <c r="A2067" s="41">
        <v>647</v>
      </c>
      <c r="B2067" s="41" t="s">
        <v>6776</v>
      </c>
      <c r="E2067" s="41" t="s">
        <v>5340</v>
      </c>
      <c r="F2067" s="41" t="s">
        <v>53</v>
      </c>
      <c r="G2067" s="41" t="s">
        <v>43</v>
      </c>
      <c r="I2067" s="41" t="s">
        <v>399</v>
      </c>
      <c r="J2067" s="41" t="s">
        <v>295</v>
      </c>
      <c r="K2067" s="42"/>
      <c r="L2067" s="41" t="s">
        <v>6777</v>
      </c>
      <c r="M2067" s="41">
        <v>44</v>
      </c>
      <c r="N2067" s="41" t="s">
        <v>1693</v>
      </c>
      <c r="O2067" s="41" t="s">
        <v>2498</v>
      </c>
      <c r="P2067" s="41" t="s">
        <v>68</v>
      </c>
      <c r="Q2067" s="41" t="s">
        <v>403</v>
      </c>
      <c r="R2067" s="41" t="s">
        <v>132</v>
      </c>
      <c r="S2067" s="41" t="s">
        <v>40</v>
      </c>
      <c r="T2067" s="41" t="s">
        <v>40</v>
      </c>
      <c r="U2067" s="41" t="s">
        <v>40</v>
      </c>
    </row>
    <row r="2068" spans="1:21">
      <c r="A2068" s="41">
        <v>646</v>
      </c>
      <c r="B2068" s="41" t="s">
        <v>6778</v>
      </c>
      <c r="E2068" s="41" t="s">
        <v>1076</v>
      </c>
      <c r="F2068" s="41" t="s">
        <v>53</v>
      </c>
      <c r="G2068" s="41" t="s">
        <v>64</v>
      </c>
      <c r="I2068" s="41" t="s">
        <v>3645</v>
      </c>
      <c r="J2068" s="41" t="s">
        <v>295</v>
      </c>
      <c r="K2068" s="42"/>
      <c r="L2068" s="41" t="s">
        <v>6779</v>
      </c>
      <c r="M2068" s="41">
        <v>154</v>
      </c>
      <c r="N2068" s="41" t="s">
        <v>1623</v>
      </c>
      <c r="O2068" s="41" t="s">
        <v>3694</v>
      </c>
      <c r="P2068" s="41" t="s">
        <v>172</v>
      </c>
      <c r="Q2068" s="41" t="s">
        <v>6780</v>
      </c>
      <c r="R2068" s="41" t="s">
        <v>132</v>
      </c>
      <c r="S2068" s="41" t="s">
        <v>40</v>
      </c>
      <c r="T2068" s="41" t="s">
        <v>40</v>
      </c>
      <c r="U2068" s="41" t="s">
        <v>40</v>
      </c>
    </row>
    <row r="2069" spans="1:21">
      <c r="A2069" s="41">
        <v>643</v>
      </c>
      <c r="B2069" s="41" t="s">
        <v>6781</v>
      </c>
      <c r="E2069" s="41" t="s">
        <v>2405</v>
      </c>
      <c r="F2069" s="41" t="s">
        <v>53</v>
      </c>
      <c r="G2069" s="41" t="s">
        <v>64</v>
      </c>
      <c r="I2069" s="41" t="s">
        <v>464</v>
      </c>
      <c r="J2069" s="41" t="s">
        <v>295</v>
      </c>
      <c r="K2069" s="42"/>
      <c r="L2069" s="41" t="s">
        <v>6782</v>
      </c>
      <c r="M2069" s="41">
        <v>110</v>
      </c>
      <c r="N2069" s="41" t="s">
        <v>67</v>
      </c>
      <c r="O2069" s="41" t="s">
        <v>6783</v>
      </c>
      <c r="P2069" s="41" t="s">
        <v>153</v>
      </c>
      <c r="Q2069" s="41" t="s">
        <v>1567</v>
      </c>
      <c r="R2069" s="41" t="s">
        <v>62</v>
      </c>
      <c r="S2069" s="41" t="s">
        <v>40</v>
      </c>
      <c r="T2069" s="41" t="s">
        <v>40</v>
      </c>
      <c r="U2069" s="41" t="s">
        <v>40</v>
      </c>
    </row>
    <row r="2070" spans="1:21">
      <c r="A2070" s="41">
        <v>642</v>
      </c>
      <c r="B2070" s="41" t="s">
        <v>6784</v>
      </c>
      <c r="E2070" s="41" t="s">
        <v>1613</v>
      </c>
      <c r="F2070" s="41" t="s">
        <v>53</v>
      </c>
      <c r="G2070" s="41" t="s">
        <v>43</v>
      </c>
      <c r="I2070" s="41" t="s">
        <v>194</v>
      </c>
      <c r="J2070" s="41" t="s">
        <v>295</v>
      </c>
      <c r="K2070" s="42"/>
      <c r="L2070" s="41" t="s">
        <v>6785</v>
      </c>
      <c r="M2070" s="41">
        <v>66</v>
      </c>
      <c r="N2070" s="41" t="s">
        <v>67</v>
      </c>
      <c r="O2070" s="41" t="s">
        <v>77</v>
      </c>
      <c r="P2070" s="41" t="s">
        <v>68</v>
      </c>
      <c r="Q2070" s="41" t="s">
        <v>6786</v>
      </c>
      <c r="R2070" s="41" t="s">
        <v>132</v>
      </c>
      <c r="S2070" s="41" t="s">
        <v>40</v>
      </c>
      <c r="T2070" s="41" t="s">
        <v>40</v>
      </c>
      <c r="U2070" s="41" t="s">
        <v>40</v>
      </c>
    </row>
    <row r="2071" spans="1:21">
      <c r="A2071" s="41">
        <v>641</v>
      </c>
      <c r="B2071" s="41" t="s">
        <v>6787</v>
      </c>
      <c r="D2071" s="41">
        <v>2275</v>
      </c>
      <c r="E2071" s="41" t="s">
        <v>6788</v>
      </c>
      <c r="F2071" s="41" t="s">
        <v>53</v>
      </c>
      <c r="G2071" s="41" t="s">
        <v>1071</v>
      </c>
      <c r="I2071" s="41" t="s">
        <v>521</v>
      </c>
      <c r="J2071" s="41" t="s">
        <v>672</v>
      </c>
      <c r="K2071" s="42"/>
      <c r="L2071" s="41" t="s">
        <v>6789</v>
      </c>
      <c r="M2071" s="41">
        <v>23</v>
      </c>
      <c r="N2071" s="41" t="s">
        <v>6790</v>
      </c>
      <c r="O2071" s="41" t="s">
        <v>6791</v>
      </c>
      <c r="P2071" s="41" t="s">
        <v>83</v>
      </c>
      <c r="Q2071" s="41" t="s">
        <v>6792</v>
      </c>
      <c r="R2071" s="41" t="s">
        <v>132</v>
      </c>
      <c r="S2071" s="41" t="s">
        <v>40</v>
      </c>
      <c r="T2071" s="41" t="s">
        <v>40</v>
      </c>
      <c r="U2071" s="41" t="s">
        <v>40</v>
      </c>
    </row>
    <row r="2072" spans="1:21">
      <c r="A2072" s="41">
        <v>640</v>
      </c>
      <c r="B2072" s="41" t="s">
        <v>6793</v>
      </c>
      <c r="E2072" s="41" t="s">
        <v>6788</v>
      </c>
      <c r="F2072" s="41" t="s">
        <v>53</v>
      </c>
      <c r="G2072" s="41" t="s">
        <v>1071</v>
      </c>
      <c r="I2072" s="41" t="s">
        <v>1121</v>
      </c>
      <c r="J2072" s="41" t="s">
        <v>672</v>
      </c>
      <c r="K2072" s="42"/>
      <c r="L2072" s="41" t="s">
        <v>6794</v>
      </c>
      <c r="M2072" s="41">
        <v>23</v>
      </c>
      <c r="N2072" s="41" t="s">
        <v>6795</v>
      </c>
      <c r="O2072" s="41" t="s">
        <v>2228</v>
      </c>
      <c r="P2072" s="41" t="s">
        <v>83</v>
      </c>
      <c r="Q2072" s="41" t="s">
        <v>1206</v>
      </c>
      <c r="R2072" s="41" t="s">
        <v>132</v>
      </c>
      <c r="S2072" s="41" t="s">
        <v>40</v>
      </c>
      <c r="T2072" s="41" t="s">
        <v>40</v>
      </c>
      <c r="U2072" s="41" t="s">
        <v>40</v>
      </c>
    </row>
    <row r="2073" spans="1:21">
      <c r="A2073" s="41">
        <v>639</v>
      </c>
      <c r="B2073" s="41" t="s">
        <v>6796</v>
      </c>
      <c r="D2073" s="41">
        <v>2391</v>
      </c>
      <c r="E2073" s="41" t="s">
        <v>1248</v>
      </c>
      <c r="F2073" s="41" t="s">
        <v>53</v>
      </c>
      <c r="G2073" s="41" t="s">
        <v>307</v>
      </c>
      <c r="I2073" s="41" t="s">
        <v>5117</v>
      </c>
      <c r="J2073" s="41" t="s">
        <v>672</v>
      </c>
      <c r="K2073" s="42"/>
      <c r="L2073" s="41" t="s">
        <v>6797</v>
      </c>
      <c r="M2073" s="41">
        <v>23</v>
      </c>
      <c r="N2073" s="41" t="s">
        <v>36</v>
      </c>
      <c r="O2073" s="41" t="s">
        <v>5709</v>
      </c>
      <c r="P2073" s="41" t="s">
        <v>1046</v>
      </c>
      <c r="Q2073" s="41" t="s">
        <v>3350</v>
      </c>
      <c r="R2073" s="41" t="s">
        <v>132</v>
      </c>
      <c r="S2073" s="41" t="s">
        <v>6798</v>
      </c>
      <c r="T2073" s="41" t="s">
        <v>6282</v>
      </c>
      <c r="U2073" s="41" t="s">
        <v>40</v>
      </c>
    </row>
    <row r="2074" spans="1:21">
      <c r="A2074" s="41">
        <v>638</v>
      </c>
      <c r="B2074" s="41" t="s">
        <v>6799</v>
      </c>
      <c r="D2074" s="41">
        <v>2282</v>
      </c>
      <c r="E2074" s="41" t="s">
        <v>5340</v>
      </c>
      <c r="F2074" s="41" t="s">
        <v>53</v>
      </c>
      <c r="G2074" s="41" t="s">
        <v>64</v>
      </c>
      <c r="I2074" s="41" t="s">
        <v>231</v>
      </c>
      <c r="J2074" s="41" t="s">
        <v>295</v>
      </c>
      <c r="K2074" s="42"/>
      <c r="L2074" s="41" t="s">
        <v>6800</v>
      </c>
      <c r="M2074" s="41">
        <v>110</v>
      </c>
      <c r="N2074" s="41" t="s">
        <v>67</v>
      </c>
      <c r="O2074" s="41" t="s">
        <v>6801</v>
      </c>
      <c r="P2074" s="41" t="s">
        <v>78</v>
      </c>
      <c r="Q2074" s="41" t="s">
        <v>6802</v>
      </c>
      <c r="R2074" s="41" t="s">
        <v>132</v>
      </c>
      <c r="S2074" s="41" t="s">
        <v>40</v>
      </c>
      <c r="T2074" s="41" t="s">
        <v>40</v>
      </c>
      <c r="U2074" s="41" t="s">
        <v>40</v>
      </c>
    </row>
    <row r="2075" spans="1:21">
      <c r="A2075" s="41">
        <v>637</v>
      </c>
      <c r="B2075" s="41" t="s">
        <v>6803</v>
      </c>
      <c r="D2075" s="41">
        <v>1968</v>
      </c>
      <c r="E2075" s="41" t="s">
        <v>1187</v>
      </c>
      <c r="F2075" s="41" t="s">
        <v>53</v>
      </c>
      <c r="G2075" s="41" t="s">
        <v>141</v>
      </c>
      <c r="I2075" s="41" t="s">
        <v>1188</v>
      </c>
      <c r="J2075" s="41" t="s">
        <v>295</v>
      </c>
      <c r="K2075" s="42"/>
      <c r="L2075" s="41" t="s">
        <v>1304</v>
      </c>
      <c r="M2075" s="41">
        <v>220</v>
      </c>
      <c r="N2075" s="41" t="s">
        <v>1623</v>
      </c>
      <c r="O2075" s="41" t="s">
        <v>6804</v>
      </c>
      <c r="P2075" s="41" t="s">
        <v>98</v>
      </c>
      <c r="Q2075" s="41" t="s">
        <v>116</v>
      </c>
      <c r="R2075" s="41" t="s">
        <v>62</v>
      </c>
      <c r="S2075" s="41" t="s">
        <v>6805</v>
      </c>
      <c r="T2075" s="41" t="s">
        <v>1621</v>
      </c>
      <c r="U2075" s="41" t="s">
        <v>40</v>
      </c>
    </row>
    <row r="2076" spans="1:21">
      <c r="A2076" s="41">
        <v>636</v>
      </c>
      <c r="B2076" s="41" t="s">
        <v>6806</v>
      </c>
      <c r="E2076" s="41" t="s">
        <v>1613</v>
      </c>
      <c r="F2076" s="41" t="s">
        <v>53</v>
      </c>
      <c r="G2076" s="41" t="s">
        <v>64</v>
      </c>
      <c r="I2076" s="41" t="s">
        <v>464</v>
      </c>
      <c r="J2076" s="41" t="s">
        <v>380</v>
      </c>
      <c r="K2076" s="42"/>
      <c r="L2076" s="41" t="s">
        <v>6807</v>
      </c>
      <c r="M2076" s="41">
        <v>66</v>
      </c>
      <c r="N2076" s="41" t="s">
        <v>67</v>
      </c>
      <c r="O2076" s="41" t="s">
        <v>482</v>
      </c>
      <c r="P2076" s="41" t="s">
        <v>1046</v>
      </c>
      <c r="Q2076" s="41" t="s">
        <v>1110</v>
      </c>
      <c r="R2076" s="41" t="s">
        <v>132</v>
      </c>
      <c r="S2076" s="41" t="s">
        <v>40</v>
      </c>
      <c r="T2076" s="41" t="s">
        <v>40</v>
      </c>
      <c r="U2076" s="41" t="s">
        <v>40</v>
      </c>
    </row>
    <row r="2077" spans="1:21">
      <c r="A2077" s="41">
        <v>635</v>
      </c>
      <c r="B2077" s="41" t="s">
        <v>6808</v>
      </c>
      <c r="D2077" s="41">
        <v>2228</v>
      </c>
      <c r="E2077" s="41" t="s">
        <v>6809</v>
      </c>
      <c r="F2077" s="41" t="s">
        <v>28</v>
      </c>
      <c r="G2077" s="41" t="s">
        <v>307</v>
      </c>
      <c r="I2077" s="41" t="s">
        <v>194</v>
      </c>
      <c r="J2077" s="41" t="s">
        <v>295</v>
      </c>
      <c r="K2077" s="42"/>
      <c r="L2077" s="41" t="s">
        <v>6810</v>
      </c>
      <c r="M2077" s="41">
        <v>66</v>
      </c>
      <c r="N2077" s="41" t="s">
        <v>6811</v>
      </c>
      <c r="O2077" s="41" t="s">
        <v>6812</v>
      </c>
      <c r="P2077" s="41" t="s">
        <v>334</v>
      </c>
      <c r="Q2077" s="41" t="s">
        <v>2962</v>
      </c>
      <c r="R2077" s="41" t="s">
        <v>39</v>
      </c>
      <c r="S2077" s="41" t="s">
        <v>40</v>
      </c>
      <c r="T2077" s="41" t="s">
        <v>6813</v>
      </c>
      <c r="U2077" s="41" t="s">
        <v>5821</v>
      </c>
    </row>
    <row r="2078" spans="1:21">
      <c r="A2078" s="41">
        <v>634</v>
      </c>
      <c r="B2078" s="41" t="s">
        <v>6814</v>
      </c>
      <c r="D2078" s="41">
        <v>2225</v>
      </c>
      <c r="E2078" s="41" t="s">
        <v>6815</v>
      </c>
      <c r="F2078" s="41" t="s">
        <v>28</v>
      </c>
      <c r="G2078" s="41" t="s">
        <v>307</v>
      </c>
      <c r="I2078" s="41" t="s">
        <v>194</v>
      </c>
      <c r="J2078" s="41" t="s">
        <v>295</v>
      </c>
      <c r="K2078" s="42"/>
      <c r="L2078" s="41" t="s">
        <v>6816</v>
      </c>
      <c r="M2078" s="41">
        <v>66</v>
      </c>
      <c r="N2078" s="41" t="s">
        <v>4703</v>
      </c>
      <c r="O2078" s="41" t="s">
        <v>6817</v>
      </c>
      <c r="P2078" s="41" t="s">
        <v>334</v>
      </c>
      <c r="Q2078" s="41" t="s">
        <v>2962</v>
      </c>
      <c r="R2078" s="41" t="s">
        <v>39</v>
      </c>
      <c r="S2078" s="41" t="s">
        <v>40</v>
      </c>
      <c r="T2078" s="41" t="s">
        <v>6813</v>
      </c>
      <c r="U2078" s="41" t="s">
        <v>5821</v>
      </c>
    </row>
    <row r="2079" spans="1:21">
      <c r="A2079" s="41">
        <v>633</v>
      </c>
      <c r="B2079" s="41" t="s">
        <v>6818</v>
      </c>
      <c r="D2079" s="41">
        <v>2226</v>
      </c>
      <c r="E2079" s="41" t="s">
        <v>6819</v>
      </c>
      <c r="F2079" s="41" t="s">
        <v>28</v>
      </c>
      <c r="G2079" s="41" t="s">
        <v>307</v>
      </c>
      <c r="I2079" s="41" t="s">
        <v>194</v>
      </c>
      <c r="J2079" s="41" t="s">
        <v>295</v>
      </c>
      <c r="K2079" s="42"/>
      <c r="L2079" s="41" t="s">
        <v>6810</v>
      </c>
      <c r="M2079" s="41">
        <v>66</v>
      </c>
      <c r="N2079" s="41" t="s">
        <v>4703</v>
      </c>
      <c r="O2079" s="41" t="s">
        <v>6820</v>
      </c>
      <c r="P2079" s="41" t="s">
        <v>334</v>
      </c>
      <c r="Q2079" s="41" t="s">
        <v>2962</v>
      </c>
      <c r="R2079" s="41" t="s">
        <v>39</v>
      </c>
      <c r="S2079" s="41" t="s">
        <v>40</v>
      </c>
      <c r="T2079" s="41" t="s">
        <v>6813</v>
      </c>
      <c r="U2079" s="41" t="s">
        <v>5821</v>
      </c>
    </row>
    <row r="2080" spans="1:21">
      <c r="A2080" s="41">
        <v>632</v>
      </c>
      <c r="B2080" s="41" t="s">
        <v>6821</v>
      </c>
      <c r="D2080" s="41">
        <v>2227</v>
      </c>
      <c r="E2080" s="41" t="s">
        <v>6822</v>
      </c>
      <c r="F2080" s="41" t="s">
        <v>28</v>
      </c>
      <c r="G2080" s="41" t="s">
        <v>301</v>
      </c>
      <c r="I2080" s="41" t="s">
        <v>194</v>
      </c>
      <c r="J2080" s="41" t="s">
        <v>295</v>
      </c>
      <c r="K2080" s="42"/>
      <c r="L2080" s="41" t="s">
        <v>6810</v>
      </c>
      <c r="M2080" s="41">
        <v>66</v>
      </c>
      <c r="N2080" s="41" t="s">
        <v>4703</v>
      </c>
      <c r="O2080" s="41" t="s">
        <v>6823</v>
      </c>
      <c r="P2080" s="41" t="s">
        <v>334</v>
      </c>
      <c r="Q2080" s="41" t="s">
        <v>2962</v>
      </c>
      <c r="R2080" s="41" t="s">
        <v>39</v>
      </c>
      <c r="S2080" s="41" t="s">
        <v>40</v>
      </c>
      <c r="T2080" s="41" t="s">
        <v>6813</v>
      </c>
      <c r="U2080" s="41" t="s">
        <v>5821</v>
      </c>
    </row>
    <row r="2081" spans="1:21">
      <c r="A2081" s="41">
        <v>631</v>
      </c>
      <c r="B2081" s="41" t="s">
        <v>6656</v>
      </c>
      <c r="E2081" s="41" t="s">
        <v>5340</v>
      </c>
      <c r="F2081" s="41" t="s">
        <v>53</v>
      </c>
      <c r="G2081" s="41" t="s">
        <v>64</v>
      </c>
      <c r="I2081" s="41" t="s">
        <v>194</v>
      </c>
      <c r="J2081" s="41" t="s">
        <v>295</v>
      </c>
      <c r="K2081" s="42"/>
      <c r="L2081" s="41" t="s">
        <v>6824</v>
      </c>
      <c r="M2081" s="41">
        <v>12</v>
      </c>
      <c r="N2081" s="41" t="s">
        <v>6825</v>
      </c>
      <c r="O2081" s="41" t="s">
        <v>6826</v>
      </c>
      <c r="P2081" s="41" t="s">
        <v>78</v>
      </c>
      <c r="Q2081" s="41" t="s">
        <v>1786</v>
      </c>
      <c r="R2081" s="41" t="s">
        <v>132</v>
      </c>
      <c r="S2081" s="41" t="s">
        <v>40</v>
      </c>
      <c r="T2081" s="41" t="s">
        <v>40</v>
      </c>
      <c r="U2081" s="41" t="s">
        <v>40</v>
      </c>
    </row>
    <row r="2082" spans="1:21">
      <c r="A2082" s="41">
        <v>630</v>
      </c>
      <c r="B2082" s="41" t="s">
        <v>6827</v>
      </c>
      <c r="E2082" s="41" t="s">
        <v>5340</v>
      </c>
      <c r="F2082" s="41" t="s">
        <v>53</v>
      </c>
      <c r="G2082" s="41" t="s">
        <v>64</v>
      </c>
      <c r="I2082" s="41" t="s">
        <v>194</v>
      </c>
      <c r="J2082" s="41" t="s">
        <v>295</v>
      </c>
      <c r="K2082" s="42"/>
      <c r="L2082" s="41" t="s">
        <v>6828</v>
      </c>
      <c r="M2082" s="41">
        <v>12</v>
      </c>
      <c r="N2082" s="41" t="s">
        <v>67</v>
      </c>
      <c r="O2082" s="41" t="s">
        <v>6829</v>
      </c>
      <c r="P2082" s="41" t="s">
        <v>78</v>
      </c>
      <c r="Q2082" s="41" t="s">
        <v>2407</v>
      </c>
      <c r="R2082" s="41" t="s">
        <v>132</v>
      </c>
      <c r="S2082" s="41" t="s">
        <v>40</v>
      </c>
      <c r="T2082" s="41" t="s">
        <v>40</v>
      </c>
      <c r="U2082" s="41" t="s">
        <v>40</v>
      </c>
    </row>
    <row r="2083" spans="1:21">
      <c r="A2083" s="41">
        <v>629</v>
      </c>
      <c r="B2083" s="41" t="s">
        <v>6830</v>
      </c>
      <c r="D2083" s="41">
        <v>2017</v>
      </c>
      <c r="E2083" s="41" t="s">
        <v>3714</v>
      </c>
      <c r="F2083" s="41" t="s">
        <v>53</v>
      </c>
      <c r="G2083" s="41" t="s">
        <v>43</v>
      </c>
      <c r="I2083" s="41" t="s">
        <v>6831</v>
      </c>
      <c r="J2083" s="41" t="s">
        <v>380</v>
      </c>
      <c r="K2083" s="42"/>
      <c r="L2083" s="41" t="s">
        <v>6832</v>
      </c>
      <c r="M2083" s="41">
        <v>220</v>
      </c>
      <c r="N2083" s="41" t="s">
        <v>719</v>
      </c>
      <c r="O2083" s="41" t="s">
        <v>2919</v>
      </c>
      <c r="P2083" s="41" t="s">
        <v>50</v>
      </c>
      <c r="Q2083" s="41" t="s">
        <v>51</v>
      </c>
      <c r="R2083" s="41" t="s">
        <v>62</v>
      </c>
      <c r="S2083" s="41" t="s">
        <v>40</v>
      </c>
      <c r="T2083" s="41" t="s">
        <v>40</v>
      </c>
      <c r="U2083" s="41" t="s">
        <v>40</v>
      </c>
    </row>
    <row r="2084" spans="1:21">
      <c r="A2084" s="41">
        <v>628</v>
      </c>
      <c r="B2084" s="41" t="s">
        <v>6833</v>
      </c>
      <c r="D2084" s="41">
        <v>2390</v>
      </c>
      <c r="E2084" s="41" t="s">
        <v>1248</v>
      </c>
      <c r="F2084" s="41" t="s">
        <v>53</v>
      </c>
      <c r="G2084" s="41" t="s">
        <v>307</v>
      </c>
      <c r="I2084" s="41" t="s">
        <v>1249</v>
      </c>
      <c r="J2084" s="41" t="s">
        <v>672</v>
      </c>
      <c r="K2084" s="42"/>
      <c r="L2084" s="41" t="s">
        <v>6834</v>
      </c>
      <c r="M2084" s="41">
        <v>23</v>
      </c>
      <c r="N2084" s="41" t="s">
        <v>36</v>
      </c>
      <c r="O2084" s="41" t="s">
        <v>5712</v>
      </c>
      <c r="P2084" s="41" t="s">
        <v>1046</v>
      </c>
      <c r="Q2084" s="41" t="s">
        <v>3350</v>
      </c>
      <c r="R2084" s="41" t="s">
        <v>62</v>
      </c>
      <c r="S2084" s="41" t="s">
        <v>6835</v>
      </c>
      <c r="T2084" s="41" t="s">
        <v>6282</v>
      </c>
      <c r="U2084" s="41" t="s">
        <v>40</v>
      </c>
    </row>
    <row r="2085" spans="1:21">
      <c r="A2085" s="41">
        <v>627</v>
      </c>
      <c r="B2085" s="41" t="s">
        <v>6836</v>
      </c>
      <c r="E2085" s="41" t="s">
        <v>6313</v>
      </c>
      <c r="F2085" s="41" t="s">
        <v>53</v>
      </c>
      <c r="G2085" s="41" t="s">
        <v>64</v>
      </c>
      <c r="I2085" s="41" t="s">
        <v>338</v>
      </c>
      <c r="J2085" s="41" t="s">
        <v>380</v>
      </c>
      <c r="K2085" s="42"/>
      <c r="L2085" s="41" t="s">
        <v>6837</v>
      </c>
      <c r="M2085" s="41">
        <v>220</v>
      </c>
      <c r="N2085" s="41" t="s">
        <v>2395</v>
      </c>
      <c r="O2085" s="41" t="s">
        <v>6838</v>
      </c>
      <c r="P2085" s="41" t="s">
        <v>98</v>
      </c>
      <c r="Q2085" s="41" t="s">
        <v>116</v>
      </c>
      <c r="R2085" s="41" t="s">
        <v>62</v>
      </c>
      <c r="S2085" s="41" t="s">
        <v>40</v>
      </c>
      <c r="T2085" s="41" t="s">
        <v>40</v>
      </c>
      <c r="U2085" s="41" t="s">
        <v>40</v>
      </c>
    </row>
    <row r="2086" spans="1:21">
      <c r="A2086" s="41">
        <v>626</v>
      </c>
      <c r="B2086" s="41" t="s">
        <v>6839</v>
      </c>
      <c r="E2086" s="41" t="s">
        <v>6313</v>
      </c>
      <c r="F2086" s="41" t="s">
        <v>53</v>
      </c>
      <c r="G2086" s="41" t="s">
        <v>64</v>
      </c>
      <c r="I2086" s="41" t="s">
        <v>338</v>
      </c>
      <c r="J2086" s="41" t="s">
        <v>380</v>
      </c>
      <c r="K2086" s="42"/>
      <c r="L2086" s="41" t="s">
        <v>1304</v>
      </c>
      <c r="M2086" s="41">
        <v>220</v>
      </c>
      <c r="N2086" s="41" t="s">
        <v>2395</v>
      </c>
      <c r="O2086" s="41" t="s">
        <v>6840</v>
      </c>
      <c r="P2086" s="41" t="s">
        <v>50</v>
      </c>
      <c r="Q2086" s="41" t="s">
        <v>51</v>
      </c>
      <c r="R2086" s="41" t="s">
        <v>62</v>
      </c>
      <c r="S2086" s="41" t="s">
        <v>40</v>
      </c>
      <c r="T2086" s="41" t="s">
        <v>40</v>
      </c>
      <c r="U2086" s="41" t="s">
        <v>40</v>
      </c>
    </row>
    <row r="2087" spans="1:21">
      <c r="A2087" s="41">
        <v>625</v>
      </c>
      <c r="B2087" s="41" t="s">
        <v>6841</v>
      </c>
      <c r="E2087" s="41" t="s">
        <v>6313</v>
      </c>
      <c r="F2087" s="41" t="s">
        <v>53</v>
      </c>
      <c r="G2087" s="41" t="s">
        <v>43</v>
      </c>
      <c r="I2087" s="41" t="s">
        <v>392</v>
      </c>
      <c r="J2087" s="41" t="s">
        <v>380</v>
      </c>
      <c r="K2087" s="42"/>
      <c r="L2087" s="41" t="s">
        <v>6842</v>
      </c>
      <c r="M2087" s="41">
        <v>220</v>
      </c>
      <c r="N2087" s="41" t="s">
        <v>395</v>
      </c>
      <c r="O2087" s="41" t="s">
        <v>6843</v>
      </c>
      <c r="P2087" s="41" t="s">
        <v>98</v>
      </c>
      <c r="Q2087" s="41" t="s">
        <v>116</v>
      </c>
      <c r="R2087" s="41" t="s">
        <v>62</v>
      </c>
      <c r="S2087" s="41" t="s">
        <v>40</v>
      </c>
      <c r="T2087" s="41" t="s">
        <v>40</v>
      </c>
      <c r="U2087" s="41" t="s">
        <v>40</v>
      </c>
    </row>
    <row r="2088" spans="1:21">
      <c r="A2088" s="41">
        <v>624</v>
      </c>
      <c r="B2088" s="41" t="s">
        <v>6841</v>
      </c>
      <c r="E2088" s="41" t="s">
        <v>6313</v>
      </c>
      <c r="F2088" s="41" t="s">
        <v>53</v>
      </c>
      <c r="G2088" s="41" t="s">
        <v>43</v>
      </c>
      <c r="I2088" s="41" t="s">
        <v>392</v>
      </c>
      <c r="J2088" s="41" t="s">
        <v>295</v>
      </c>
      <c r="K2088" s="42"/>
      <c r="L2088" s="41" t="s">
        <v>6842</v>
      </c>
      <c r="M2088" s="41">
        <v>220</v>
      </c>
      <c r="N2088" s="41" t="s">
        <v>395</v>
      </c>
      <c r="O2088" s="41" t="s">
        <v>6843</v>
      </c>
      <c r="P2088" s="41" t="s">
        <v>98</v>
      </c>
      <c r="Q2088" s="41" t="s">
        <v>116</v>
      </c>
      <c r="R2088" s="41" t="s">
        <v>62</v>
      </c>
      <c r="S2088" s="41" t="s">
        <v>40</v>
      </c>
      <c r="T2088" s="41" t="s">
        <v>40</v>
      </c>
      <c r="U2088" s="41" t="s">
        <v>40</v>
      </c>
    </row>
    <row r="2089" spans="1:21">
      <c r="A2089" s="41">
        <v>621</v>
      </c>
      <c r="B2089" s="41" t="s">
        <v>6844</v>
      </c>
      <c r="E2089" s="41" t="s">
        <v>6845</v>
      </c>
      <c r="F2089" s="41" t="s">
        <v>53</v>
      </c>
      <c r="G2089" s="41" t="s">
        <v>64</v>
      </c>
      <c r="I2089" s="41" t="s">
        <v>162</v>
      </c>
      <c r="J2089" s="41" t="s">
        <v>295</v>
      </c>
      <c r="K2089" s="42"/>
      <c r="L2089" s="41" t="s">
        <v>6846</v>
      </c>
      <c r="M2089" s="41">
        <v>220</v>
      </c>
      <c r="N2089" s="41" t="s">
        <v>5424</v>
      </c>
      <c r="O2089" s="41" t="s">
        <v>4027</v>
      </c>
      <c r="P2089" s="41" t="s">
        <v>153</v>
      </c>
      <c r="Q2089" s="41" t="s">
        <v>329</v>
      </c>
      <c r="R2089" s="41" t="s">
        <v>62</v>
      </c>
      <c r="S2089" s="41" t="s">
        <v>40</v>
      </c>
      <c r="T2089" s="41" t="s">
        <v>40</v>
      </c>
      <c r="U2089" s="41" t="s">
        <v>40</v>
      </c>
    </row>
    <row r="2090" spans="1:21">
      <c r="A2090" s="41">
        <v>614</v>
      </c>
      <c r="B2090" s="41" t="s">
        <v>6847</v>
      </c>
      <c r="E2090" s="41" t="s">
        <v>1076</v>
      </c>
      <c r="F2090" s="41" t="s">
        <v>28</v>
      </c>
      <c r="G2090" s="41" t="s">
        <v>64</v>
      </c>
      <c r="I2090" s="41" t="s">
        <v>6024</v>
      </c>
      <c r="J2090" s="41" t="s">
        <v>295</v>
      </c>
      <c r="K2090" s="42"/>
      <c r="L2090" s="41" t="s">
        <v>6848</v>
      </c>
      <c r="M2090" s="41">
        <v>220</v>
      </c>
      <c r="N2090" s="41" t="s">
        <v>6849</v>
      </c>
      <c r="O2090" s="41" t="s">
        <v>6850</v>
      </c>
      <c r="P2090" s="41" t="s">
        <v>37</v>
      </c>
      <c r="Q2090" s="41" t="s">
        <v>363</v>
      </c>
      <c r="R2090" s="41" t="s">
        <v>39</v>
      </c>
      <c r="S2090" s="41" t="s">
        <v>40</v>
      </c>
      <c r="T2090" s="41" t="s">
        <v>40</v>
      </c>
      <c r="U2090" s="41" t="s">
        <v>40</v>
      </c>
    </row>
    <row r="2091" spans="1:21">
      <c r="A2091" s="41">
        <v>613</v>
      </c>
      <c r="B2091" s="41" t="s">
        <v>6482</v>
      </c>
      <c r="E2091" s="41" t="s">
        <v>6332</v>
      </c>
      <c r="F2091" s="41" t="s">
        <v>53</v>
      </c>
      <c r="G2091" s="41" t="s">
        <v>64</v>
      </c>
      <c r="I2091" s="41" t="s">
        <v>194</v>
      </c>
      <c r="J2091" s="41" t="s">
        <v>295</v>
      </c>
      <c r="K2091" s="42"/>
      <c r="L2091" s="41" t="s">
        <v>6851</v>
      </c>
      <c r="M2091" s="41">
        <v>66</v>
      </c>
      <c r="N2091" s="41" t="s">
        <v>395</v>
      </c>
      <c r="O2091" s="41" t="s">
        <v>989</v>
      </c>
      <c r="P2091" s="41" t="s">
        <v>334</v>
      </c>
      <c r="Q2091" s="41" t="s">
        <v>423</v>
      </c>
      <c r="R2091" s="41" t="s">
        <v>132</v>
      </c>
      <c r="S2091" s="41" t="s">
        <v>40</v>
      </c>
      <c r="T2091" s="41" t="s">
        <v>40</v>
      </c>
      <c r="U2091" s="41" t="s">
        <v>40</v>
      </c>
    </row>
    <row r="2092" spans="1:21">
      <c r="A2092" s="41">
        <v>612</v>
      </c>
      <c r="B2092" s="41" t="s">
        <v>6852</v>
      </c>
      <c r="E2092" s="41" t="s">
        <v>6332</v>
      </c>
      <c r="F2092" s="41" t="s">
        <v>53</v>
      </c>
      <c r="G2092" s="41" t="s">
        <v>64</v>
      </c>
      <c r="I2092" s="41" t="s">
        <v>6853</v>
      </c>
      <c r="J2092" s="41" t="s">
        <v>295</v>
      </c>
      <c r="K2092" s="42"/>
      <c r="L2092" s="41" t="s">
        <v>6854</v>
      </c>
      <c r="M2092" s="41">
        <v>66</v>
      </c>
      <c r="N2092" s="41" t="s">
        <v>395</v>
      </c>
      <c r="O2092" s="41" t="s">
        <v>445</v>
      </c>
      <c r="P2092" s="41" t="s">
        <v>334</v>
      </c>
      <c r="Q2092" s="41" t="s">
        <v>4481</v>
      </c>
      <c r="R2092" s="41" t="s">
        <v>132</v>
      </c>
      <c r="S2092" s="41" t="s">
        <v>40</v>
      </c>
      <c r="T2092" s="41" t="s">
        <v>40</v>
      </c>
      <c r="U2092" s="41" t="s">
        <v>40</v>
      </c>
    </row>
    <row r="2093" spans="1:21">
      <c r="A2093" s="41">
        <v>611</v>
      </c>
      <c r="B2093" s="41" t="s">
        <v>6855</v>
      </c>
      <c r="D2093" s="41">
        <v>2261</v>
      </c>
      <c r="E2093" s="41" t="s">
        <v>869</v>
      </c>
      <c r="F2093" s="41" t="s">
        <v>53</v>
      </c>
      <c r="G2093" s="41" t="s">
        <v>141</v>
      </c>
      <c r="I2093" s="41" t="s">
        <v>338</v>
      </c>
      <c r="J2093" s="41" t="s">
        <v>295</v>
      </c>
      <c r="K2093" s="42"/>
      <c r="L2093" s="41" t="s">
        <v>6554</v>
      </c>
      <c r="M2093" s="41">
        <v>220</v>
      </c>
      <c r="N2093" s="41" t="s">
        <v>1908</v>
      </c>
      <c r="O2093" s="41" t="s">
        <v>271</v>
      </c>
      <c r="P2093" s="41" t="s">
        <v>98</v>
      </c>
      <c r="Q2093" s="41" t="s">
        <v>98</v>
      </c>
      <c r="R2093" s="41" t="s">
        <v>62</v>
      </c>
      <c r="S2093" s="41" t="s">
        <v>6856</v>
      </c>
      <c r="T2093" s="41" t="s">
        <v>4545</v>
      </c>
      <c r="U2093" s="41" t="s">
        <v>40</v>
      </c>
    </row>
    <row r="2094" spans="1:21">
      <c r="A2094" s="41">
        <v>610</v>
      </c>
      <c r="B2094" s="41" t="s">
        <v>6857</v>
      </c>
      <c r="E2094" s="41" t="s">
        <v>2639</v>
      </c>
      <c r="F2094" s="41" t="s">
        <v>53</v>
      </c>
      <c r="G2094" s="41" t="s">
        <v>43</v>
      </c>
      <c r="I2094" s="41" t="s">
        <v>338</v>
      </c>
      <c r="J2094" s="41" t="s">
        <v>380</v>
      </c>
      <c r="K2094" s="42"/>
      <c r="L2094" s="41" t="s">
        <v>3172</v>
      </c>
      <c r="M2094" s="41">
        <v>220</v>
      </c>
      <c r="N2094" s="41" t="s">
        <v>340</v>
      </c>
      <c r="O2094" s="41" t="s">
        <v>6858</v>
      </c>
      <c r="P2094" s="41" t="s">
        <v>83</v>
      </c>
      <c r="Q2094" s="41" t="s">
        <v>1357</v>
      </c>
      <c r="R2094" s="41" t="s">
        <v>62</v>
      </c>
      <c r="S2094" s="41" t="s">
        <v>40</v>
      </c>
      <c r="T2094" s="41" t="s">
        <v>40</v>
      </c>
      <c r="U2094" s="41" t="s">
        <v>40</v>
      </c>
    </row>
    <row r="2095" spans="1:21">
      <c r="A2095" s="41">
        <v>609</v>
      </c>
      <c r="B2095" s="41" t="s">
        <v>6859</v>
      </c>
      <c r="D2095" s="41">
        <v>2334</v>
      </c>
      <c r="E2095" s="41" t="s">
        <v>6860</v>
      </c>
      <c r="F2095" s="41" t="s">
        <v>28</v>
      </c>
      <c r="G2095" s="41" t="s">
        <v>307</v>
      </c>
      <c r="I2095" s="41" t="s">
        <v>5117</v>
      </c>
      <c r="J2095" s="41" t="s">
        <v>1906</v>
      </c>
      <c r="K2095" s="42"/>
      <c r="L2095" s="41" t="s">
        <v>6861</v>
      </c>
      <c r="M2095" s="41">
        <v>23</v>
      </c>
      <c r="N2095" s="41" t="s">
        <v>59</v>
      </c>
      <c r="O2095" s="41" t="s">
        <v>6862</v>
      </c>
      <c r="P2095" s="41" t="s">
        <v>172</v>
      </c>
      <c r="Q2095" s="41" t="s">
        <v>1104</v>
      </c>
      <c r="R2095" s="41" t="s">
        <v>39</v>
      </c>
      <c r="S2095" s="41" t="s">
        <v>40</v>
      </c>
      <c r="T2095" s="41" t="s">
        <v>40</v>
      </c>
      <c r="U2095" s="41" t="s">
        <v>40</v>
      </c>
    </row>
    <row r="2096" spans="1:21">
      <c r="A2096" s="41">
        <v>608</v>
      </c>
      <c r="B2096" s="41" t="s">
        <v>6863</v>
      </c>
      <c r="E2096" s="41" t="s">
        <v>2426</v>
      </c>
      <c r="F2096" s="41" t="s">
        <v>53</v>
      </c>
      <c r="G2096" s="41" t="s">
        <v>64</v>
      </c>
      <c r="I2096" s="41" t="s">
        <v>45</v>
      </c>
      <c r="J2096" s="41" t="s">
        <v>295</v>
      </c>
      <c r="K2096" s="42"/>
      <c r="L2096" s="41" t="s">
        <v>5846</v>
      </c>
      <c r="M2096" s="41">
        <v>110</v>
      </c>
      <c r="N2096" s="41" t="s">
        <v>67</v>
      </c>
      <c r="O2096" s="41" t="s">
        <v>6748</v>
      </c>
      <c r="P2096" s="41" t="s">
        <v>78</v>
      </c>
      <c r="Q2096" s="41" t="s">
        <v>483</v>
      </c>
      <c r="R2096" s="41" t="s">
        <v>132</v>
      </c>
      <c r="S2096" s="41" t="s">
        <v>40</v>
      </c>
      <c r="T2096" s="41" t="s">
        <v>40</v>
      </c>
      <c r="U2096" s="41" t="s">
        <v>40</v>
      </c>
    </row>
    <row r="2097" spans="1:21">
      <c r="A2097" s="41">
        <v>607</v>
      </c>
      <c r="B2097" s="41" t="s">
        <v>6864</v>
      </c>
      <c r="D2097" s="41">
        <v>2237</v>
      </c>
      <c r="E2097" s="41" t="s">
        <v>869</v>
      </c>
      <c r="F2097" s="41" t="s">
        <v>53</v>
      </c>
      <c r="G2097" s="41" t="s">
        <v>141</v>
      </c>
      <c r="I2097" s="41" t="s">
        <v>392</v>
      </c>
      <c r="J2097" s="41" t="s">
        <v>295</v>
      </c>
      <c r="K2097" s="42"/>
      <c r="L2097" s="41" t="s">
        <v>4125</v>
      </c>
      <c r="M2097" s="41">
        <v>220</v>
      </c>
      <c r="N2097" s="41" t="s">
        <v>1335</v>
      </c>
      <c r="O2097" s="41" t="s">
        <v>2041</v>
      </c>
      <c r="P2097" s="41" t="s">
        <v>98</v>
      </c>
      <c r="Q2097" s="41" t="s">
        <v>98</v>
      </c>
      <c r="R2097" s="41" t="s">
        <v>132</v>
      </c>
      <c r="S2097" s="41" t="s">
        <v>4755</v>
      </c>
      <c r="T2097" s="41" t="s">
        <v>3491</v>
      </c>
      <c r="U2097" s="41" t="s">
        <v>1846</v>
      </c>
    </row>
    <row r="2098" spans="1:21">
      <c r="A2098" s="41">
        <v>606</v>
      </c>
      <c r="B2098" s="41" t="s">
        <v>6865</v>
      </c>
      <c r="E2098" s="41" t="s">
        <v>1613</v>
      </c>
      <c r="F2098" s="41" t="s">
        <v>53</v>
      </c>
      <c r="G2098" s="41" t="s">
        <v>43</v>
      </c>
      <c r="I2098" s="41" t="s">
        <v>3645</v>
      </c>
      <c r="J2098" s="41" t="s">
        <v>380</v>
      </c>
      <c r="K2098" s="42"/>
      <c r="L2098" s="41" t="s">
        <v>6866</v>
      </c>
      <c r="M2098" s="41">
        <v>220</v>
      </c>
      <c r="N2098" s="41" t="s">
        <v>67</v>
      </c>
      <c r="O2098" s="41" t="s">
        <v>2041</v>
      </c>
      <c r="P2098" s="41" t="s">
        <v>382</v>
      </c>
      <c r="Q2098" s="41" t="s">
        <v>83</v>
      </c>
      <c r="R2098" s="41" t="s">
        <v>62</v>
      </c>
      <c r="S2098" s="41" t="s">
        <v>40</v>
      </c>
      <c r="T2098" s="41" t="s">
        <v>40</v>
      </c>
      <c r="U2098" s="41" t="s">
        <v>40</v>
      </c>
    </row>
    <row r="2099" spans="1:21">
      <c r="A2099" s="41">
        <v>605</v>
      </c>
      <c r="B2099" s="41" t="s">
        <v>6867</v>
      </c>
      <c r="E2099" s="41" t="s">
        <v>6378</v>
      </c>
      <c r="F2099" s="41" t="s">
        <v>28</v>
      </c>
      <c r="G2099" s="41" t="s">
        <v>307</v>
      </c>
      <c r="I2099" s="41" t="s">
        <v>6868</v>
      </c>
      <c r="J2099" s="41" t="s">
        <v>295</v>
      </c>
      <c r="K2099" s="42"/>
      <c r="L2099" s="41" t="s">
        <v>6869</v>
      </c>
      <c r="M2099" s="41">
        <v>220</v>
      </c>
      <c r="N2099" s="41" t="s">
        <v>59</v>
      </c>
      <c r="O2099" s="41" t="s">
        <v>6870</v>
      </c>
      <c r="P2099" s="41" t="s">
        <v>68</v>
      </c>
      <c r="Q2099" s="41" t="s">
        <v>69</v>
      </c>
      <c r="R2099" s="41" t="s">
        <v>39</v>
      </c>
      <c r="S2099" s="41" t="s">
        <v>40</v>
      </c>
      <c r="T2099" s="41" t="s">
        <v>40</v>
      </c>
      <c r="U2099" s="41" t="s">
        <v>40</v>
      </c>
    </row>
    <row r="2100" spans="1:21">
      <c r="A2100" s="41">
        <v>604</v>
      </c>
      <c r="B2100" s="41" t="s">
        <v>6871</v>
      </c>
      <c r="D2100" s="41">
        <v>2236</v>
      </c>
      <c r="E2100" s="41" t="s">
        <v>1227</v>
      </c>
      <c r="F2100" s="41" t="s">
        <v>53</v>
      </c>
      <c r="G2100" s="41" t="s">
        <v>64</v>
      </c>
      <c r="I2100" s="41" t="s">
        <v>6872</v>
      </c>
      <c r="J2100" s="41" t="s">
        <v>295</v>
      </c>
      <c r="K2100" s="42"/>
      <c r="L2100" s="41" t="s">
        <v>6873</v>
      </c>
      <c r="M2100" s="41">
        <v>220</v>
      </c>
      <c r="N2100" s="41" t="s">
        <v>719</v>
      </c>
      <c r="O2100" s="41" t="s">
        <v>1294</v>
      </c>
      <c r="P2100" s="41" t="s">
        <v>172</v>
      </c>
      <c r="Q2100" s="41" t="s">
        <v>253</v>
      </c>
      <c r="R2100" s="41" t="s">
        <v>132</v>
      </c>
      <c r="S2100" s="41" t="s">
        <v>40</v>
      </c>
      <c r="T2100" s="41" t="s">
        <v>40</v>
      </c>
      <c r="U2100" s="41" t="s">
        <v>40</v>
      </c>
    </row>
    <row r="2101" spans="1:21">
      <c r="A2101" s="41">
        <v>603</v>
      </c>
      <c r="B2101" s="41" t="s">
        <v>6874</v>
      </c>
      <c r="D2101" s="41">
        <v>2233</v>
      </c>
      <c r="E2101" s="41" t="s">
        <v>6875</v>
      </c>
      <c r="F2101" s="41" t="s">
        <v>53</v>
      </c>
      <c r="G2101" s="41" t="s">
        <v>307</v>
      </c>
      <c r="I2101" s="41" t="s">
        <v>194</v>
      </c>
      <c r="J2101" s="41" t="s">
        <v>295</v>
      </c>
      <c r="K2101" s="42"/>
      <c r="L2101" s="41" t="s">
        <v>6876</v>
      </c>
      <c r="M2101" s="41">
        <v>23</v>
      </c>
      <c r="N2101" s="41" t="s">
        <v>67</v>
      </c>
      <c r="O2101" s="41" t="s">
        <v>1194</v>
      </c>
      <c r="P2101" s="41" t="s">
        <v>98</v>
      </c>
      <c r="Q2101" s="41" t="s">
        <v>116</v>
      </c>
      <c r="R2101" s="41" t="s">
        <v>62</v>
      </c>
      <c r="S2101" s="41" t="s">
        <v>6877</v>
      </c>
      <c r="T2101" s="41" t="s">
        <v>40</v>
      </c>
      <c r="U2101" s="41" t="s">
        <v>40</v>
      </c>
    </row>
    <row r="2102" spans="1:21">
      <c r="A2102" s="41">
        <v>602</v>
      </c>
      <c r="B2102" s="41" t="s">
        <v>6033</v>
      </c>
      <c r="E2102" s="41" t="s">
        <v>1227</v>
      </c>
      <c r="F2102" s="41" t="s">
        <v>53</v>
      </c>
      <c r="G2102" s="41" t="s">
        <v>64</v>
      </c>
      <c r="I2102" s="41" t="s">
        <v>2572</v>
      </c>
      <c r="J2102" s="41" t="s">
        <v>380</v>
      </c>
      <c r="K2102" s="42"/>
      <c r="L2102" s="41" t="s">
        <v>3036</v>
      </c>
      <c r="M2102" s="41">
        <v>220</v>
      </c>
      <c r="N2102" s="41" t="s">
        <v>719</v>
      </c>
      <c r="O2102" s="41" t="s">
        <v>1615</v>
      </c>
      <c r="P2102" s="41" t="s">
        <v>37</v>
      </c>
      <c r="Q2102" s="41" t="s">
        <v>969</v>
      </c>
      <c r="R2102" s="41" t="s">
        <v>62</v>
      </c>
      <c r="S2102" s="41" t="s">
        <v>40</v>
      </c>
      <c r="T2102" s="41" t="s">
        <v>40</v>
      </c>
      <c r="U2102" s="41" t="s">
        <v>40</v>
      </c>
    </row>
    <row r="2103" spans="1:21">
      <c r="A2103" s="41">
        <v>601</v>
      </c>
      <c r="B2103" s="41" t="s">
        <v>6878</v>
      </c>
      <c r="D2103" s="41">
        <v>2277</v>
      </c>
      <c r="E2103" s="41" t="s">
        <v>5516</v>
      </c>
      <c r="F2103" s="41" t="s">
        <v>53</v>
      </c>
      <c r="G2103" s="41" t="s">
        <v>141</v>
      </c>
      <c r="I2103" s="41" t="s">
        <v>231</v>
      </c>
      <c r="J2103" s="41" t="s">
        <v>295</v>
      </c>
      <c r="K2103" s="42"/>
      <c r="L2103" s="41" t="s">
        <v>6879</v>
      </c>
      <c r="M2103" s="41">
        <v>110</v>
      </c>
      <c r="N2103" s="41" t="s">
        <v>1869</v>
      </c>
      <c r="O2103" s="41" t="s">
        <v>6880</v>
      </c>
      <c r="P2103" s="41" t="s">
        <v>78</v>
      </c>
      <c r="Q2103" s="41" t="s">
        <v>440</v>
      </c>
      <c r="R2103" s="41" t="s">
        <v>132</v>
      </c>
      <c r="S2103" s="41" t="s">
        <v>6881</v>
      </c>
      <c r="T2103" s="41" t="s">
        <v>770</v>
      </c>
      <c r="U2103" s="41" t="s">
        <v>40</v>
      </c>
    </row>
    <row r="2104" spans="1:21">
      <c r="A2104" s="41">
        <v>600</v>
      </c>
      <c r="B2104" s="41" t="s">
        <v>6882</v>
      </c>
      <c r="D2104" s="41">
        <v>2090</v>
      </c>
      <c r="E2104" s="41" t="s">
        <v>3773</v>
      </c>
      <c r="F2104" s="41" t="s">
        <v>28</v>
      </c>
      <c r="G2104" s="41" t="s">
        <v>64</v>
      </c>
      <c r="I2104" s="41" t="s">
        <v>1018</v>
      </c>
      <c r="J2104" s="41" t="s">
        <v>32</v>
      </c>
      <c r="K2104" s="42"/>
      <c r="L2104" s="41" t="s">
        <v>6883</v>
      </c>
      <c r="M2104" s="41">
        <v>220</v>
      </c>
      <c r="N2104" s="41" t="s">
        <v>1629</v>
      </c>
      <c r="O2104" s="41" t="s">
        <v>36</v>
      </c>
      <c r="P2104" s="41" t="s">
        <v>153</v>
      </c>
      <c r="Q2104" s="41" t="s">
        <v>154</v>
      </c>
      <c r="R2104" s="41" t="s">
        <v>39</v>
      </c>
      <c r="S2104" s="41" t="s">
        <v>40</v>
      </c>
      <c r="T2104" s="41" t="s">
        <v>40</v>
      </c>
      <c r="U2104" s="41" t="s">
        <v>40</v>
      </c>
    </row>
    <row r="2105" spans="1:21">
      <c r="A2105" s="41">
        <v>599</v>
      </c>
      <c r="B2105" s="41" t="s">
        <v>6884</v>
      </c>
      <c r="E2105" s="41" t="s">
        <v>2405</v>
      </c>
      <c r="F2105" s="41" t="s">
        <v>53</v>
      </c>
      <c r="G2105" s="41" t="s">
        <v>64</v>
      </c>
      <c r="I2105" s="41" t="s">
        <v>464</v>
      </c>
      <c r="J2105" s="41" t="s">
        <v>295</v>
      </c>
      <c r="K2105" s="42"/>
      <c r="L2105" s="41" t="s">
        <v>6885</v>
      </c>
      <c r="M2105" s="41">
        <v>110</v>
      </c>
      <c r="N2105" s="41" t="s">
        <v>67</v>
      </c>
      <c r="O2105" s="41" t="s">
        <v>6886</v>
      </c>
      <c r="P2105" s="41" t="s">
        <v>78</v>
      </c>
      <c r="Q2105" s="41" t="s">
        <v>6887</v>
      </c>
      <c r="R2105" s="41" t="s">
        <v>132</v>
      </c>
      <c r="S2105" s="41" t="s">
        <v>40</v>
      </c>
      <c r="T2105" s="41" t="s">
        <v>40</v>
      </c>
      <c r="U2105" s="41" t="s">
        <v>40</v>
      </c>
    </row>
    <row r="2106" spans="1:21">
      <c r="A2106" s="41">
        <v>598</v>
      </c>
      <c r="B2106" s="41" t="s">
        <v>6888</v>
      </c>
      <c r="D2106" s="41">
        <v>2128</v>
      </c>
      <c r="E2106" s="41" t="s">
        <v>6889</v>
      </c>
      <c r="F2106" s="41" t="s">
        <v>53</v>
      </c>
      <c r="G2106" s="41" t="s">
        <v>64</v>
      </c>
      <c r="I2106" s="41" t="s">
        <v>45</v>
      </c>
      <c r="J2106" s="41" t="s">
        <v>380</v>
      </c>
      <c r="K2106" s="42"/>
      <c r="L2106" s="41" t="s">
        <v>6890</v>
      </c>
      <c r="M2106" s="41">
        <v>220</v>
      </c>
      <c r="N2106" s="41" t="s">
        <v>4432</v>
      </c>
      <c r="O2106" s="41" t="s">
        <v>396</v>
      </c>
      <c r="P2106" s="41" t="s">
        <v>37</v>
      </c>
      <c r="Q2106" s="41" t="s">
        <v>3076</v>
      </c>
      <c r="R2106" s="41" t="s">
        <v>62</v>
      </c>
      <c r="S2106" s="41" t="s">
        <v>6891</v>
      </c>
      <c r="T2106" s="41" t="s">
        <v>210</v>
      </c>
      <c r="U2106" s="41" t="s">
        <v>40</v>
      </c>
    </row>
    <row r="2107" spans="1:21">
      <c r="A2107" s="41">
        <v>597</v>
      </c>
      <c r="B2107" s="41" t="s">
        <v>6892</v>
      </c>
      <c r="D2107" s="41">
        <v>2231</v>
      </c>
      <c r="E2107" s="41" t="s">
        <v>1076</v>
      </c>
      <c r="F2107" s="41" t="s">
        <v>53</v>
      </c>
      <c r="G2107" s="41" t="s">
        <v>43</v>
      </c>
      <c r="I2107" s="41" t="s">
        <v>1303</v>
      </c>
      <c r="J2107" s="41" t="s">
        <v>380</v>
      </c>
      <c r="K2107" s="42"/>
      <c r="L2107" s="41" t="s">
        <v>6893</v>
      </c>
      <c r="M2107" s="41">
        <v>220</v>
      </c>
      <c r="N2107" s="41" t="s">
        <v>1908</v>
      </c>
      <c r="O2107" s="41" t="s">
        <v>757</v>
      </c>
      <c r="P2107" s="41" t="s">
        <v>78</v>
      </c>
      <c r="Q2107" s="41" t="s">
        <v>278</v>
      </c>
      <c r="R2107" s="41" t="s">
        <v>132</v>
      </c>
      <c r="S2107" s="41" t="s">
        <v>40</v>
      </c>
      <c r="T2107" s="41" t="s">
        <v>40</v>
      </c>
      <c r="U2107" s="41" t="s">
        <v>40</v>
      </c>
    </row>
    <row r="2108" spans="1:21">
      <c r="A2108" s="41">
        <v>593</v>
      </c>
      <c r="B2108" s="41" t="s">
        <v>6894</v>
      </c>
      <c r="E2108" s="41" t="s">
        <v>1613</v>
      </c>
      <c r="F2108" s="41" t="s">
        <v>53</v>
      </c>
      <c r="G2108" s="41" t="s">
        <v>43</v>
      </c>
      <c r="I2108" s="41" t="s">
        <v>6895</v>
      </c>
      <c r="J2108" s="41" t="s">
        <v>295</v>
      </c>
      <c r="K2108" s="42"/>
      <c r="L2108" s="41" t="s">
        <v>6896</v>
      </c>
      <c r="M2108" s="41">
        <v>110</v>
      </c>
      <c r="N2108" s="41" t="s">
        <v>67</v>
      </c>
      <c r="O2108" s="41" t="s">
        <v>77</v>
      </c>
      <c r="P2108" s="41" t="s">
        <v>78</v>
      </c>
      <c r="Q2108" s="41" t="s">
        <v>79</v>
      </c>
      <c r="R2108" s="41" t="s">
        <v>62</v>
      </c>
      <c r="S2108" s="41" t="s">
        <v>40</v>
      </c>
      <c r="T2108" s="41" t="s">
        <v>40</v>
      </c>
      <c r="U2108" s="41" t="s">
        <v>40</v>
      </c>
    </row>
    <row r="2109" spans="1:21">
      <c r="A2109" s="41">
        <v>592</v>
      </c>
      <c r="B2109" s="41" t="s">
        <v>6897</v>
      </c>
      <c r="D2109" s="41">
        <v>2212</v>
      </c>
      <c r="E2109" s="41" t="s">
        <v>6788</v>
      </c>
      <c r="F2109" s="41" t="s">
        <v>53</v>
      </c>
      <c r="G2109" s="41" t="s">
        <v>1071</v>
      </c>
      <c r="I2109" s="41" t="s">
        <v>619</v>
      </c>
      <c r="J2109" s="41" t="s">
        <v>672</v>
      </c>
      <c r="K2109" s="42"/>
      <c r="L2109" s="41" t="s">
        <v>6898</v>
      </c>
      <c r="M2109" s="41">
        <v>23</v>
      </c>
      <c r="N2109" s="41" t="s">
        <v>6899</v>
      </c>
      <c r="O2109" s="41" t="s">
        <v>5712</v>
      </c>
      <c r="P2109" s="41" t="s">
        <v>83</v>
      </c>
      <c r="Q2109" s="41" t="s">
        <v>2000</v>
      </c>
      <c r="R2109" s="41" t="s">
        <v>132</v>
      </c>
      <c r="S2109" s="41" t="s">
        <v>40</v>
      </c>
      <c r="T2109" s="41" t="s">
        <v>40</v>
      </c>
      <c r="U2109" s="41" t="s">
        <v>40</v>
      </c>
    </row>
    <row r="2110" spans="1:21">
      <c r="A2110" s="41">
        <v>591</v>
      </c>
      <c r="B2110" s="41" t="s">
        <v>6900</v>
      </c>
      <c r="D2110" s="41">
        <v>2211</v>
      </c>
      <c r="E2110" s="41" t="s">
        <v>2890</v>
      </c>
      <c r="F2110" s="41" t="s">
        <v>53</v>
      </c>
      <c r="G2110" s="41" t="s">
        <v>141</v>
      </c>
      <c r="I2110" s="41" t="s">
        <v>392</v>
      </c>
      <c r="J2110" s="41" t="s">
        <v>295</v>
      </c>
      <c r="K2110" s="42"/>
      <c r="L2110" s="41" t="s">
        <v>4125</v>
      </c>
      <c r="M2110" s="41">
        <v>220</v>
      </c>
      <c r="N2110" s="41" t="s">
        <v>2003</v>
      </c>
      <c r="O2110" s="41" t="s">
        <v>1877</v>
      </c>
      <c r="P2110" s="41" t="s">
        <v>98</v>
      </c>
      <c r="Q2110" s="41" t="s">
        <v>98</v>
      </c>
      <c r="R2110" s="41" t="s">
        <v>132</v>
      </c>
      <c r="S2110" s="41" t="s">
        <v>6901</v>
      </c>
      <c r="T2110" s="41" t="s">
        <v>3491</v>
      </c>
      <c r="U2110" s="41" t="s">
        <v>1846</v>
      </c>
    </row>
    <row r="2111" spans="1:21">
      <c r="A2111" s="41">
        <v>590</v>
      </c>
      <c r="B2111" s="41" t="s">
        <v>6902</v>
      </c>
      <c r="D2111" s="41">
        <v>2210</v>
      </c>
      <c r="E2111" s="41" t="s">
        <v>6903</v>
      </c>
      <c r="F2111" s="41" t="s">
        <v>53</v>
      </c>
      <c r="G2111" s="41" t="s">
        <v>54</v>
      </c>
      <c r="I2111" s="41" t="s">
        <v>194</v>
      </c>
      <c r="J2111" s="41" t="s">
        <v>295</v>
      </c>
      <c r="K2111" s="42"/>
      <c r="L2111" s="41" t="s">
        <v>6904</v>
      </c>
      <c r="M2111" s="41">
        <v>12</v>
      </c>
      <c r="N2111" s="41" t="s">
        <v>340</v>
      </c>
      <c r="O2111" s="41" t="s">
        <v>1095</v>
      </c>
      <c r="P2111" s="41" t="s">
        <v>78</v>
      </c>
      <c r="Q2111" s="41" t="s">
        <v>483</v>
      </c>
      <c r="R2111" s="41" t="s">
        <v>132</v>
      </c>
      <c r="S2111" s="41" t="s">
        <v>40</v>
      </c>
      <c r="T2111" s="41" t="s">
        <v>40</v>
      </c>
      <c r="U2111" s="41" t="s">
        <v>40</v>
      </c>
    </row>
    <row r="2112" spans="1:21">
      <c r="A2112" s="41">
        <v>589</v>
      </c>
      <c r="B2112" s="41" t="s">
        <v>6905</v>
      </c>
      <c r="E2112" s="41" t="s">
        <v>1076</v>
      </c>
      <c r="F2112" s="41" t="s">
        <v>53</v>
      </c>
      <c r="G2112" s="41" t="s">
        <v>43</v>
      </c>
      <c r="I2112" s="41" t="s">
        <v>1303</v>
      </c>
      <c r="J2112" s="41" t="s">
        <v>295</v>
      </c>
      <c r="K2112" s="42"/>
      <c r="L2112" s="41" t="s">
        <v>6906</v>
      </c>
      <c r="M2112" s="41">
        <v>220</v>
      </c>
      <c r="N2112" s="41" t="s">
        <v>6907</v>
      </c>
      <c r="O2112" s="41" t="s">
        <v>757</v>
      </c>
      <c r="P2112" s="41" t="s">
        <v>78</v>
      </c>
      <c r="Q2112" s="41" t="s">
        <v>278</v>
      </c>
      <c r="R2112" s="41" t="s">
        <v>132</v>
      </c>
      <c r="S2112" s="41" t="s">
        <v>40</v>
      </c>
      <c r="T2112" s="41" t="s">
        <v>40</v>
      </c>
      <c r="U2112" s="41" t="s">
        <v>40</v>
      </c>
    </row>
    <row r="2113" spans="1:21">
      <c r="A2113" s="41">
        <v>588</v>
      </c>
      <c r="B2113" s="41" t="s">
        <v>6908</v>
      </c>
      <c r="E2113" s="41" t="s">
        <v>4746</v>
      </c>
      <c r="F2113" s="41" t="s">
        <v>28</v>
      </c>
      <c r="G2113" s="41" t="s">
        <v>64</v>
      </c>
      <c r="I2113" s="41" t="s">
        <v>6909</v>
      </c>
      <c r="J2113" s="41" t="s">
        <v>295</v>
      </c>
      <c r="K2113" s="42"/>
      <c r="L2113" s="41" t="s">
        <v>6910</v>
      </c>
      <c r="M2113" s="41">
        <v>220</v>
      </c>
      <c r="N2113" s="41" t="s">
        <v>6911</v>
      </c>
      <c r="O2113" s="41" t="s">
        <v>6912</v>
      </c>
      <c r="P2113" s="41" t="s">
        <v>179</v>
      </c>
      <c r="Q2113" s="41" t="s">
        <v>1116</v>
      </c>
      <c r="R2113" s="41" t="s">
        <v>39</v>
      </c>
      <c r="S2113" s="41" t="s">
        <v>40</v>
      </c>
      <c r="T2113" s="41" t="s">
        <v>40</v>
      </c>
      <c r="U2113" s="41" t="s">
        <v>40</v>
      </c>
    </row>
    <row r="2114" spans="1:21">
      <c r="A2114" s="41">
        <v>578</v>
      </c>
      <c r="B2114" s="41" t="s">
        <v>6913</v>
      </c>
      <c r="D2114" s="41">
        <v>2023</v>
      </c>
      <c r="E2114" s="41" t="s">
        <v>6914</v>
      </c>
      <c r="F2114" s="41" t="s">
        <v>28</v>
      </c>
      <c r="G2114" s="41" t="s">
        <v>64</v>
      </c>
      <c r="I2114" s="41" t="s">
        <v>406</v>
      </c>
      <c r="J2114" s="41" t="s">
        <v>295</v>
      </c>
      <c r="K2114" s="42"/>
      <c r="L2114" s="41" t="s">
        <v>6915</v>
      </c>
      <c r="M2114" s="41">
        <v>110</v>
      </c>
      <c r="N2114" s="41" t="s">
        <v>6916</v>
      </c>
      <c r="O2114" s="41" t="s">
        <v>341</v>
      </c>
      <c r="P2114" s="41" t="s">
        <v>179</v>
      </c>
      <c r="Q2114" s="41" t="s">
        <v>524</v>
      </c>
      <c r="R2114" s="41" t="s">
        <v>39</v>
      </c>
      <c r="S2114" s="41" t="s">
        <v>40</v>
      </c>
      <c r="T2114" s="41" t="s">
        <v>40</v>
      </c>
      <c r="U2114" s="41" t="s">
        <v>40</v>
      </c>
    </row>
    <row r="2115" spans="1:21">
      <c r="A2115" s="41">
        <v>577</v>
      </c>
      <c r="B2115" s="41" t="s">
        <v>6917</v>
      </c>
      <c r="D2115" s="41">
        <v>2137</v>
      </c>
      <c r="E2115" s="41" t="s">
        <v>2027</v>
      </c>
      <c r="F2115" s="41" t="s">
        <v>53</v>
      </c>
      <c r="G2115" s="41" t="s">
        <v>64</v>
      </c>
      <c r="I2115" s="41" t="s">
        <v>406</v>
      </c>
      <c r="J2115" s="41" t="s">
        <v>295</v>
      </c>
      <c r="K2115" s="42"/>
      <c r="L2115" s="41" t="s">
        <v>4646</v>
      </c>
      <c r="M2115" s="41">
        <v>66</v>
      </c>
      <c r="N2115" s="41" t="s">
        <v>6098</v>
      </c>
      <c r="O2115" s="41" t="s">
        <v>2721</v>
      </c>
      <c r="P2115" s="41" t="s">
        <v>60</v>
      </c>
      <c r="Q2115" s="41" t="s">
        <v>608</v>
      </c>
      <c r="R2115" s="41" t="s">
        <v>132</v>
      </c>
      <c r="S2115" s="41" t="s">
        <v>6918</v>
      </c>
      <c r="T2115" s="41" t="s">
        <v>6129</v>
      </c>
      <c r="U2115" s="41" t="s">
        <v>3491</v>
      </c>
    </row>
    <row r="2116" spans="1:21">
      <c r="A2116" s="41">
        <v>575</v>
      </c>
      <c r="B2116" s="41" t="s">
        <v>409</v>
      </c>
      <c r="E2116" s="41" t="s">
        <v>27</v>
      </c>
      <c r="F2116" s="41" t="s">
        <v>53</v>
      </c>
      <c r="G2116" s="41" t="s">
        <v>64</v>
      </c>
      <c r="I2116" s="41" t="s">
        <v>411</v>
      </c>
      <c r="J2116" s="41" t="s">
        <v>295</v>
      </c>
      <c r="K2116" s="42"/>
      <c r="L2116" s="41" t="s">
        <v>418</v>
      </c>
      <c r="M2116" s="41">
        <v>66</v>
      </c>
      <c r="N2116" s="41" t="s">
        <v>59</v>
      </c>
      <c r="O2116" s="41" t="s">
        <v>77</v>
      </c>
      <c r="P2116" s="41" t="s">
        <v>60</v>
      </c>
      <c r="Q2116" s="41" t="s">
        <v>419</v>
      </c>
      <c r="R2116" s="41" t="s">
        <v>132</v>
      </c>
      <c r="S2116" s="41" t="s">
        <v>40</v>
      </c>
      <c r="T2116" s="41" t="s">
        <v>40</v>
      </c>
      <c r="U2116" s="41" t="s">
        <v>40</v>
      </c>
    </row>
    <row r="2117" spans="1:21">
      <c r="A2117" s="41">
        <v>574</v>
      </c>
      <c r="B2117" s="41" t="s">
        <v>420</v>
      </c>
      <c r="E2117" s="41" t="s">
        <v>27</v>
      </c>
      <c r="F2117" s="41" t="s">
        <v>53</v>
      </c>
      <c r="G2117" s="41" t="s">
        <v>64</v>
      </c>
      <c r="I2117" s="41" t="s">
        <v>411</v>
      </c>
      <c r="J2117" s="41" t="s">
        <v>295</v>
      </c>
      <c r="K2117" s="42"/>
      <c r="L2117" s="41" t="s">
        <v>422</v>
      </c>
      <c r="M2117" s="41">
        <v>66</v>
      </c>
      <c r="N2117" s="41" t="s">
        <v>59</v>
      </c>
      <c r="O2117" s="41" t="s">
        <v>77</v>
      </c>
      <c r="P2117" s="41" t="s">
        <v>334</v>
      </c>
      <c r="Q2117" s="41" t="s">
        <v>423</v>
      </c>
      <c r="R2117" s="41" t="s">
        <v>132</v>
      </c>
      <c r="S2117" s="41" t="s">
        <v>40</v>
      </c>
      <c r="T2117" s="41" t="s">
        <v>40</v>
      </c>
      <c r="U2117" s="41" t="s">
        <v>40</v>
      </c>
    </row>
    <row r="2118" spans="1:21">
      <c r="A2118" s="41">
        <v>573</v>
      </c>
      <c r="B2118" s="41" t="s">
        <v>424</v>
      </c>
      <c r="E2118" s="41" t="s">
        <v>27</v>
      </c>
      <c r="F2118" s="41" t="s">
        <v>53</v>
      </c>
      <c r="G2118" s="41" t="s">
        <v>64</v>
      </c>
      <c r="I2118" s="41" t="s">
        <v>426</v>
      </c>
      <c r="J2118" s="41" t="s">
        <v>295</v>
      </c>
      <c r="K2118" s="42"/>
      <c r="L2118" s="41" t="s">
        <v>427</v>
      </c>
      <c r="M2118" s="41">
        <v>66</v>
      </c>
      <c r="N2118" s="41" t="s">
        <v>59</v>
      </c>
      <c r="O2118" s="41" t="s">
        <v>77</v>
      </c>
      <c r="P2118" s="41" t="s">
        <v>60</v>
      </c>
      <c r="Q2118" s="41" t="s">
        <v>428</v>
      </c>
      <c r="R2118" s="41" t="s">
        <v>132</v>
      </c>
      <c r="S2118" s="41" t="s">
        <v>40</v>
      </c>
      <c r="T2118" s="41" t="s">
        <v>40</v>
      </c>
      <c r="U2118" s="41" t="s">
        <v>40</v>
      </c>
    </row>
    <row r="2119" spans="1:21">
      <c r="A2119" s="41">
        <v>572</v>
      </c>
      <c r="B2119" s="41" t="s">
        <v>6919</v>
      </c>
      <c r="D2119" s="41">
        <v>2065</v>
      </c>
      <c r="E2119" s="41" t="s">
        <v>1882</v>
      </c>
      <c r="F2119" s="41" t="s">
        <v>53</v>
      </c>
      <c r="G2119" s="41" t="s">
        <v>141</v>
      </c>
      <c r="I2119" s="41" t="s">
        <v>325</v>
      </c>
      <c r="J2119" s="41" t="s">
        <v>295</v>
      </c>
      <c r="K2119" s="42"/>
      <c r="L2119" s="41" t="s">
        <v>6920</v>
      </c>
      <c r="M2119" s="41">
        <v>66</v>
      </c>
      <c r="N2119" s="41" t="s">
        <v>1020</v>
      </c>
      <c r="O2119" s="41" t="s">
        <v>1151</v>
      </c>
      <c r="P2119" s="41" t="s">
        <v>172</v>
      </c>
      <c r="Q2119" s="41" t="s">
        <v>197</v>
      </c>
      <c r="R2119" s="41" t="s">
        <v>132</v>
      </c>
      <c r="S2119" s="41" t="s">
        <v>6921</v>
      </c>
      <c r="T2119" s="41" t="s">
        <v>2246</v>
      </c>
      <c r="U2119" s="41" t="s">
        <v>2246</v>
      </c>
    </row>
    <row r="2120" spans="1:21">
      <c r="A2120" s="41">
        <v>570</v>
      </c>
      <c r="B2120" s="41" t="s">
        <v>6922</v>
      </c>
      <c r="E2120" s="41" t="s">
        <v>1613</v>
      </c>
      <c r="F2120" s="41" t="s">
        <v>28</v>
      </c>
      <c r="G2120" s="41" t="s">
        <v>43</v>
      </c>
      <c r="I2120" s="41" t="s">
        <v>325</v>
      </c>
      <c r="J2120" s="41" t="s">
        <v>295</v>
      </c>
      <c r="K2120" s="42"/>
      <c r="L2120" s="41" t="s">
        <v>6923</v>
      </c>
      <c r="M2120" s="41">
        <v>220</v>
      </c>
      <c r="N2120" s="41" t="s">
        <v>67</v>
      </c>
      <c r="O2120" s="41" t="s">
        <v>757</v>
      </c>
      <c r="P2120" s="41" t="s">
        <v>78</v>
      </c>
      <c r="Q2120" s="41" t="s">
        <v>6924</v>
      </c>
      <c r="R2120" s="41" t="s">
        <v>39</v>
      </c>
      <c r="S2120" s="41" t="s">
        <v>40</v>
      </c>
      <c r="T2120" s="41" t="s">
        <v>40</v>
      </c>
      <c r="U2120" s="41" t="s">
        <v>40</v>
      </c>
    </row>
    <row r="2121" spans="1:21">
      <c r="A2121" s="41">
        <v>569</v>
      </c>
      <c r="B2121" s="41" t="s">
        <v>6925</v>
      </c>
      <c r="E2121" s="41" t="s">
        <v>2405</v>
      </c>
      <c r="F2121" s="41" t="s">
        <v>53</v>
      </c>
      <c r="G2121" s="41" t="s">
        <v>64</v>
      </c>
      <c r="I2121" s="41" t="s">
        <v>411</v>
      </c>
      <c r="J2121" s="41" t="s">
        <v>295</v>
      </c>
      <c r="K2121" s="42"/>
      <c r="L2121" s="41" t="s">
        <v>6926</v>
      </c>
      <c r="M2121" s="41">
        <v>66</v>
      </c>
      <c r="N2121" s="41" t="s">
        <v>6927</v>
      </c>
      <c r="O2121" s="41" t="s">
        <v>388</v>
      </c>
      <c r="P2121" s="41" t="s">
        <v>172</v>
      </c>
      <c r="Q2121" s="41" t="s">
        <v>1104</v>
      </c>
      <c r="R2121" s="41" t="s">
        <v>132</v>
      </c>
      <c r="S2121" s="41" t="s">
        <v>40</v>
      </c>
      <c r="T2121" s="41" t="s">
        <v>40</v>
      </c>
      <c r="U2121" s="41" t="s">
        <v>40</v>
      </c>
    </row>
    <row r="2122" spans="1:21">
      <c r="A2122" s="41">
        <v>568</v>
      </c>
      <c r="B2122" s="41" t="s">
        <v>6863</v>
      </c>
      <c r="E2122" s="41" t="s">
        <v>2426</v>
      </c>
      <c r="F2122" s="41" t="s">
        <v>53</v>
      </c>
      <c r="G2122" s="41" t="s">
        <v>64</v>
      </c>
      <c r="I2122" s="41" t="s">
        <v>135</v>
      </c>
      <c r="J2122" s="41" t="s">
        <v>295</v>
      </c>
      <c r="K2122" s="42"/>
      <c r="L2122" s="41" t="s">
        <v>5130</v>
      </c>
      <c r="M2122" s="41">
        <v>220</v>
      </c>
      <c r="N2122" s="41" t="s">
        <v>1293</v>
      </c>
      <c r="O2122" s="41" t="s">
        <v>6701</v>
      </c>
      <c r="P2122" s="41" t="s">
        <v>78</v>
      </c>
      <c r="Q2122" s="41" t="s">
        <v>483</v>
      </c>
      <c r="R2122" s="41" t="s">
        <v>62</v>
      </c>
      <c r="S2122" s="41" t="s">
        <v>40</v>
      </c>
      <c r="T2122" s="41" t="s">
        <v>40</v>
      </c>
      <c r="U2122" s="41" t="s">
        <v>40</v>
      </c>
    </row>
    <row r="2123" spans="1:21">
      <c r="A2123" s="41">
        <v>567</v>
      </c>
      <c r="B2123" s="41" t="s">
        <v>6928</v>
      </c>
      <c r="D2123" s="41">
        <v>2142</v>
      </c>
      <c r="E2123" s="41" t="s">
        <v>6929</v>
      </c>
      <c r="F2123" s="41" t="s">
        <v>53</v>
      </c>
      <c r="G2123" s="41" t="s">
        <v>141</v>
      </c>
      <c r="I2123" s="41" t="s">
        <v>1188</v>
      </c>
      <c r="J2123" s="41" t="s">
        <v>295</v>
      </c>
      <c r="K2123" s="42"/>
      <c r="L2123" s="41" t="s">
        <v>6930</v>
      </c>
      <c r="M2123" s="41">
        <v>220</v>
      </c>
      <c r="N2123" s="41" t="s">
        <v>340</v>
      </c>
      <c r="O2123" s="41" t="s">
        <v>1294</v>
      </c>
      <c r="P2123" s="41" t="s">
        <v>546</v>
      </c>
      <c r="Q2123" s="41" t="s">
        <v>2100</v>
      </c>
      <c r="R2123" s="41" t="s">
        <v>62</v>
      </c>
      <c r="S2123" s="41" t="s">
        <v>6931</v>
      </c>
      <c r="T2123" s="41" t="s">
        <v>2169</v>
      </c>
      <c r="U2123" s="41" t="s">
        <v>40</v>
      </c>
    </row>
    <row r="2124" spans="1:21">
      <c r="A2124" s="41">
        <v>566</v>
      </c>
      <c r="B2124" s="41" t="s">
        <v>6932</v>
      </c>
      <c r="D2124" s="41">
        <v>2162</v>
      </c>
      <c r="E2124" s="41" t="s">
        <v>1076</v>
      </c>
      <c r="F2124" s="41" t="s">
        <v>53</v>
      </c>
      <c r="G2124" s="41" t="s">
        <v>141</v>
      </c>
      <c r="I2124" s="41" t="s">
        <v>392</v>
      </c>
      <c r="J2124" s="41" t="s">
        <v>295</v>
      </c>
      <c r="K2124" s="42"/>
      <c r="L2124" s="41" t="s">
        <v>6933</v>
      </c>
      <c r="M2124" s="41">
        <v>220</v>
      </c>
      <c r="N2124" s="41" t="s">
        <v>6934</v>
      </c>
      <c r="O2124" s="41" t="s">
        <v>6935</v>
      </c>
      <c r="P2124" s="41" t="s">
        <v>78</v>
      </c>
      <c r="Q2124" s="41" t="s">
        <v>483</v>
      </c>
      <c r="R2124" s="41" t="s">
        <v>132</v>
      </c>
      <c r="S2124" s="41" t="s">
        <v>6936</v>
      </c>
      <c r="T2124" s="41" t="s">
        <v>753</v>
      </c>
      <c r="U2124" s="41" t="s">
        <v>1289</v>
      </c>
    </row>
    <row r="2125" spans="1:21">
      <c r="A2125" s="41">
        <v>565</v>
      </c>
      <c r="B2125" s="41" t="s">
        <v>6937</v>
      </c>
      <c r="E2125" s="41" t="s">
        <v>1076</v>
      </c>
      <c r="F2125" s="41" t="s">
        <v>53</v>
      </c>
      <c r="G2125" s="41" t="s">
        <v>64</v>
      </c>
      <c r="I2125" s="41" t="s">
        <v>1303</v>
      </c>
      <c r="J2125" s="41" t="s">
        <v>295</v>
      </c>
      <c r="K2125" s="42"/>
      <c r="L2125" s="41" t="s">
        <v>6938</v>
      </c>
      <c r="M2125" s="41">
        <v>220</v>
      </c>
      <c r="N2125" s="41" t="s">
        <v>151</v>
      </c>
      <c r="O2125" s="41" t="s">
        <v>1615</v>
      </c>
      <c r="P2125" s="41" t="s">
        <v>37</v>
      </c>
      <c r="Q2125" s="41" t="s">
        <v>969</v>
      </c>
      <c r="R2125" s="41" t="s">
        <v>62</v>
      </c>
      <c r="S2125" s="41" t="s">
        <v>40</v>
      </c>
      <c r="T2125" s="41" t="s">
        <v>40</v>
      </c>
      <c r="U2125" s="41" t="s">
        <v>40</v>
      </c>
    </row>
    <row r="2126" spans="1:21">
      <c r="A2126" s="41">
        <v>564</v>
      </c>
      <c r="B2126" s="41" t="s">
        <v>429</v>
      </c>
      <c r="E2126" s="41" t="s">
        <v>27</v>
      </c>
      <c r="F2126" s="41" t="s">
        <v>53</v>
      </c>
      <c r="G2126" s="41" t="s">
        <v>64</v>
      </c>
      <c r="I2126" s="41" t="s">
        <v>231</v>
      </c>
      <c r="J2126" s="41" t="s">
        <v>295</v>
      </c>
      <c r="K2126" s="42"/>
      <c r="L2126" s="41" t="s">
        <v>431</v>
      </c>
      <c r="M2126" s="41">
        <v>66</v>
      </c>
      <c r="N2126" s="41" t="s">
        <v>59</v>
      </c>
      <c r="O2126" s="41" t="s">
        <v>77</v>
      </c>
      <c r="P2126" s="41" t="s">
        <v>172</v>
      </c>
      <c r="Q2126" s="41" t="s">
        <v>432</v>
      </c>
      <c r="R2126" s="41" t="s">
        <v>132</v>
      </c>
      <c r="S2126" s="41" t="s">
        <v>40</v>
      </c>
      <c r="T2126" s="41" t="s">
        <v>40</v>
      </c>
      <c r="U2126" s="41" t="s">
        <v>40</v>
      </c>
    </row>
    <row r="2127" spans="1:21">
      <c r="A2127" s="41">
        <v>563</v>
      </c>
      <c r="B2127" s="41" t="s">
        <v>433</v>
      </c>
      <c r="E2127" s="41" t="s">
        <v>27</v>
      </c>
      <c r="F2127" s="41" t="s">
        <v>53</v>
      </c>
      <c r="G2127" s="41" t="s">
        <v>43</v>
      </c>
      <c r="I2127" s="41" t="s">
        <v>411</v>
      </c>
      <c r="J2127" s="41" t="s">
        <v>295</v>
      </c>
      <c r="K2127" s="42"/>
      <c r="L2127" s="41" t="s">
        <v>435</v>
      </c>
      <c r="M2127" s="41">
        <v>66</v>
      </c>
      <c r="N2127" s="41" t="s">
        <v>59</v>
      </c>
      <c r="O2127" s="41" t="s">
        <v>77</v>
      </c>
      <c r="P2127" s="41" t="s">
        <v>60</v>
      </c>
      <c r="Q2127" s="41" t="s">
        <v>436</v>
      </c>
      <c r="R2127" s="41" t="s">
        <v>132</v>
      </c>
      <c r="S2127" s="41" t="s">
        <v>40</v>
      </c>
      <c r="T2127" s="41" t="s">
        <v>40</v>
      </c>
      <c r="U2127" s="41" t="s">
        <v>40</v>
      </c>
    </row>
    <row r="2128" spans="1:21">
      <c r="A2128" s="41">
        <v>562</v>
      </c>
      <c r="B2128" s="41" t="s">
        <v>437</v>
      </c>
      <c r="E2128" s="41" t="s">
        <v>27</v>
      </c>
      <c r="F2128" s="41" t="s">
        <v>28</v>
      </c>
      <c r="G2128" s="41" t="s">
        <v>43</v>
      </c>
      <c r="I2128" s="41" t="s">
        <v>162</v>
      </c>
      <c r="J2128" s="41" t="s">
        <v>295</v>
      </c>
      <c r="K2128" s="42"/>
      <c r="L2128" s="41" t="s">
        <v>439</v>
      </c>
      <c r="M2128" s="41">
        <v>220</v>
      </c>
      <c r="N2128" s="41" t="s">
        <v>59</v>
      </c>
      <c r="O2128" s="41" t="s">
        <v>77</v>
      </c>
      <c r="P2128" s="41" t="s">
        <v>78</v>
      </c>
      <c r="Q2128" s="41" t="s">
        <v>440</v>
      </c>
      <c r="R2128" s="41" t="s">
        <v>39</v>
      </c>
      <c r="S2128" s="41" t="s">
        <v>40</v>
      </c>
      <c r="T2128" s="41" t="s">
        <v>40</v>
      </c>
      <c r="U2128" s="41" t="s">
        <v>40</v>
      </c>
    </row>
    <row r="2129" spans="1:21">
      <c r="A2129" s="41">
        <v>561</v>
      </c>
      <c r="B2129" s="41" t="s">
        <v>441</v>
      </c>
      <c r="E2129" s="41" t="s">
        <v>27</v>
      </c>
      <c r="F2129" s="41" t="s">
        <v>53</v>
      </c>
      <c r="G2129" s="41" t="s">
        <v>43</v>
      </c>
      <c r="I2129" s="41" t="s">
        <v>411</v>
      </c>
      <c r="J2129" s="41" t="s">
        <v>380</v>
      </c>
      <c r="K2129" s="42"/>
      <c r="L2129" s="41" t="s">
        <v>443</v>
      </c>
      <c r="M2129" s="41">
        <v>66</v>
      </c>
      <c r="N2129" s="41" t="s">
        <v>444</v>
      </c>
      <c r="O2129" s="41" t="s">
        <v>445</v>
      </c>
      <c r="P2129" s="41" t="s">
        <v>382</v>
      </c>
      <c r="Q2129" s="41" t="s">
        <v>446</v>
      </c>
      <c r="R2129" s="41" t="s">
        <v>132</v>
      </c>
      <c r="S2129" s="41" t="s">
        <v>40</v>
      </c>
      <c r="T2129" s="41" t="s">
        <v>40</v>
      </c>
      <c r="U2129" s="41" t="s">
        <v>40</v>
      </c>
    </row>
    <row r="2130" spans="1:21">
      <c r="A2130" s="41">
        <v>560</v>
      </c>
      <c r="B2130" s="41" t="s">
        <v>6939</v>
      </c>
      <c r="E2130" s="41" t="s">
        <v>1613</v>
      </c>
      <c r="F2130" s="41" t="s">
        <v>53</v>
      </c>
      <c r="G2130" s="41" t="s">
        <v>43</v>
      </c>
      <c r="I2130" s="41" t="s">
        <v>102</v>
      </c>
      <c r="J2130" s="41" t="s">
        <v>295</v>
      </c>
      <c r="K2130" s="42"/>
      <c r="L2130" s="41" t="s">
        <v>6940</v>
      </c>
      <c r="M2130" s="41">
        <v>220</v>
      </c>
      <c r="N2130" s="41" t="s">
        <v>67</v>
      </c>
      <c r="O2130" s="41" t="s">
        <v>36</v>
      </c>
      <c r="P2130" s="41" t="s">
        <v>60</v>
      </c>
      <c r="Q2130" s="41" t="s">
        <v>6631</v>
      </c>
      <c r="R2130" s="41" t="s">
        <v>62</v>
      </c>
      <c r="S2130" s="41" t="s">
        <v>40</v>
      </c>
      <c r="T2130" s="41" t="s">
        <v>40</v>
      </c>
      <c r="U2130" s="41" t="s">
        <v>40</v>
      </c>
    </row>
    <row r="2131" spans="1:21">
      <c r="A2131" s="41">
        <v>559</v>
      </c>
      <c r="B2131" s="41" t="s">
        <v>6561</v>
      </c>
      <c r="D2131" s="41">
        <v>2443</v>
      </c>
      <c r="E2131" s="41" t="s">
        <v>6216</v>
      </c>
      <c r="F2131" s="41" t="s">
        <v>53</v>
      </c>
      <c r="G2131" s="41" t="s">
        <v>64</v>
      </c>
      <c r="I2131" s="41" t="s">
        <v>966</v>
      </c>
      <c r="J2131" s="41" t="s">
        <v>295</v>
      </c>
      <c r="K2131" s="42"/>
      <c r="L2131" s="41" t="s">
        <v>4839</v>
      </c>
      <c r="M2131" s="41">
        <v>110</v>
      </c>
      <c r="N2131" s="41" t="s">
        <v>1869</v>
      </c>
      <c r="O2131" s="41" t="s">
        <v>747</v>
      </c>
      <c r="P2131" s="41" t="s">
        <v>68</v>
      </c>
      <c r="Q2131" s="41" t="s">
        <v>244</v>
      </c>
      <c r="R2131" s="41" t="s">
        <v>132</v>
      </c>
      <c r="S2131" s="41" t="s">
        <v>40</v>
      </c>
      <c r="T2131" s="41" t="s">
        <v>40</v>
      </c>
      <c r="U2131" s="41" t="s">
        <v>40</v>
      </c>
    </row>
    <row r="2132" spans="1:21">
      <c r="A2132" s="41">
        <v>558</v>
      </c>
      <c r="B2132" s="41" t="s">
        <v>6941</v>
      </c>
      <c r="D2132" s="41">
        <v>2191</v>
      </c>
      <c r="E2132" s="41" t="s">
        <v>2426</v>
      </c>
      <c r="F2132" s="41" t="s">
        <v>53</v>
      </c>
      <c r="G2132" s="41" t="s">
        <v>64</v>
      </c>
      <c r="I2132" s="41" t="s">
        <v>135</v>
      </c>
      <c r="J2132" s="41" t="s">
        <v>295</v>
      </c>
      <c r="K2132" s="42"/>
      <c r="L2132" s="41" t="s">
        <v>6942</v>
      </c>
      <c r="M2132" s="41">
        <v>110</v>
      </c>
      <c r="N2132" s="41" t="s">
        <v>67</v>
      </c>
      <c r="O2132" s="41" t="s">
        <v>36</v>
      </c>
      <c r="P2132" s="41" t="s">
        <v>172</v>
      </c>
      <c r="Q2132" s="41" t="s">
        <v>253</v>
      </c>
      <c r="R2132" s="41" t="s">
        <v>62</v>
      </c>
      <c r="S2132" s="41" t="s">
        <v>40</v>
      </c>
      <c r="T2132" s="41" t="s">
        <v>40</v>
      </c>
      <c r="U2132" s="41" t="s">
        <v>40</v>
      </c>
    </row>
    <row r="2133" spans="1:21">
      <c r="A2133" s="41">
        <v>557</v>
      </c>
      <c r="B2133" s="41" t="s">
        <v>447</v>
      </c>
      <c r="D2133" s="41">
        <v>2139</v>
      </c>
      <c r="E2133" s="41" t="s">
        <v>27</v>
      </c>
      <c r="F2133" s="41" t="s">
        <v>53</v>
      </c>
      <c r="G2133" s="41" t="s">
        <v>307</v>
      </c>
      <c r="I2133" s="41" t="s">
        <v>45</v>
      </c>
      <c r="J2133" s="41" t="s">
        <v>295</v>
      </c>
      <c r="K2133" s="42"/>
      <c r="L2133" s="41" t="s">
        <v>450</v>
      </c>
      <c r="M2133" s="41">
        <v>220</v>
      </c>
      <c r="N2133" s="41" t="s">
        <v>451</v>
      </c>
      <c r="O2133" s="41" t="s">
        <v>452</v>
      </c>
      <c r="P2133" s="41" t="s">
        <v>50</v>
      </c>
      <c r="Q2133" s="41" t="s">
        <v>51</v>
      </c>
      <c r="R2133" s="41" t="s">
        <v>132</v>
      </c>
      <c r="S2133" s="41" t="s">
        <v>453</v>
      </c>
      <c r="T2133" s="41" t="s">
        <v>454</v>
      </c>
      <c r="U2133" s="41" t="s">
        <v>455</v>
      </c>
    </row>
    <row r="2134" spans="1:21">
      <c r="A2134" s="41">
        <v>556</v>
      </c>
      <c r="B2134" s="41" t="s">
        <v>6943</v>
      </c>
      <c r="E2134" s="41" t="s">
        <v>2426</v>
      </c>
      <c r="F2134" s="41" t="s">
        <v>53</v>
      </c>
      <c r="G2134" s="41" t="s">
        <v>64</v>
      </c>
      <c r="I2134" s="41" t="s">
        <v>325</v>
      </c>
      <c r="J2134" s="41" t="s">
        <v>295</v>
      </c>
      <c r="K2134" s="42"/>
      <c r="L2134" s="41" t="s">
        <v>3946</v>
      </c>
      <c r="M2134" s="41">
        <v>110</v>
      </c>
      <c r="N2134" s="41" t="s">
        <v>67</v>
      </c>
      <c r="O2134" s="41" t="s">
        <v>333</v>
      </c>
      <c r="P2134" s="41" t="s">
        <v>78</v>
      </c>
      <c r="Q2134" s="41" t="s">
        <v>6887</v>
      </c>
      <c r="R2134" s="41" t="s">
        <v>62</v>
      </c>
      <c r="S2134" s="41" t="s">
        <v>40</v>
      </c>
      <c r="T2134" s="41" t="s">
        <v>40</v>
      </c>
      <c r="U2134" s="41" t="s">
        <v>40</v>
      </c>
    </row>
    <row r="2135" spans="1:21">
      <c r="A2135" s="41">
        <v>555</v>
      </c>
      <c r="B2135" s="41" t="s">
        <v>456</v>
      </c>
      <c r="D2135" s="41">
        <v>2194</v>
      </c>
      <c r="E2135" s="41" t="s">
        <v>27</v>
      </c>
      <c r="F2135" s="41" t="s">
        <v>28</v>
      </c>
      <c r="G2135" s="41" t="s">
        <v>64</v>
      </c>
      <c r="I2135" s="41" t="s">
        <v>458</v>
      </c>
      <c r="J2135" s="41" t="s">
        <v>380</v>
      </c>
      <c r="K2135" s="42"/>
      <c r="L2135" s="41" t="s">
        <v>460</v>
      </c>
      <c r="M2135" s="41">
        <v>110</v>
      </c>
      <c r="N2135" s="41" t="s">
        <v>59</v>
      </c>
      <c r="O2135" s="41" t="s">
        <v>36</v>
      </c>
      <c r="P2135" s="41" t="s">
        <v>83</v>
      </c>
      <c r="Q2135" s="41" t="s">
        <v>461</v>
      </c>
      <c r="R2135" s="41" t="s">
        <v>39</v>
      </c>
      <c r="S2135" s="41" t="s">
        <v>40</v>
      </c>
      <c r="T2135" s="41" t="s">
        <v>40</v>
      </c>
      <c r="U2135" s="41" t="s">
        <v>40</v>
      </c>
    </row>
    <row r="2136" spans="1:21">
      <c r="A2136" s="41">
        <v>554</v>
      </c>
      <c r="B2136" s="41" t="s">
        <v>6944</v>
      </c>
      <c r="E2136" s="41" t="s">
        <v>6216</v>
      </c>
      <c r="F2136" s="41" t="s">
        <v>53</v>
      </c>
      <c r="G2136" s="41" t="s">
        <v>64</v>
      </c>
      <c r="I2136" s="41" t="s">
        <v>4556</v>
      </c>
      <c r="J2136" s="41" t="s">
        <v>380</v>
      </c>
      <c r="K2136" s="42"/>
      <c r="L2136" s="41" t="s">
        <v>6945</v>
      </c>
      <c r="M2136" s="41">
        <v>110</v>
      </c>
      <c r="N2136" s="41" t="s">
        <v>59</v>
      </c>
      <c r="O2136" s="41" t="s">
        <v>178</v>
      </c>
      <c r="P2136" s="41" t="s">
        <v>83</v>
      </c>
      <c r="Q2136" s="41" t="s">
        <v>1206</v>
      </c>
      <c r="R2136" s="41" t="s">
        <v>132</v>
      </c>
      <c r="S2136" s="41" t="s">
        <v>40</v>
      </c>
      <c r="T2136" s="41" t="s">
        <v>40</v>
      </c>
      <c r="U2136" s="41" t="s">
        <v>40</v>
      </c>
    </row>
    <row r="2137" spans="1:21">
      <c r="A2137" s="41">
        <v>553</v>
      </c>
      <c r="B2137" s="41" t="s">
        <v>6946</v>
      </c>
      <c r="E2137" s="41" t="s">
        <v>6947</v>
      </c>
      <c r="F2137" s="41" t="s">
        <v>28</v>
      </c>
      <c r="G2137" s="41" t="s">
        <v>64</v>
      </c>
      <c r="I2137" s="41" t="s">
        <v>521</v>
      </c>
      <c r="J2137" s="41" t="s">
        <v>672</v>
      </c>
      <c r="K2137" s="42"/>
      <c r="L2137" s="41" t="s">
        <v>6948</v>
      </c>
      <c r="M2137" s="41">
        <v>11</v>
      </c>
      <c r="N2137" s="41" t="s">
        <v>6949</v>
      </c>
      <c r="O2137" s="41" t="s">
        <v>6950</v>
      </c>
      <c r="P2137" s="41" t="s">
        <v>153</v>
      </c>
      <c r="Q2137" s="41" t="s">
        <v>1865</v>
      </c>
      <c r="R2137" s="41" t="s">
        <v>39</v>
      </c>
      <c r="S2137" s="41" t="s">
        <v>40</v>
      </c>
      <c r="T2137" s="41" t="s">
        <v>40</v>
      </c>
      <c r="U2137" s="41" t="s">
        <v>40</v>
      </c>
    </row>
    <row r="2138" spans="1:21">
      <c r="A2138" s="41">
        <v>552</v>
      </c>
      <c r="B2138" s="41" t="s">
        <v>6951</v>
      </c>
      <c r="D2138" s="41">
        <v>2169</v>
      </c>
      <c r="E2138" s="41" t="s">
        <v>27</v>
      </c>
      <c r="F2138" s="41" t="s">
        <v>53</v>
      </c>
      <c r="G2138" s="41" t="s">
        <v>141</v>
      </c>
      <c r="I2138" s="41" t="s">
        <v>1168</v>
      </c>
      <c r="J2138" s="41" t="s">
        <v>295</v>
      </c>
      <c r="K2138" s="42"/>
      <c r="L2138" s="41" t="s">
        <v>6952</v>
      </c>
      <c r="M2138" s="41">
        <v>154</v>
      </c>
      <c r="N2138" s="41" t="s">
        <v>2895</v>
      </c>
      <c r="O2138" s="41" t="s">
        <v>6953</v>
      </c>
      <c r="P2138" s="41" t="s">
        <v>60</v>
      </c>
      <c r="Q2138" s="41" t="s">
        <v>413</v>
      </c>
      <c r="R2138" s="41" t="s">
        <v>132</v>
      </c>
      <c r="S2138" s="41" t="s">
        <v>6954</v>
      </c>
      <c r="T2138" s="41" t="s">
        <v>4822</v>
      </c>
      <c r="U2138" s="41" t="s">
        <v>186</v>
      </c>
    </row>
    <row r="2139" spans="1:21">
      <c r="A2139" s="41">
        <v>551</v>
      </c>
      <c r="B2139" s="41" t="s">
        <v>6955</v>
      </c>
      <c r="E2139" s="41" t="s">
        <v>6293</v>
      </c>
      <c r="F2139" s="41" t="s">
        <v>53</v>
      </c>
      <c r="G2139" s="41" t="s">
        <v>1071</v>
      </c>
      <c r="I2139" s="41" t="s">
        <v>6956</v>
      </c>
      <c r="J2139" s="41" t="s">
        <v>672</v>
      </c>
      <c r="K2139" s="42"/>
      <c r="L2139" s="41" t="s">
        <v>6294</v>
      </c>
      <c r="M2139" s="41">
        <v>12</v>
      </c>
      <c r="N2139" s="41" t="s">
        <v>6957</v>
      </c>
      <c r="O2139" s="41" t="s">
        <v>6958</v>
      </c>
      <c r="P2139" s="41" t="s">
        <v>78</v>
      </c>
      <c r="Q2139" s="41" t="s">
        <v>131</v>
      </c>
      <c r="R2139" s="41" t="s">
        <v>132</v>
      </c>
      <c r="S2139" s="41" t="s">
        <v>40</v>
      </c>
      <c r="T2139" s="41" t="s">
        <v>40</v>
      </c>
      <c r="U2139" s="41" t="s">
        <v>40</v>
      </c>
    </row>
    <row r="2140" spans="1:21">
      <c r="A2140" s="41">
        <v>550</v>
      </c>
      <c r="B2140" s="41" t="s">
        <v>6959</v>
      </c>
      <c r="E2140" s="41" t="s">
        <v>6293</v>
      </c>
      <c r="F2140" s="41" t="s">
        <v>53</v>
      </c>
      <c r="G2140" s="41" t="s">
        <v>1071</v>
      </c>
      <c r="I2140" s="41" t="s">
        <v>5814</v>
      </c>
      <c r="J2140" s="41" t="s">
        <v>672</v>
      </c>
      <c r="K2140" s="42"/>
      <c r="L2140" s="41" t="s">
        <v>6960</v>
      </c>
      <c r="M2140" s="41">
        <v>23</v>
      </c>
      <c r="N2140" s="41" t="s">
        <v>6961</v>
      </c>
      <c r="O2140" s="41" t="s">
        <v>3296</v>
      </c>
      <c r="P2140" s="41" t="s">
        <v>78</v>
      </c>
      <c r="Q2140" s="41" t="s">
        <v>79</v>
      </c>
      <c r="R2140" s="41" t="s">
        <v>132</v>
      </c>
      <c r="S2140" s="41" t="s">
        <v>40</v>
      </c>
      <c r="T2140" s="41" t="s">
        <v>40</v>
      </c>
      <c r="U2140" s="41" t="s">
        <v>40</v>
      </c>
    </row>
    <row r="2141" spans="1:21">
      <c r="A2141" s="41">
        <v>549</v>
      </c>
      <c r="B2141" s="41" t="s">
        <v>462</v>
      </c>
      <c r="E2141" s="41" t="s">
        <v>27</v>
      </c>
      <c r="F2141" s="41" t="s">
        <v>53</v>
      </c>
      <c r="G2141" s="41" t="s">
        <v>43</v>
      </c>
      <c r="I2141" s="41" t="s">
        <v>464</v>
      </c>
      <c r="J2141" s="41" t="s">
        <v>380</v>
      </c>
      <c r="K2141" s="42"/>
      <c r="L2141" s="41" t="s">
        <v>465</v>
      </c>
      <c r="M2141" s="41">
        <v>66</v>
      </c>
      <c r="N2141" s="41" t="s">
        <v>340</v>
      </c>
      <c r="O2141" s="41" t="s">
        <v>466</v>
      </c>
      <c r="P2141" s="41" t="s">
        <v>83</v>
      </c>
      <c r="Q2141" s="41" t="s">
        <v>467</v>
      </c>
      <c r="R2141" s="41" t="s">
        <v>132</v>
      </c>
      <c r="S2141" s="41" t="s">
        <v>40</v>
      </c>
      <c r="T2141" s="41" t="s">
        <v>40</v>
      </c>
      <c r="U2141" s="41" t="s">
        <v>40</v>
      </c>
    </row>
    <row r="2142" spans="1:21">
      <c r="A2142" s="41">
        <v>548</v>
      </c>
      <c r="B2142" s="41" t="s">
        <v>6962</v>
      </c>
      <c r="D2142" s="41">
        <v>2167</v>
      </c>
      <c r="E2142" s="41" t="s">
        <v>1227</v>
      </c>
      <c r="F2142" s="41" t="s">
        <v>53</v>
      </c>
      <c r="G2142" s="41" t="s">
        <v>141</v>
      </c>
      <c r="I2142" s="41" t="s">
        <v>6963</v>
      </c>
      <c r="J2142" s="41" t="s">
        <v>380</v>
      </c>
      <c r="K2142" s="42"/>
      <c r="L2142" s="41" t="s">
        <v>6964</v>
      </c>
      <c r="M2142" s="41">
        <v>220</v>
      </c>
      <c r="N2142" s="41" t="s">
        <v>340</v>
      </c>
      <c r="O2142" s="41" t="s">
        <v>1615</v>
      </c>
      <c r="P2142" s="41" t="s">
        <v>83</v>
      </c>
      <c r="Q2142" s="41" t="s">
        <v>1206</v>
      </c>
      <c r="R2142" s="41" t="s">
        <v>132</v>
      </c>
      <c r="S2142" s="41" t="s">
        <v>6965</v>
      </c>
      <c r="T2142" s="41" t="s">
        <v>3429</v>
      </c>
      <c r="U2142" s="41" t="s">
        <v>2539</v>
      </c>
    </row>
    <row r="2143" spans="1:21">
      <c r="A2143" s="41">
        <v>547</v>
      </c>
      <c r="B2143" s="41" t="s">
        <v>2410</v>
      </c>
      <c r="E2143" s="41" t="s">
        <v>6966</v>
      </c>
      <c r="F2143" s="41" t="s">
        <v>53</v>
      </c>
      <c r="G2143" s="41" t="s">
        <v>64</v>
      </c>
      <c r="I2143" s="41" t="s">
        <v>601</v>
      </c>
      <c r="J2143" s="41" t="s">
        <v>295</v>
      </c>
      <c r="K2143" s="42"/>
      <c r="L2143" s="41" t="s">
        <v>6967</v>
      </c>
      <c r="M2143" s="41">
        <v>220</v>
      </c>
      <c r="N2143" s="41" t="s">
        <v>619</v>
      </c>
      <c r="O2143" s="41" t="s">
        <v>6968</v>
      </c>
      <c r="P2143" s="41" t="s">
        <v>98</v>
      </c>
      <c r="Q2143" s="41" t="s">
        <v>204</v>
      </c>
      <c r="R2143" s="41" t="s">
        <v>62</v>
      </c>
      <c r="S2143" s="41" t="s">
        <v>40</v>
      </c>
      <c r="T2143" s="41" t="s">
        <v>40</v>
      </c>
      <c r="U2143" s="41" t="s">
        <v>40</v>
      </c>
    </row>
    <row r="2144" spans="1:21">
      <c r="A2144" s="41">
        <v>545</v>
      </c>
      <c r="B2144" s="41" t="s">
        <v>6969</v>
      </c>
      <c r="E2144" s="41" t="s">
        <v>6029</v>
      </c>
      <c r="F2144" s="41" t="s">
        <v>28</v>
      </c>
      <c r="G2144" s="41" t="s">
        <v>64</v>
      </c>
      <c r="I2144" s="41" t="s">
        <v>464</v>
      </c>
      <c r="J2144" s="41" t="s">
        <v>295</v>
      </c>
      <c r="K2144" s="42"/>
      <c r="L2144" s="41" t="s">
        <v>3544</v>
      </c>
      <c r="M2144" s="41">
        <v>220</v>
      </c>
      <c r="N2144" s="41" t="s">
        <v>6970</v>
      </c>
      <c r="O2144" s="41" t="s">
        <v>271</v>
      </c>
      <c r="P2144" s="41" t="s">
        <v>98</v>
      </c>
      <c r="Q2144" s="41" t="s">
        <v>98</v>
      </c>
      <c r="R2144" s="41" t="s">
        <v>39</v>
      </c>
      <c r="S2144" s="41" t="s">
        <v>40</v>
      </c>
      <c r="T2144" s="41" t="s">
        <v>40</v>
      </c>
      <c r="U2144" s="41" t="s">
        <v>40</v>
      </c>
    </row>
    <row r="2145" spans="1:21">
      <c r="A2145" s="41">
        <v>544</v>
      </c>
      <c r="B2145" s="41" t="s">
        <v>6971</v>
      </c>
      <c r="D2145" s="41">
        <v>2141</v>
      </c>
      <c r="E2145" s="41" t="s">
        <v>6029</v>
      </c>
      <c r="F2145" s="41" t="s">
        <v>53</v>
      </c>
      <c r="G2145" s="41" t="s">
        <v>64</v>
      </c>
      <c r="I2145" s="41" t="s">
        <v>5893</v>
      </c>
      <c r="J2145" s="41" t="s">
        <v>295</v>
      </c>
      <c r="K2145" s="42"/>
      <c r="L2145" s="41" t="s">
        <v>3382</v>
      </c>
      <c r="M2145" s="41">
        <v>110</v>
      </c>
      <c r="N2145" s="41" t="s">
        <v>6972</v>
      </c>
      <c r="O2145" s="41" t="s">
        <v>1799</v>
      </c>
      <c r="P2145" s="41" t="s">
        <v>179</v>
      </c>
      <c r="Q2145" s="41" t="s">
        <v>180</v>
      </c>
      <c r="R2145" s="41" t="s">
        <v>132</v>
      </c>
      <c r="S2145" s="41" t="s">
        <v>40</v>
      </c>
      <c r="T2145" s="41" t="s">
        <v>40</v>
      </c>
      <c r="U2145" s="41" t="s">
        <v>40</v>
      </c>
    </row>
    <row r="2146" spans="1:21">
      <c r="A2146" s="41">
        <v>543</v>
      </c>
      <c r="B2146" s="41" t="s">
        <v>6973</v>
      </c>
      <c r="D2146" s="41">
        <v>2185</v>
      </c>
      <c r="E2146" s="41" t="s">
        <v>1395</v>
      </c>
      <c r="F2146" s="41" t="s">
        <v>28</v>
      </c>
      <c r="G2146" s="41" t="s">
        <v>307</v>
      </c>
      <c r="I2146" s="41" t="s">
        <v>1068</v>
      </c>
      <c r="J2146" s="41" t="s">
        <v>295</v>
      </c>
      <c r="K2146" s="42"/>
      <c r="L2146" s="41" t="s">
        <v>6974</v>
      </c>
      <c r="M2146" s="41">
        <v>220</v>
      </c>
      <c r="N2146" s="41" t="s">
        <v>290</v>
      </c>
      <c r="O2146" s="41" t="s">
        <v>36</v>
      </c>
      <c r="P2146" s="41" t="s">
        <v>179</v>
      </c>
      <c r="Q2146" s="41" t="s">
        <v>592</v>
      </c>
      <c r="R2146" s="41" t="s">
        <v>39</v>
      </c>
      <c r="S2146" s="41" t="s">
        <v>40</v>
      </c>
      <c r="T2146" s="41" t="s">
        <v>40</v>
      </c>
      <c r="U2146" s="41" t="s">
        <v>40</v>
      </c>
    </row>
    <row r="2147" spans="1:21">
      <c r="A2147" s="41">
        <v>542</v>
      </c>
      <c r="B2147" s="41" t="s">
        <v>6975</v>
      </c>
      <c r="D2147" s="41">
        <v>2161</v>
      </c>
      <c r="E2147" s="41" t="s">
        <v>1227</v>
      </c>
      <c r="F2147" s="41" t="s">
        <v>53</v>
      </c>
      <c r="G2147" s="41" t="s">
        <v>307</v>
      </c>
      <c r="I2147" s="41" t="s">
        <v>2572</v>
      </c>
      <c r="J2147" s="41" t="s">
        <v>380</v>
      </c>
      <c r="K2147" s="42"/>
      <c r="L2147" s="41" t="s">
        <v>2993</v>
      </c>
      <c r="M2147" s="41">
        <v>220</v>
      </c>
      <c r="N2147" s="41" t="s">
        <v>719</v>
      </c>
      <c r="O2147" s="41" t="s">
        <v>345</v>
      </c>
      <c r="P2147" s="41" t="s">
        <v>334</v>
      </c>
      <c r="Q2147" s="41" t="s">
        <v>2186</v>
      </c>
      <c r="R2147" s="41" t="s">
        <v>62</v>
      </c>
      <c r="S2147" s="41" t="s">
        <v>6976</v>
      </c>
      <c r="T2147" s="41" t="s">
        <v>5519</v>
      </c>
      <c r="U2147" s="41" t="s">
        <v>2101</v>
      </c>
    </row>
    <row r="2148" spans="1:21">
      <c r="A2148" s="41">
        <v>541</v>
      </c>
      <c r="B2148" s="41" t="s">
        <v>6977</v>
      </c>
      <c r="D2148" s="41">
        <v>2091</v>
      </c>
      <c r="E2148" s="41" t="s">
        <v>1227</v>
      </c>
      <c r="F2148" s="41" t="s">
        <v>53</v>
      </c>
      <c r="G2148" s="41" t="s">
        <v>43</v>
      </c>
      <c r="I2148" s="41" t="s">
        <v>6978</v>
      </c>
      <c r="J2148" s="41" t="s">
        <v>380</v>
      </c>
      <c r="K2148" s="42"/>
      <c r="L2148" s="41" t="s">
        <v>6979</v>
      </c>
      <c r="M2148" s="41">
        <v>110</v>
      </c>
      <c r="N2148" s="41" t="s">
        <v>340</v>
      </c>
      <c r="O2148" s="41" t="s">
        <v>3708</v>
      </c>
      <c r="P2148" s="41" t="s">
        <v>83</v>
      </c>
      <c r="Q2148" s="41" t="s">
        <v>6139</v>
      </c>
      <c r="R2148" s="41" t="s">
        <v>132</v>
      </c>
      <c r="S2148" s="41" t="s">
        <v>40</v>
      </c>
      <c r="T2148" s="41" t="s">
        <v>40</v>
      </c>
      <c r="U2148" s="41" t="s">
        <v>40</v>
      </c>
    </row>
    <row r="2149" spans="1:21">
      <c r="A2149" s="41">
        <v>540</v>
      </c>
      <c r="B2149" s="41" t="s">
        <v>6980</v>
      </c>
      <c r="D2149" s="41">
        <v>2074</v>
      </c>
      <c r="E2149" s="41" t="s">
        <v>1227</v>
      </c>
      <c r="F2149" s="41" t="s">
        <v>53</v>
      </c>
      <c r="G2149" s="41" t="s">
        <v>43</v>
      </c>
      <c r="I2149" s="41" t="s">
        <v>1570</v>
      </c>
      <c r="J2149" s="41" t="s">
        <v>295</v>
      </c>
      <c r="K2149" s="42"/>
      <c r="L2149" s="41" t="s">
        <v>5102</v>
      </c>
      <c r="M2149" s="41">
        <v>220</v>
      </c>
      <c r="N2149" s="41" t="s">
        <v>719</v>
      </c>
      <c r="O2149" s="41" t="s">
        <v>6981</v>
      </c>
      <c r="P2149" s="41" t="s">
        <v>172</v>
      </c>
      <c r="Q2149" s="41" t="s">
        <v>253</v>
      </c>
      <c r="R2149" s="41" t="s">
        <v>132</v>
      </c>
      <c r="S2149" s="41" t="s">
        <v>40</v>
      </c>
      <c r="T2149" s="41" t="s">
        <v>1773</v>
      </c>
      <c r="U2149" s="41" t="s">
        <v>40</v>
      </c>
    </row>
    <row r="2150" spans="1:21">
      <c r="A2150" s="41">
        <v>539</v>
      </c>
      <c r="B2150" s="41" t="s">
        <v>6982</v>
      </c>
      <c r="D2150" s="41">
        <v>2092</v>
      </c>
      <c r="E2150" s="41" t="s">
        <v>1227</v>
      </c>
      <c r="F2150" s="41" t="s">
        <v>28</v>
      </c>
      <c r="G2150" s="41" t="s">
        <v>43</v>
      </c>
      <c r="I2150" s="41" t="s">
        <v>994</v>
      </c>
      <c r="J2150" s="41" t="s">
        <v>380</v>
      </c>
      <c r="K2150" s="42"/>
      <c r="L2150" s="41" t="s">
        <v>6983</v>
      </c>
      <c r="M2150" s="41">
        <v>110</v>
      </c>
      <c r="N2150" s="41" t="s">
        <v>6984</v>
      </c>
      <c r="O2150" s="41" t="s">
        <v>747</v>
      </c>
      <c r="P2150" s="41" t="s">
        <v>172</v>
      </c>
      <c r="Q2150" s="41" t="s">
        <v>253</v>
      </c>
      <c r="R2150" s="41" t="s">
        <v>39</v>
      </c>
      <c r="S2150" s="41" t="s">
        <v>40</v>
      </c>
      <c r="T2150" s="41" t="s">
        <v>40</v>
      </c>
      <c r="U2150" s="41" t="s">
        <v>40</v>
      </c>
    </row>
    <row r="2151" spans="1:21">
      <c r="A2151" s="41">
        <v>538</v>
      </c>
      <c r="B2151" s="41" t="s">
        <v>6985</v>
      </c>
      <c r="E2151" s="41" t="s">
        <v>2426</v>
      </c>
      <c r="F2151" s="41" t="s">
        <v>53</v>
      </c>
      <c r="G2151" s="41" t="s">
        <v>64</v>
      </c>
      <c r="I2151" s="41" t="s">
        <v>966</v>
      </c>
      <c r="J2151" s="41" t="s">
        <v>295</v>
      </c>
      <c r="K2151" s="42"/>
      <c r="L2151" s="41" t="s">
        <v>6986</v>
      </c>
      <c r="M2151" s="41">
        <v>220</v>
      </c>
      <c r="N2151" s="41" t="s">
        <v>1653</v>
      </c>
      <c r="O2151" s="41" t="s">
        <v>452</v>
      </c>
      <c r="P2151" s="41" t="s">
        <v>172</v>
      </c>
      <c r="Q2151" s="41" t="s">
        <v>253</v>
      </c>
      <c r="R2151" s="41" t="s">
        <v>62</v>
      </c>
      <c r="S2151" s="41" t="s">
        <v>40</v>
      </c>
      <c r="T2151" s="41" t="s">
        <v>40</v>
      </c>
      <c r="U2151" s="41" t="s">
        <v>40</v>
      </c>
    </row>
    <row r="2152" spans="1:21">
      <c r="A2152" s="41">
        <v>537</v>
      </c>
      <c r="B2152" s="41" t="s">
        <v>669</v>
      </c>
      <c r="C2152" s="41">
        <v>1</v>
      </c>
      <c r="D2152" s="41">
        <v>2129</v>
      </c>
      <c r="E2152" s="41" t="s">
        <v>670</v>
      </c>
      <c r="F2152" s="41" t="s">
        <v>53</v>
      </c>
      <c r="G2152" s="41" t="s">
        <v>307</v>
      </c>
      <c r="H2152" s="42">
        <v>44032</v>
      </c>
      <c r="I2152" s="41">
        <v>30</v>
      </c>
      <c r="J2152" s="41" t="s">
        <v>672</v>
      </c>
      <c r="K2152" s="42">
        <v>44742</v>
      </c>
      <c r="L2152" s="41" t="s">
        <v>674</v>
      </c>
      <c r="M2152" s="41">
        <v>220</v>
      </c>
      <c r="N2152" s="41" t="s">
        <v>675</v>
      </c>
      <c r="O2152" s="41" t="s">
        <v>676</v>
      </c>
      <c r="P2152" s="41" t="s">
        <v>68</v>
      </c>
      <c r="Q2152" s="41" t="s">
        <v>677</v>
      </c>
      <c r="R2152" s="41" t="s">
        <v>62</v>
      </c>
      <c r="S2152" s="41" t="s">
        <v>678</v>
      </c>
      <c r="T2152" s="41" t="s">
        <v>454</v>
      </c>
      <c r="U2152" s="41" t="s">
        <v>40</v>
      </c>
    </row>
    <row r="2153" spans="1:21">
      <c r="A2153" s="41">
        <v>536</v>
      </c>
      <c r="B2153" s="41" t="s">
        <v>6987</v>
      </c>
      <c r="E2153" s="41" t="s">
        <v>1613</v>
      </c>
      <c r="F2153" s="41" t="s">
        <v>28</v>
      </c>
      <c r="G2153" s="41" t="s">
        <v>64</v>
      </c>
      <c r="I2153" s="41" t="s">
        <v>231</v>
      </c>
      <c r="J2153" s="41" t="s">
        <v>295</v>
      </c>
      <c r="K2153" s="42"/>
      <c r="L2153" s="41" t="s">
        <v>6988</v>
      </c>
      <c r="M2153" s="41">
        <v>22</v>
      </c>
      <c r="N2153" s="41" t="s">
        <v>67</v>
      </c>
      <c r="O2153" s="41" t="s">
        <v>6989</v>
      </c>
      <c r="P2153" s="41" t="s">
        <v>68</v>
      </c>
      <c r="Q2153" s="41" t="s">
        <v>699</v>
      </c>
      <c r="R2153" s="41" t="s">
        <v>39</v>
      </c>
      <c r="S2153" s="41" t="s">
        <v>40</v>
      </c>
      <c r="T2153" s="41" t="s">
        <v>40</v>
      </c>
      <c r="U2153" s="41" t="s">
        <v>40</v>
      </c>
    </row>
    <row r="2154" spans="1:21">
      <c r="A2154" s="41">
        <v>535</v>
      </c>
      <c r="B2154" s="41" t="s">
        <v>6990</v>
      </c>
      <c r="D2154" s="41">
        <v>2160</v>
      </c>
      <c r="E2154" s="41" t="s">
        <v>6991</v>
      </c>
      <c r="F2154" s="41" t="s">
        <v>53</v>
      </c>
      <c r="G2154" s="41" t="s">
        <v>141</v>
      </c>
      <c r="I2154" s="41" t="s">
        <v>135</v>
      </c>
      <c r="J2154" s="41" t="s">
        <v>32</v>
      </c>
      <c r="K2154" s="42"/>
      <c r="L2154" s="41" t="s">
        <v>6992</v>
      </c>
      <c r="M2154" s="41">
        <v>110</v>
      </c>
      <c r="N2154" s="41" t="s">
        <v>1333</v>
      </c>
      <c r="O2154" s="41" t="s">
        <v>36</v>
      </c>
      <c r="P2154" s="41" t="s">
        <v>153</v>
      </c>
      <c r="Q2154" s="41" t="s">
        <v>329</v>
      </c>
      <c r="R2154" s="41" t="s">
        <v>62</v>
      </c>
      <c r="S2154" s="41" t="s">
        <v>6993</v>
      </c>
      <c r="T2154" s="41" t="s">
        <v>1773</v>
      </c>
      <c r="U2154" s="41" t="s">
        <v>40</v>
      </c>
    </row>
    <row r="2155" spans="1:21">
      <c r="A2155" s="41">
        <v>534</v>
      </c>
      <c r="B2155" s="41" t="s">
        <v>6994</v>
      </c>
      <c r="E2155" s="41" t="s">
        <v>5340</v>
      </c>
      <c r="F2155" s="41" t="s">
        <v>28</v>
      </c>
      <c r="G2155" s="41" t="s">
        <v>43</v>
      </c>
      <c r="I2155" s="41" t="s">
        <v>149</v>
      </c>
      <c r="J2155" s="41" t="s">
        <v>295</v>
      </c>
      <c r="K2155" s="42"/>
      <c r="L2155" s="41" t="s">
        <v>6995</v>
      </c>
      <c r="M2155" s="41">
        <v>44</v>
      </c>
      <c r="N2155" s="41" t="s">
        <v>67</v>
      </c>
      <c r="O2155" s="41" t="s">
        <v>36</v>
      </c>
      <c r="P2155" s="41" t="s">
        <v>68</v>
      </c>
      <c r="Q2155" s="41" t="s">
        <v>69</v>
      </c>
      <c r="R2155" s="41" t="s">
        <v>39</v>
      </c>
      <c r="S2155" s="41" t="s">
        <v>40</v>
      </c>
      <c r="T2155" s="41" t="s">
        <v>40</v>
      </c>
      <c r="U2155" s="41" t="s">
        <v>40</v>
      </c>
    </row>
    <row r="2156" spans="1:21">
      <c r="A2156" s="41">
        <v>584</v>
      </c>
      <c r="B2156" s="41" t="s">
        <v>6996</v>
      </c>
      <c r="D2156" s="41">
        <v>2133</v>
      </c>
      <c r="E2156" s="41" t="s">
        <v>2405</v>
      </c>
      <c r="F2156" s="41" t="s">
        <v>53</v>
      </c>
      <c r="G2156" s="41" t="s">
        <v>64</v>
      </c>
      <c r="I2156" s="41" t="s">
        <v>1303</v>
      </c>
      <c r="J2156" s="41" t="s">
        <v>295</v>
      </c>
      <c r="K2156" s="42"/>
      <c r="L2156" s="41" t="s">
        <v>6997</v>
      </c>
      <c r="M2156" s="41">
        <v>220</v>
      </c>
      <c r="N2156" s="41" t="s">
        <v>6998</v>
      </c>
      <c r="O2156" s="41" t="s">
        <v>452</v>
      </c>
      <c r="P2156" s="41" t="s">
        <v>172</v>
      </c>
      <c r="Q2156" s="41" t="s">
        <v>6999</v>
      </c>
      <c r="R2156" s="41" t="s">
        <v>62</v>
      </c>
      <c r="S2156" s="41" t="s">
        <v>40</v>
      </c>
      <c r="T2156" s="41" t="s">
        <v>40</v>
      </c>
      <c r="U2156" s="41" t="s">
        <v>40</v>
      </c>
    </row>
    <row r="2157" spans="1:21">
      <c r="A2157" s="41">
        <v>533</v>
      </c>
      <c r="B2157" s="41" t="s">
        <v>7000</v>
      </c>
      <c r="E2157" s="41" t="s">
        <v>5340</v>
      </c>
      <c r="F2157" s="41" t="s">
        <v>28</v>
      </c>
      <c r="G2157" s="41" t="s">
        <v>64</v>
      </c>
      <c r="I2157" s="41" t="s">
        <v>194</v>
      </c>
      <c r="J2157" s="41" t="s">
        <v>295</v>
      </c>
      <c r="K2157" s="42"/>
      <c r="L2157" s="41" t="s">
        <v>2522</v>
      </c>
      <c r="M2157" s="41">
        <v>23</v>
      </c>
      <c r="N2157" s="41" t="s">
        <v>36</v>
      </c>
      <c r="O2157" s="41" t="s">
        <v>36</v>
      </c>
      <c r="P2157" s="41" t="s">
        <v>98</v>
      </c>
      <c r="Q2157" s="41" t="s">
        <v>98</v>
      </c>
      <c r="R2157" s="41" t="s">
        <v>39</v>
      </c>
      <c r="S2157" s="41" t="s">
        <v>40</v>
      </c>
      <c r="T2157" s="41" t="s">
        <v>40</v>
      </c>
      <c r="U2157" s="41" t="s">
        <v>40</v>
      </c>
    </row>
    <row r="2158" spans="1:21">
      <c r="A2158" s="41">
        <v>532</v>
      </c>
      <c r="B2158" s="41" t="s">
        <v>7001</v>
      </c>
      <c r="E2158" s="41" t="s">
        <v>1613</v>
      </c>
      <c r="F2158" s="41" t="s">
        <v>53</v>
      </c>
      <c r="G2158" s="41" t="s">
        <v>43</v>
      </c>
      <c r="I2158" s="41" t="s">
        <v>194</v>
      </c>
      <c r="J2158" s="41" t="s">
        <v>380</v>
      </c>
      <c r="K2158" s="42"/>
      <c r="L2158" s="41" t="s">
        <v>4218</v>
      </c>
      <c r="M2158" s="41">
        <v>66</v>
      </c>
      <c r="N2158" s="41" t="s">
        <v>67</v>
      </c>
      <c r="O2158" s="41" t="s">
        <v>2721</v>
      </c>
      <c r="P2158" s="41" t="s">
        <v>83</v>
      </c>
      <c r="Q2158" s="41" t="s">
        <v>3008</v>
      </c>
      <c r="R2158" s="41" t="s">
        <v>132</v>
      </c>
      <c r="S2158" s="41" t="s">
        <v>40</v>
      </c>
      <c r="T2158" s="41" t="s">
        <v>40</v>
      </c>
      <c r="U2158" s="41" t="s">
        <v>40</v>
      </c>
    </row>
    <row r="2159" spans="1:21">
      <c r="A2159" s="41">
        <v>531</v>
      </c>
      <c r="B2159" s="41" t="s">
        <v>7002</v>
      </c>
      <c r="E2159" s="41" t="s">
        <v>5340</v>
      </c>
      <c r="F2159" s="41" t="s">
        <v>53</v>
      </c>
      <c r="G2159" s="41" t="s">
        <v>43</v>
      </c>
      <c r="I2159" s="41" t="s">
        <v>231</v>
      </c>
      <c r="J2159" s="41" t="s">
        <v>380</v>
      </c>
      <c r="K2159" s="42"/>
      <c r="L2159" s="41" t="s">
        <v>7003</v>
      </c>
      <c r="M2159" s="41">
        <v>66</v>
      </c>
      <c r="N2159" s="41" t="s">
        <v>36</v>
      </c>
      <c r="O2159" s="41" t="s">
        <v>36</v>
      </c>
      <c r="P2159" s="41" t="s">
        <v>83</v>
      </c>
      <c r="Q2159" s="41" t="s">
        <v>2908</v>
      </c>
      <c r="R2159" s="41" t="s">
        <v>132</v>
      </c>
      <c r="S2159" s="41" t="s">
        <v>40</v>
      </c>
      <c r="T2159" s="41" t="s">
        <v>40</v>
      </c>
      <c r="U2159" s="41" t="s">
        <v>40</v>
      </c>
    </row>
    <row r="2160" spans="1:21">
      <c r="A2160" s="41">
        <v>530</v>
      </c>
      <c r="B2160" s="41" t="s">
        <v>468</v>
      </c>
      <c r="D2160" s="41">
        <v>2083</v>
      </c>
      <c r="E2160" s="41" t="s">
        <v>27</v>
      </c>
      <c r="F2160" s="41" t="s">
        <v>53</v>
      </c>
      <c r="G2160" s="41" t="s">
        <v>64</v>
      </c>
      <c r="I2160" s="41" t="s">
        <v>194</v>
      </c>
      <c r="J2160" s="41" t="s">
        <v>295</v>
      </c>
      <c r="K2160" s="42"/>
      <c r="L2160" s="41" t="s">
        <v>471</v>
      </c>
      <c r="M2160" s="41">
        <v>13</v>
      </c>
      <c r="N2160" s="41" t="s">
        <v>59</v>
      </c>
      <c r="O2160" s="41" t="s">
        <v>36</v>
      </c>
      <c r="P2160" s="41" t="s">
        <v>60</v>
      </c>
      <c r="Q2160" s="41" t="s">
        <v>472</v>
      </c>
      <c r="R2160" s="41" t="s">
        <v>132</v>
      </c>
      <c r="S2160" s="41" t="s">
        <v>40</v>
      </c>
      <c r="T2160" s="41" t="s">
        <v>40</v>
      </c>
      <c r="U2160" s="41" t="s">
        <v>40</v>
      </c>
    </row>
    <row r="2161" spans="1:21">
      <c r="A2161" s="41">
        <v>529</v>
      </c>
      <c r="B2161" s="41" t="s">
        <v>473</v>
      </c>
      <c r="D2161" s="41">
        <v>2086</v>
      </c>
      <c r="E2161" s="41" t="s">
        <v>27</v>
      </c>
      <c r="F2161" s="41" t="s">
        <v>53</v>
      </c>
      <c r="G2161" s="41" t="s">
        <v>307</v>
      </c>
      <c r="I2161" s="41" t="s">
        <v>475</v>
      </c>
      <c r="J2161" s="41" t="s">
        <v>295</v>
      </c>
      <c r="K2161" s="42"/>
      <c r="L2161" s="41" t="s">
        <v>476</v>
      </c>
      <c r="M2161" s="41">
        <v>13</v>
      </c>
      <c r="N2161" s="41" t="s">
        <v>67</v>
      </c>
      <c r="O2161" s="41" t="s">
        <v>36</v>
      </c>
      <c r="P2161" s="41" t="s">
        <v>172</v>
      </c>
      <c r="Q2161" s="41" t="s">
        <v>197</v>
      </c>
      <c r="R2161" s="41" t="s">
        <v>132</v>
      </c>
      <c r="S2161" s="41" t="s">
        <v>477</v>
      </c>
      <c r="T2161" s="41" t="s">
        <v>40</v>
      </c>
      <c r="U2161" s="41" t="s">
        <v>40</v>
      </c>
    </row>
    <row r="2162" spans="1:21">
      <c r="A2162" s="41">
        <v>528</v>
      </c>
      <c r="B2162" s="41" t="s">
        <v>7004</v>
      </c>
      <c r="D2162" s="41">
        <v>2116</v>
      </c>
      <c r="E2162" s="41" t="s">
        <v>1613</v>
      </c>
      <c r="F2162" s="41" t="s">
        <v>53</v>
      </c>
      <c r="G2162" s="41" t="s">
        <v>64</v>
      </c>
      <c r="I2162" s="41" t="s">
        <v>56</v>
      </c>
      <c r="J2162" s="41" t="s">
        <v>295</v>
      </c>
      <c r="K2162" s="42"/>
      <c r="L2162" s="41" t="s">
        <v>4839</v>
      </c>
      <c r="M2162" s="41">
        <v>110</v>
      </c>
      <c r="N2162" s="41" t="s">
        <v>67</v>
      </c>
      <c r="O2162" s="41" t="s">
        <v>747</v>
      </c>
      <c r="P2162" s="41" t="s">
        <v>78</v>
      </c>
      <c r="Q2162" s="41" t="s">
        <v>79</v>
      </c>
      <c r="R2162" s="41" t="s">
        <v>62</v>
      </c>
      <c r="S2162" s="41" t="s">
        <v>40</v>
      </c>
      <c r="T2162" s="41" t="s">
        <v>40</v>
      </c>
      <c r="U2162" s="41" t="s">
        <v>40</v>
      </c>
    </row>
    <row r="2163" spans="1:21">
      <c r="A2163" s="41">
        <v>527</v>
      </c>
      <c r="B2163" s="41" t="s">
        <v>6651</v>
      </c>
      <c r="E2163" s="41" t="s">
        <v>6652</v>
      </c>
      <c r="F2163" s="41" t="s">
        <v>53</v>
      </c>
      <c r="G2163" s="41" t="s">
        <v>43</v>
      </c>
      <c r="I2163" s="41" t="s">
        <v>601</v>
      </c>
      <c r="J2163" s="41" t="s">
        <v>295</v>
      </c>
      <c r="K2163" s="42"/>
      <c r="L2163" s="41" t="s">
        <v>5363</v>
      </c>
      <c r="M2163" s="41">
        <v>220</v>
      </c>
      <c r="N2163" s="41" t="s">
        <v>2432</v>
      </c>
      <c r="O2163" s="41" t="s">
        <v>7005</v>
      </c>
      <c r="P2163" s="41" t="s">
        <v>98</v>
      </c>
      <c r="Q2163" s="41" t="s">
        <v>569</v>
      </c>
      <c r="R2163" s="41" t="s">
        <v>62</v>
      </c>
      <c r="S2163" s="41" t="s">
        <v>40</v>
      </c>
      <c r="T2163" s="41" t="s">
        <v>40</v>
      </c>
      <c r="U2163" s="41" t="s">
        <v>40</v>
      </c>
    </row>
    <row r="2164" spans="1:21">
      <c r="A2164" s="41">
        <v>526</v>
      </c>
      <c r="B2164" s="41" t="s">
        <v>7006</v>
      </c>
      <c r="D2164" s="41">
        <v>2111</v>
      </c>
      <c r="E2164" s="41" t="s">
        <v>6788</v>
      </c>
      <c r="F2164" s="41" t="s">
        <v>53</v>
      </c>
      <c r="G2164" s="41" t="s">
        <v>1071</v>
      </c>
      <c r="I2164" s="41" t="s">
        <v>475</v>
      </c>
      <c r="J2164" s="41" t="s">
        <v>672</v>
      </c>
      <c r="K2164" s="42"/>
      <c r="L2164" s="41" t="s">
        <v>6233</v>
      </c>
      <c r="M2164" s="41">
        <v>23</v>
      </c>
      <c r="N2164" s="41" t="s">
        <v>36</v>
      </c>
      <c r="O2164" s="41" t="s">
        <v>565</v>
      </c>
      <c r="P2164" s="41" t="s">
        <v>382</v>
      </c>
      <c r="Q2164" s="41" t="s">
        <v>4021</v>
      </c>
      <c r="R2164" s="41" t="s">
        <v>132</v>
      </c>
      <c r="S2164" s="41" t="s">
        <v>40</v>
      </c>
      <c r="T2164" s="41" t="s">
        <v>40</v>
      </c>
      <c r="U2164" s="41" t="s">
        <v>40</v>
      </c>
    </row>
    <row r="2165" spans="1:21">
      <c r="A2165" s="41">
        <v>525</v>
      </c>
      <c r="B2165" s="41" t="s">
        <v>7007</v>
      </c>
      <c r="E2165" s="41" t="s">
        <v>1076</v>
      </c>
      <c r="F2165" s="41" t="s">
        <v>53</v>
      </c>
      <c r="G2165" s="41" t="s">
        <v>64</v>
      </c>
      <c r="I2165" s="41" t="s">
        <v>960</v>
      </c>
      <c r="J2165" s="41" t="s">
        <v>295</v>
      </c>
      <c r="K2165" s="42"/>
      <c r="L2165" s="41" t="s">
        <v>4248</v>
      </c>
      <c r="M2165" s="41">
        <v>66</v>
      </c>
      <c r="N2165" s="41" t="s">
        <v>7008</v>
      </c>
      <c r="O2165" s="41" t="s">
        <v>1151</v>
      </c>
      <c r="P2165" s="41" t="s">
        <v>334</v>
      </c>
      <c r="Q2165" s="41" t="s">
        <v>423</v>
      </c>
      <c r="R2165" s="41" t="s">
        <v>132</v>
      </c>
      <c r="S2165" s="41" t="s">
        <v>40</v>
      </c>
      <c r="T2165" s="41" t="s">
        <v>40</v>
      </c>
      <c r="U2165" s="41" t="s">
        <v>40</v>
      </c>
    </row>
    <row r="2166" spans="1:21">
      <c r="A2166" s="41">
        <v>524</v>
      </c>
      <c r="B2166" s="41" t="s">
        <v>7009</v>
      </c>
      <c r="E2166" s="41" t="s">
        <v>1613</v>
      </c>
      <c r="F2166" s="41" t="s">
        <v>53</v>
      </c>
      <c r="G2166" s="41" t="s">
        <v>43</v>
      </c>
      <c r="I2166" s="41" t="s">
        <v>2572</v>
      </c>
      <c r="J2166" s="41" t="s">
        <v>380</v>
      </c>
      <c r="K2166" s="42"/>
      <c r="L2166" s="41" t="s">
        <v>7010</v>
      </c>
      <c r="M2166" s="41">
        <v>220</v>
      </c>
      <c r="N2166" s="41" t="s">
        <v>7011</v>
      </c>
      <c r="O2166" s="41" t="s">
        <v>2566</v>
      </c>
      <c r="P2166" s="41" t="s">
        <v>37</v>
      </c>
      <c r="Q2166" s="41" t="s">
        <v>1661</v>
      </c>
      <c r="R2166" s="41" t="s">
        <v>62</v>
      </c>
      <c r="S2166" s="41" t="s">
        <v>40</v>
      </c>
      <c r="T2166" s="41" t="s">
        <v>40</v>
      </c>
      <c r="U2166" s="41" t="s">
        <v>40</v>
      </c>
    </row>
    <row r="2167" spans="1:21">
      <c r="A2167" s="41">
        <v>583</v>
      </c>
      <c r="B2167" s="41" t="s">
        <v>478</v>
      </c>
      <c r="D2167" s="41">
        <v>1271</v>
      </c>
      <c r="E2167" s="41" t="s">
        <v>27</v>
      </c>
      <c r="F2167" s="41" t="s">
        <v>53</v>
      </c>
      <c r="G2167" s="41" t="s">
        <v>64</v>
      </c>
      <c r="I2167" s="41" t="s">
        <v>406</v>
      </c>
      <c r="J2167" s="41" t="s">
        <v>295</v>
      </c>
      <c r="K2167" s="42"/>
      <c r="L2167" s="41" t="s">
        <v>481</v>
      </c>
      <c r="M2167" s="41">
        <v>66</v>
      </c>
      <c r="N2167" s="41" t="s">
        <v>395</v>
      </c>
      <c r="O2167" s="41" t="s">
        <v>482</v>
      </c>
      <c r="P2167" s="41" t="s">
        <v>78</v>
      </c>
      <c r="Q2167" s="41" t="s">
        <v>483</v>
      </c>
      <c r="R2167" s="41" t="s">
        <v>132</v>
      </c>
      <c r="S2167" s="41" t="s">
        <v>40</v>
      </c>
      <c r="T2167" s="41" t="s">
        <v>40</v>
      </c>
      <c r="U2167" s="41" t="s">
        <v>40</v>
      </c>
    </row>
    <row r="2168" spans="1:21">
      <c r="A2168" s="41">
        <v>522</v>
      </c>
      <c r="B2168" s="41" t="s">
        <v>7012</v>
      </c>
      <c r="D2168" s="41">
        <v>2115</v>
      </c>
      <c r="E2168" s="41" t="s">
        <v>1475</v>
      </c>
      <c r="F2168" s="41" t="s">
        <v>53</v>
      </c>
      <c r="G2168" s="41" t="s">
        <v>141</v>
      </c>
      <c r="I2168" s="41" t="s">
        <v>162</v>
      </c>
      <c r="J2168" s="41" t="s">
        <v>295</v>
      </c>
      <c r="K2168" s="42"/>
      <c r="L2168" s="41" t="s">
        <v>7013</v>
      </c>
      <c r="M2168" s="41">
        <v>220</v>
      </c>
      <c r="N2168" s="41" t="s">
        <v>6551</v>
      </c>
      <c r="O2168" s="41" t="s">
        <v>6953</v>
      </c>
      <c r="P2168" s="41" t="s">
        <v>172</v>
      </c>
      <c r="Q2168" s="41" t="s">
        <v>1104</v>
      </c>
      <c r="R2168" s="41" t="s">
        <v>132</v>
      </c>
      <c r="S2168" s="41" t="s">
        <v>7014</v>
      </c>
      <c r="T2168" s="41" t="s">
        <v>706</v>
      </c>
      <c r="U2168" s="41" t="s">
        <v>1449</v>
      </c>
    </row>
    <row r="2169" spans="1:21">
      <c r="A2169" s="41">
        <v>520</v>
      </c>
      <c r="B2169" s="41" t="s">
        <v>7015</v>
      </c>
      <c r="D2169" s="41">
        <v>2072</v>
      </c>
      <c r="E2169" s="41" t="s">
        <v>1076</v>
      </c>
      <c r="F2169" s="41" t="s">
        <v>53</v>
      </c>
      <c r="G2169" s="41" t="s">
        <v>43</v>
      </c>
      <c r="I2169" s="41" t="s">
        <v>194</v>
      </c>
      <c r="J2169" s="41" t="s">
        <v>295</v>
      </c>
      <c r="K2169" s="42"/>
      <c r="L2169" s="41" t="s">
        <v>4537</v>
      </c>
      <c r="M2169" s="41">
        <v>13</v>
      </c>
      <c r="N2169" s="41" t="s">
        <v>5000</v>
      </c>
      <c r="O2169" s="41" t="s">
        <v>2085</v>
      </c>
      <c r="P2169" s="41" t="s">
        <v>334</v>
      </c>
      <c r="Q2169" s="41" t="s">
        <v>4538</v>
      </c>
      <c r="R2169" s="41" t="s">
        <v>132</v>
      </c>
      <c r="S2169" s="41" t="s">
        <v>40</v>
      </c>
      <c r="T2169" s="41" t="s">
        <v>40</v>
      </c>
      <c r="U2169" s="41" t="s">
        <v>40</v>
      </c>
    </row>
    <row r="2170" spans="1:21">
      <c r="A2170" s="41">
        <v>320</v>
      </c>
      <c r="B2170" s="41" t="s">
        <v>7016</v>
      </c>
      <c r="D2170" s="41">
        <v>17340</v>
      </c>
      <c r="E2170" s="41" t="s">
        <v>6590</v>
      </c>
      <c r="F2170" s="41" t="s">
        <v>53</v>
      </c>
      <c r="G2170" s="41" t="s">
        <v>64</v>
      </c>
      <c r="I2170" s="41" t="s">
        <v>102</v>
      </c>
      <c r="J2170" s="41" t="s">
        <v>380</v>
      </c>
      <c r="K2170" s="42"/>
      <c r="L2170" s="41" t="s">
        <v>7017</v>
      </c>
      <c r="M2170" s="41">
        <v>220</v>
      </c>
      <c r="N2170" s="41" t="s">
        <v>488</v>
      </c>
      <c r="O2170" s="41" t="s">
        <v>488</v>
      </c>
      <c r="P2170" s="41" t="s">
        <v>98</v>
      </c>
      <c r="Q2170" s="41" t="s">
        <v>116</v>
      </c>
      <c r="R2170" s="41" t="s">
        <v>62</v>
      </c>
      <c r="S2170" s="41" t="s">
        <v>40</v>
      </c>
      <c r="T2170" s="41" t="s">
        <v>40</v>
      </c>
      <c r="U2170" s="41" t="s">
        <v>40</v>
      </c>
    </row>
    <row r="2171" spans="1:21">
      <c r="A2171" s="41">
        <v>319</v>
      </c>
      <c r="B2171" s="41" t="s">
        <v>7018</v>
      </c>
      <c r="D2171" s="41">
        <v>1728</v>
      </c>
      <c r="E2171" s="41" t="s">
        <v>3714</v>
      </c>
      <c r="F2171" s="41" t="s">
        <v>53</v>
      </c>
      <c r="G2171" s="41" t="s">
        <v>64</v>
      </c>
      <c r="I2171" s="41" t="s">
        <v>162</v>
      </c>
      <c r="J2171" s="41" t="s">
        <v>380</v>
      </c>
      <c r="K2171" s="42"/>
      <c r="L2171" s="41" t="s">
        <v>269</v>
      </c>
      <c r="M2171" s="41">
        <v>220</v>
      </c>
      <c r="N2171" s="41" t="s">
        <v>7019</v>
      </c>
      <c r="O2171" s="41" t="s">
        <v>77</v>
      </c>
      <c r="P2171" s="41" t="s">
        <v>37</v>
      </c>
      <c r="Q2171" s="41" t="s">
        <v>272</v>
      </c>
      <c r="R2171" s="41" t="s">
        <v>132</v>
      </c>
      <c r="S2171" s="41" t="s">
        <v>40</v>
      </c>
      <c r="T2171" s="41" t="s">
        <v>40</v>
      </c>
      <c r="U2171" s="41" t="s">
        <v>40</v>
      </c>
    </row>
    <row r="2172" spans="1:21">
      <c r="A2172" s="41">
        <v>353</v>
      </c>
      <c r="B2172" s="41" t="s">
        <v>7020</v>
      </c>
      <c r="D2172" s="41">
        <v>1733</v>
      </c>
      <c r="E2172" s="41" t="s">
        <v>7021</v>
      </c>
      <c r="F2172" s="41" t="s">
        <v>53</v>
      </c>
      <c r="G2172" s="41" t="s">
        <v>307</v>
      </c>
      <c r="I2172" s="41" t="s">
        <v>1454</v>
      </c>
      <c r="J2172" s="41" t="s">
        <v>672</v>
      </c>
      <c r="K2172" s="42"/>
      <c r="L2172" s="41" t="s">
        <v>7022</v>
      </c>
      <c r="M2172" s="41">
        <v>23</v>
      </c>
      <c r="N2172" s="41" t="s">
        <v>7023</v>
      </c>
      <c r="O2172" s="41" t="s">
        <v>2432</v>
      </c>
      <c r="P2172" s="41" t="s">
        <v>179</v>
      </c>
      <c r="Q2172" s="41" t="s">
        <v>524</v>
      </c>
      <c r="R2172" s="41" t="s">
        <v>132</v>
      </c>
      <c r="S2172" s="41" t="s">
        <v>7024</v>
      </c>
      <c r="T2172" s="41" t="s">
        <v>40</v>
      </c>
      <c r="U2172" s="41" t="s">
        <v>40</v>
      </c>
    </row>
    <row r="2173" spans="1:21">
      <c r="A2173" s="41">
        <v>230</v>
      </c>
      <c r="B2173" s="41" t="s">
        <v>484</v>
      </c>
      <c r="D2173" s="41">
        <v>1729</v>
      </c>
      <c r="E2173" s="41" t="s">
        <v>27</v>
      </c>
      <c r="F2173" s="41" t="s">
        <v>28</v>
      </c>
      <c r="G2173" s="41" t="s">
        <v>43</v>
      </c>
      <c r="I2173" s="41" t="s">
        <v>194</v>
      </c>
      <c r="J2173" s="41" t="s">
        <v>295</v>
      </c>
      <c r="K2173" s="42"/>
      <c r="L2173" s="41" t="s">
        <v>487</v>
      </c>
      <c r="M2173" s="41">
        <v>33</v>
      </c>
      <c r="N2173" s="41" t="s">
        <v>488</v>
      </c>
      <c r="O2173" s="41" t="s">
        <v>488</v>
      </c>
      <c r="P2173" s="41" t="s">
        <v>98</v>
      </c>
      <c r="Q2173" s="41" t="s">
        <v>204</v>
      </c>
      <c r="R2173" s="41" t="s">
        <v>39</v>
      </c>
      <c r="S2173" s="41" t="s">
        <v>40</v>
      </c>
      <c r="T2173" s="41" t="s">
        <v>40</v>
      </c>
      <c r="U2173" s="41" t="s">
        <v>40</v>
      </c>
    </row>
    <row r="2174" spans="1:21">
      <c r="A2174" s="41">
        <v>231</v>
      </c>
      <c r="B2174" s="41" t="s">
        <v>489</v>
      </c>
      <c r="D2174" s="41">
        <v>1730</v>
      </c>
      <c r="E2174" s="41" t="s">
        <v>27</v>
      </c>
      <c r="F2174" s="41" t="s">
        <v>28</v>
      </c>
      <c r="G2174" s="41" t="s">
        <v>64</v>
      </c>
      <c r="I2174" s="41" t="s">
        <v>194</v>
      </c>
      <c r="J2174" s="41" t="s">
        <v>295</v>
      </c>
      <c r="K2174" s="42"/>
      <c r="L2174" s="41" t="s">
        <v>490</v>
      </c>
      <c r="M2174" s="41">
        <v>23</v>
      </c>
      <c r="N2174" s="41" t="s">
        <v>488</v>
      </c>
      <c r="O2174" s="41" t="s">
        <v>488</v>
      </c>
      <c r="P2174" s="41" t="s">
        <v>98</v>
      </c>
      <c r="Q2174" s="41" t="s">
        <v>491</v>
      </c>
      <c r="R2174" s="41" t="s">
        <v>39</v>
      </c>
      <c r="S2174" s="41" t="s">
        <v>40</v>
      </c>
      <c r="T2174" s="41" t="s">
        <v>40</v>
      </c>
      <c r="U2174" s="41" t="s">
        <v>40</v>
      </c>
    </row>
    <row r="2175" spans="1:21">
      <c r="A2175" s="41">
        <v>518</v>
      </c>
      <c r="B2175" s="41" t="s">
        <v>7025</v>
      </c>
      <c r="E2175" s="41" t="s">
        <v>6788</v>
      </c>
      <c r="F2175" s="41" t="s">
        <v>53</v>
      </c>
      <c r="G2175" s="41" t="s">
        <v>1071</v>
      </c>
      <c r="I2175" s="41" t="s">
        <v>1107</v>
      </c>
      <c r="J2175" s="41" t="s">
        <v>672</v>
      </c>
      <c r="K2175" s="42"/>
      <c r="L2175" s="41" t="s">
        <v>7026</v>
      </c>
      <c r="M2175" s="41">
        <v>23</v>
      </c>
      <c r="N2175" s="41" t="s">
        <v>7027</v>
      </c>
      <c r="O2175" s="41" t="s">
        <v>565</v>
      </c>
      <c r="P2175" s="41" t="s">
        <v>83</v>
      </c>
      <c r="Q2175" s="41" t="s">
        <v>4120</v>
      </c>
      <c r="R2175" s="41" t="s">
        <v>132</v>
      </c>
      <c r="S2175" s="41" t="s">
        <v>40</v>
      </c>
      <c r="T2175" s="41" t="s">
        <v>40</v>
      </c>
      <c r="U2175" s="41" t="s">
        <v>40</v>
      </c>
    </row>
    <row r="2176" spans="1:21">
      <c r="A2176" s="41">
        <v>515</v>
      </c>
      <c r="B2176" s="41" t="s">
        <v>7028</v>
      </c>
      <c r="D2176" s="41">
        <v>2079</v>
      </c>
      <c r="E2176" s="41" t="s">
        <v>1248</v>
      </c>
      <c r="F2176" s="41" t="s">
        <v>53</v>
      </c>
      <c r="G2176" s="41" t="s">
        <v>307</v>
      </c>
      <c r="I2176" s="41" t="s">
        <v>7029</v>
      </c>
      <c r="J2176" s="41" t="s">
        <v>672</v>
      </c>
      <c r="K2176" s="42"/>
      <c r="L2176" s="41" t="s">
        <v>7030</v>
      </c>
      <c r="M2176" s="41">
        <v>23</v>
      </c>
      <c r="N2176" s="41" t="s">
        <v>7031</v>
      </c>
      <c r="O2176" s="41" t="s">
        <v>36</v>
      </c>
      <c r="P2176" s="41" t="s">
        <v>1046</v>
      </c>
      <c r="Q2176" s="41" t="s">
        <v>3350</v>
      </c>
      <c r="R2176" s="41" t="s">
        <v>132</v>
      </c>
      <c r="S2176" s="41" t="s">
        <v>7032</v>
      </c>
      <c r="T2176" s="41" t="s">
        <v>6282</v>
      </c>
      <c r="U2176" s="41" t="s">
        <v>40</v>
      </c>
    </row>
    <row r="2177" spans="1:21">
      <c r="A2177" s="41">
        <v>514</v>
      </c>
      <c r="B2177" s="41" t="s">
        <v>7033</v>
      </c>
      <c r="E2177" s="41" t="s">
        <v>1076</v>
      </c>
      <c r="F2177" s="41" t="s">
        <v>53</v>
      </c>
      <c r="G2177" s="41" t="s">
        <v>64</v>
      </c>
      <c r="I2177" s="41" t="s">
        <v>194</v>
      </c>
      <c r="J2177" s="41" t="s">
        <v>295</v>
      </c>
      <c r="K2177" s="42"/>
      <c r="L2177" s="41" t="s">
        <v>7034</v>
      </c>
      <c r="M2177" s="41">
        <v>23</v>
      </c>
      <c r="N2177" s="41" t="s">
        <v>2742</v>
      </c>
      <c r="O2177" s="41" t="s">
        <v>565</v>
      </c>
      <c r="P2177" s="41" t="s">
        <v>37</v>
      </c>
      <c r="Q2177" s="41" t="s">
        <v>969</v>
      </c>
      <c r="R2177" s="41" t="s">
        <v>132</v>
      </c>
      <c r="S2177" s="41" t="s">
        <v>40</v>
      </c>
      <c r="T2177" s="41" t="s">
        <v>40</v>
      </c>
      <c r="U2177" s="41" t="s">
        <v>40</v>
      </c>
    </row>
    <row r="2178" spans="1:21">
      <c r="A2178" s="41">
        <v>513</v>
      </c>
      <c r="B2178" s="41" t="s">
        <v>7035</v>
      </c>
      <c r="E2178" s="41" t="s">
        <v>1076</v>
      </c>
      <c r="F2178" s="41" t="s">
        <v>53</v>
      </c>
      <c r="G2178" s="41" t="s">
        <v>64</v>
      </c>
      <c r="I2178" s="41" t="s">
        <v>194</v>
      </c>
      <c r="J2178" s="41" t="s">
        <v>295</v>
      </c>
      <c r="K2178" s="42"/>
      <c r="L2178" s="41" t="s">
        <v>7034</v>
      </c>
      <c r="M2178" s="41">
        <v>23</v>
      </c>
      <c r="N2178" s="41" t="s">
        <v>2742</v>
      </c>
      <c r="O2178" s="41" t="s">
        <v>989</v>
      </c>
      <c r="P2178" s="41" t="s">
        <v>37</v>
      </c>
      <c r="Q2178" s="41" t="s">
        <v>969</v>
      </c>
      <c r="R2178" s="41" t="s">
        <v>132</v>
      </c>
      <c r="S2178" s="41" t="s">
        <v>40</v>
      </c>
      <c r="T2178" s="41" t="s">
        <v>40</v>
      </c>
      <c r="U2178" s="41" t="s">
        <v>40</v>
      </c>
    </row>
    <row r="2179" spans="1:21">
      <c r="A2179" s="41">
        <v>512</v>
      </c>
      <c r="B2179" s="41" t="s">
        <v>7036</v>
      </c>
      <c r="E2179" s="41" t="s">
        <v>1076</v>
      </c>
      <c r="F2179" s="41" t="s">
        <v>53</v>
      </c>
      <c r="G2179" s="41" t="s">
        <v>64</v>
      </c>
      <c r="I2179" s="41" t="s">
        <v>1303</v>
      </c>
      <c r="J2179" s="41" t="s">
        <v>295</v>
      </c>
      <c r="K2179" s="42"/>
      <c r="L2179" s="41" t="s">
        <v>3895</v>
      </c>
      <c r="M2179" s="41">
        <v>220</v>
      </c>
      <c r="N2179" s="41" t="s">
        <v>7037</v>
      </c>
      <c r="O2179" s="41" t="s">
        <v>2566</v>
      </c>
      <c r="P2179" s="41" t="s">
        <v>60</v>
      </c>
      <c r="Q2179" s="41" t="s">
        <v>436</v>
      </c>
      <c r="R2179" s="41" t="s">
        <v>132</v>
      </c>
      <c r="S2179" s="41" t="s">
        <v>40</v>
      </c>
      <c r="T2179" s="41" t="s">
        <v>40</v>
      </c>
      <c r="U2179" s="41" t="s">
        <v>40</v>
      </c>
    </row>
    <row r="2180" spans="1:21">
      <c r="A2180" s="41">
        <v>511</v>
      </c>
      <c r="B2180" s="41" t="s">
        <v>7038</v>
      </c>
      <c r="D2180" s="41">
        <v>2076</v>
      </c>
      <c r="E2180" s="41" t="s">
        <v>1076</v>
      </c>
      <c r="F2180" s="41" t="s">
        <v>53</v>
      </c>
      <c r="G2180" s="41" t="s">
        <v>43</v>
      </c>
      <c r="I2180" s="41" t="s">
        <v>406</v>
      </c>
      <c r="J2180" s="41" t="s">
        <v>295</v>
      </c>
      <c r="K2180" s="42"/>
      <c r="L2180" s="41" t="s">
        <v>7039</v>
      </c>
      <c r="M2180" s="41">
        <v>66</v>
      </c>
      <c r="N2180" s="41" t="s">
        <v>67</v>
      </c>
      <c r="O2180" s="41" t="s">
        <v>482</v>
      </c>
      <c r="P2180" s="41" t="s">
        <v>334</v>
      </c>
      <c r="Q2180" s="41" t="s">
        <v>4538</v>
      </c>
      <c r="R2180" s="41" t="s">
        <v>132</v>
      </c>
      <c r="S2180" s="41" t="s">
        <v>7040</v>
      </c>
      <c r="T2180" s="41" t="s">
        <v>509</v>
      </c>
      <c r="U2180" s="41" t="s">
        <v>40</v>
      </c>
    </row>
    <row r="2181" spans="1:21">
      <c r="A2181" s="41">
        <v>510</v>
      </c>
      <c r="B2181" s="41" t="s">
        <v>7041</v>
      </c>
      <c r="E2181" s="41" t="s">
        <v>1076</v>
      </c>
      <c r="F2181" s="41" t="s">
        <v>53</v>
      </c>
      <c r="G2181" s="41" t="s">
        <v>64</v>
      </c>
      <c r="I2181" s="41" t="s">
        <v>1303</v>
      </c>
      <c r="J2181" s="41" t="s">
        <v>295</v>
      </c>
      <c r="K2181" s="42"/>
      <c r="L2181" s="41" t="s">
        <v>5026</v>
      </c>
      <c r="M2181" s="41">
        <v>220</v>
      </c>
      <c r="N2181" s="41" t="s">
        <v>7037</v>
      </c>
      <c r="O2181" s="41" t="s">
        <v>2566</v>
      </c>
      <c r="P2181" s="41" t="s">
        <v>60</v>
      </c>
      <c r="Q2181" s="41" t="s">
        <v>419</v>
      </c>
      <c r="R2181" s="41" t="s">
        <v>132</v>
      </c>
      <c r="S2181" s="41" t="s">
        <v>40</v>
      </c>
      <c r="T2181" s="41" t="s">
        <v>40</v>
      </c>
      <c r="U2181" s="41" t="s">
        <v>40</v>
      </c>
    </row>
    <row r="2182" spans="1:21">
      <c r="A2182" s="41">
        <v>509</v>
      </c>
      <c r="B2182" s="41" t="s">
        <v>7042</v>
      </c>
      <c r="D2182" s="41">
        <v>2193</v>
      </c>
      <c r="E2182" s="41" t="s">
        <v>2405</v>
      </c>
      <c r="F2182" s="41" t="s">
        <v>53</v>
      </c>
      <c r="G2182" s="41" t="s">
        <v>64</v>
      </c>
      <c r="I2182" s="41" t="s">
        <v>194</v>
      </c>
      <c r="J2182" s="41" t="s">
        <v>295</v>
      </c>
      <c r="K2182" s="42"/>
      <c r="L2182" s="41" t="s">
        <v>5415</v>
      </c>
      <c r="M2182" s="41">
        <v>15</v>
      </c>
      <c r="N2182" s="41" t="s">
        <v>1741</v>
      </c>
      <c r="O2182" s="41" t="s">
        <v>402</v>
      </c>
      <c r="P2182" s="41" t="s">
        <v>60</v>
      </c>
      <c r="Q2182" s="41" t="s">
        <v>436</v>
      </c>
      <c r="R2182" s="41" t="s">
        <v>132</v>
      </c>
      <c r="S2182" s="41" t="s">
        <v>40</v>
      </c>
      <c r="T2182" s="41" t="s">
        <v>40</v>
      </c>
      <c r="U2182" s="41" t="s">
        <v>40</v>
      </c>
    </row>
    <row r="2183" spans="1:21">
      <c r="A2183" s="41">
        <v>508</v>
      </c>
      <c r="B2183" s="41" t="s">
        <v>7043</v>
      </c>
      <c r="D2183" s="41">
        <v>2075</v>
      </c>
      <c r="E2183" s="41" t="s">
        <v>2405</v>
      </c>
      <c r="F2183" s="41" t="s">
        <v>53</v>
      </c>
      <c r="G2183" s="41" t="s">
        <v>141</v>
      </c>
      <c r="I2183" s="41" t="s">
        <v>406</v>
      </c>
      <c r="J2183" s="41" t="s">
        <v>295</v>
      </c>
      <c r="K2183" s="42"/>
      <c r="L2183" s="41" t="s">
        <v>7039</v>
      </c>
      <c r="M2183" s="41">
        <v>66</v>
      </c>
      <c r="N2183" s="41" t="s">
        <v>7044</v>
      </c>
      <c r="O2183" s="41" t="s">
        <v>388</v>
      </c>
      <c r="P2183" s="41" t="s">
        <v>334</v>
      </c>
      <c r="Q2183" s="41" t="s">
        <v>4538</v>
      </c>
      <c r="R2183" s="41" t="s">
        <v>132</v>
      </c>
      <c r="S2183" s="41" t="s">
        <v>7045</v>
      </c>
      <c r="T2183" s="41" t="s">
        <v>4822</v>
      </c>
      <c r="U2183" s="41" t="s">
        <v>186</v>
      </c>
    </row>
    <row r="2184" spans="1:21">
      <c r="A2184" s="41">
        <v>507</v>
      </c>
      <c r="B2184" s="41" t="s">
        <v>3148</v>
      </c>
      <c r="E2184" s="41" t="s">
        <v>2639</v>
      </c>
      <c r="F2184" s="41" t="s">
        <v>53</v>
      </c>
      <c r="G2184" s="41" t="s">
        <v>64</v>
      </c>
      <c r="I2184" s="41" t="s">
        <v>392</v>
      </c>
      <c r="J2184" s="41" t="s">
        <v>32</v>
      </c>
      <c r="K2184" s="42"/>
      <c r="L2184" s="41" t="s">
        <v>344</v>
      </c>
      <c r="M2184" s="41">
        <v>220</v>
      </c>
      <c r="N2184" s="41" t="s">
        <v>67</v>
      </c>
      <c r="O2184" s="41" t="s">
        <v>2566</v>
      </c>
      <c r="P2184" s="41" t="s">
        <v>153</v>
      </c>
      <c r="Q2184" s="41" t="s">
        <v>329</v>
      </c>
      <c r="R2184" s="41" t="s">
        <v>62</v>
      </c>
      <c r="S2184" s="41" t="s">
        <v>40</v>
      </c>
      <c r="T2184" s="41" t="s">
        <v>40</v>
      </c>
      <c r="U2184" s="41" t="s">
        <v>40</v>
      </c>
    </row>
    <row r="2185" spans="1:21">
      <c r="A2185" s="41">
        <v>506</v>
      </c>
      <c r="B2185" s="41" t="s">
        <v>7046</v>
      </c>
      <c r="E2185" s="41" t="s">
        <v>1613</v>
      </c>
      <c r="F2185" s="41" t="s">
        <v>53</v>
      </c>
      <c r="G2185" s="41" t="s">
        <v>43</v>
      </c>
      <c r="I2185" s="41" t="s">
        <v>411</v>
      </c>
      <c r="J2185" s="41" t="s">
        <v>295</v>
      </c>
      <c r="K2185" s="42"/>
      <c r="L2185" s="41" t="s">
        <v>7047</v>
      </c>
      <c r="M2185" s="41">
        <v>66</v>
      </c>
      <c r="N2185" s="41" t="s">
        <v>7048</v>
      </c>
      <c r="O2185" s="41" t="s">
        <v>36</v>
      </c>
      <c r="P2185" s="41" t="s">
        <v>172</v>
      </c>
      <c r="Q2185" s="41" t="s">
        <v>197</v>
      </c>
      <c r="R2185" s="41" t="s">
        <v>132</v>
      </c>
      <c r="S2185" s="41" t="s">
        <v>40</v>
      </c>
      <c r="T2185" s="41" t="s">
        <v>40</v>
      </c>
      <c r="U2185" s="41" t="s">
        <v>40</v>
      </c>
    </row>
    <row r="2186" spans="1:21">
      <c r="A2186" s="41">
        <v>505</v>
      </c>
      <c r="B2186" s="41" t="s">
        <v>7049</v>
      </c>
      <c r="E2186" s="41" t="s">
        <v>1613</v>
      </c>
      <c r="F2186" s="41" t="s">
        <v>53</v>
      </c>
      <c r="G2186" s="41" t="s">
        <v>43</v>
      </c>
      <c r="I2186" s="41" t="s">
        <v>194</v>
      </c>
      <c r="J2186" s="41" t="s">
        <v>380</v>
      </c>
      <c r="K2186" s="42"/>
      <c r="L2186" s="41" t="s">
        <v>3670</v>
      </c>
      <c r="M2186" s="41">
        <v>66</v>
      </c>
      <c r="N2186" s="41" t="s">
        <v>1693</v>
      </c>
      <c r="O2186" s="41" t="s">
        <v>77</v>
      </c>
      <c r="P2186" s="41" t="s">
        <v>68</v>
      </c>
      <c r="Q2186" s="41" t="s">
        <v>3518</v>
      </c>
      <c r="R2186" s="41" t="s">
        <v>132</v>
      </c>
      <c r="S2186" s="41" t="s">
        <v>40</v>
      </c>
      <c r="T2186" s="41" t="s">
        <v>40</v>
      </c>
      <c r="U2186" s="41" t="s">
        <v>40</v>
      </c>
    </row>
    <row r="2187" spans="1:21">
      <c r="A2187" s="41">
        <v>582</v>
      </c>
      <c r="B2187" s="41" t="s">
        <v>7050</v>
      </c>
      <c r="D2187" s="41">
        <v>1506</v>
      </c>
      <c r="E2187" s="41" t="s">
        <v>1882</v>
      </c>
      <c r="F2187" s="41" t="s">
        <v>53</v>
      </c>
      <c r="G2187" s="41" t="s">
        <v>64</v>
      </c>
      <c r="I2187" s="41" t="s">
        <v>325</v>
      </c>
      <c r="J2187" s="41" t="s">
        <v>295</v>
      </c>
      <c r="K2187" s="42"/>
      <c r="L2187" s="41" t="s">
        <v>481</v>
      </c>
      <c r="M2187" s="41">
        <v>66</v>
      </c>
      <c r="N2187" s="41" t="s">
        <v>67</v>
      </c>
      <c r="O2187" s="41" t="s">
        <v>488</v>
      </c>
      <c r="P2187" s="41" t="s">
        <v>78</v>
      </c>
      <c r="Q2187" s="41" t="s">
        <v>483</v>
      </c>
      <c r="R2187" s="41" t="s">
        <v>132</v>
      </c>
      <c r="S2187" s="41" t="s">
        <v>40</v>
      </c>
      <c r="T2187" s="41" t="s">
        <v>40</v>
      </c>
      <c r="U2187" s="41" t="s">
        <v>40</v>
      </c>
    </row>
    <row r="2188" spans="1:21">
      <c r="A2188" s="41">
        <v>489</v>
      </c>
      <c r="B2188" s="41" t="s">
        <v>7051</v>
      </c>
      <c r="E2188" s="41" t="s">
        <v>1613</v>
      </c>
      <c r="F2188" s="41" t="s">
        <v>53</v>
      </c>
      <c r="G2188" s="41" t="s">
        <v>43</v>
      </c>
      <c r="I2188" s="41" t="s">
        <v>194</v>
      </c>
      <c r="J2188" s="41" t="s">
        <v>380</v>
      </c>
      <c r="K2188" s="42"/>
      <c r="L2188" s="41" t="s">
        <v>7052</v>
      </c>
      <c r="M2188" s="41">
        <v>66</v>
      </c>
      <c r="N2188" s="41" t="s">
        <v>67</v>
      </c>
      <c r="O2188" s="41" t="s">
        <v>482</v>
      </c>
      <c r="P2188" s="41" t="s">
        <v>1046</v>
      </c>
      <c r="Q2188" s="41" t="s">
        <v>1110</v>
      </c>
      <c r="R2188" s="41" t="s">
        <v>132</v>
      </c>
      <c r="S2188" s="41" t="s">
        <v>40</v>
      </c>
      <c r="T2188" s="41" t="s">
        <v>40</v>
      </c>
      <c r="U2188" s="41" t="s">
        <v>40</v>
      </c>
    </row>
    <row r="2189" spans="1:21">
      <c r="A2189" s="41">
        <v>488</v>
      </c>
      <c r="B2189" s="41" t="s">
        <v>7053</v>
      </c>
      <c r="E2189" s="41" t="s">
        <v>1613</v>
      </c>
      <c r="F2189" s="41" t="s">
        <v>53</v>
      </c>
      <c r="G2189" s="41" t="s">
        <v>43</v>
      </c>
      <c r="I2189" s="41" t="s">
        <v>966</v>
      </c>
      <c r="J2189" s="41" t="s">
        <v>295</v>
      </c>
      <c r="K2189" s="42"/>
      <c r="L2189" s="41" t="s">
        <v>7054</v>
      </c>
      <c r="M2189" s="41">
        <v>110</v>
      </c>
      <c r="N2189" s="41" t="s">
        <v>2827</v>
      </c>
      <c r="O2189" s="41" t="s">
        <v>7055</v>
      </c>
      <c r="P2189" s="41" t="s">
        <v>153</v>
      </c>
      <c r="Q2189" s="41" t="s">
        <v>153</v>
      </c>
      <c r="R2189" s="41" t="s">
        <v>62</v>
      </c>
      <c r="S2189" s="41" t="s">
        <v>40</v>
      </c>
      <c r="T2189" s="41" t="s">
        <v>40</v>
      </c>
      <c r="U2189" s="41" t="s">
        <v>40</v>
      </c>
    </row>
    <row r="2190" spans="1:21">
      <c r="A2190" s="41">
        <v>581</v>
      </c>
      <c r="B2190" s="41" t="s">
        <v>7056</v>
      </c>
      <c r="D2190" s="41">
        <v>1505</v>
      </c>
      <c r="E2190" s="41" t="s">
        <v>3403</v>
      </c>
      <c r="F2190" s="41" t="s">
        <v>53</v>
      </c>
      <c r="G2190" s="41" t="s">
        <v>64</v>
      </c>
      <c r="I2190" s="41" t="s">
        <v>231</v>
      </c>
      <c r="J2190" s="41" t="s">
        <v>295</v>
      </c>
      <c r="K2190" s="42"/>
      <c r="L2190" s="41" t="s">
        <v>7057</v>
      </c>
      <c r="M2190" s="41">
        <v>66</v>
      </c>
      <c r="N2190" s="41" t="s">
        <v>6916</v>
      </c>
      <c r="O2190" s="41" t="s">
        <v>445</v>
      </c>
      <c r="P2190" s="41" t="s">
        <v>98</v>
      </c>
      <c r="Q2190" s="41" t="s">
        <v>116</v>
      </c>
      <c r="R2190" s="41" t="s">
        <v>62</v>
      </c>
      <c r="S2190" s="41" t="s">
        <v>40</v>
      </c>
      <c r="T2190" s="41" t="s">
        <v>40</v>
      </c>
      <c r="U2190" s="41" t="s">
        <v>40</v>
      </c>
    </row>
    <row r="2191" spans="1:21">
      <c r="A2191" s="41">
        <v>487</v>
      </c>
      <c r="B2191" s="41" t="s">
        <v>7058</v>
      </c>
      <c r="E2191" s="41" t="s">
        <v>1613</v>
      </c>
      <c r="F2191" s="41" t="s">
        <v>28</v>
      </c>
      <c r="G2191" s="41" t="s">
        <v>43</v>
      </c>
      <c r="I2191" s="41" t="s">
        <v>194</v>
      </c>
      <c r="J2191" s="41" t="s">
        <v>380</v>
      </c>
      <c r="K2191" s="42"/>
      <c r="L2191" s="41" t="s">
        <v>7059</v>
      </c>
      <c r="M2191" s="41">
        <v>110</v>
      </c>
      <c r="N2191" s="41" t="s">
        <v>67</v>
      </c>
      <c r="O2191" s="41" t="s">
        <v>747</v>
      </c>
      <c r="P2191" s="41" t="s">
        <v>83</v>
      </c>
      <c r="Q2191" s="41" t="s">
        <v>461</v>
      </c>
      <c r="R2191" s="41" t="s">
        <v>39</v>
      </c>
      <c r="S2191" s="41" t="s">
        <v>40</v>
      </c>
      <c r="T2191" s="41" t="s">
        <v>40</v>
      </c>
      <c r="U2191" s="41" t="s">
        <v>40</v>
      </c>
    </row>
    <row r="2192" spans="1:21">
      <c r="A2192" s="41">
        <v>580</v>
      </c>
      <c r="B2192" s="41" t="s">
        <v>7060</v>
      </c>
      <c r="D2192" s="41">
        <v>1504</v>
      </c>
      <c r="E2192" s="41" t="s">
        <v>3403</v>
      </c>
      <c r="F2192" s="41" t="s">
        <v>28</v>
      </c>
      <c r="G2192" s="41" t="s">
        <v>64</v>
      </c>
      <c r="I2192" s="41" t="s">
        <v>162</v>
      </c>
      <c r="J2192" s="41" t="s">
        <v>295</v>
      </c>
      <c r="K2192" s="42"/>
      <c r="L2192" s="41" t="s">
        <v>7061</v>
      </c>
      <c r="M2192" s="41">
        <v>220</v>
      </c>
      <c r="N2192" s="41" t="s">
        <v>6916</v>
      </c>
      <c r="O2192" s="41" t="s">
        <v>620</v>
      </c>
      <c r="P2192" s="41" t="s">
        <v>98</v>
      </c>
      <c r="Q2192" s="41" t="s">
        <v>116</v>
      </c>
      <c r="R2192" s="41" t="s">
        <v>39</v>
      </c>
      <c r="S2192" s="41" t="s">
        <v>40</v>
      </c>
      <c r="T2192" s="41" t="s">
        <v>40</v>
      </c>
      <c r="U2192" s="41" t="s">
        <v>40</v>
      </c>
    </row>
    <row r="2193" spans="1:21">
      <c r="A2193" s="41">
        <v>579</v>
      </c>
      <c r="B2193" s="41" t="s">
        <v>7062</v>
      </c>
      <c r="D2193" s="41">
        <v>1503</v>
      </c>
      <c r="E2193" s="41" t="s">
        <v>3403</v>
      </c>
      <c r="F2193" s="41" t="s">
        <v>53</v>
      </c>
      <c r="G2193" s="41" t="s">
        <v>64</v>
      </c>
      <c r="I2193" s="41" t="s">
        <v>464</v>
      </c>
      <c r="J2193" s="41" t="s">
        <v>295</v>
      </c>
      <c r="K2193" s="42"/>
      <c r="L2193" s="41" t="s">
        <v>7063</v>
      </c>
      <c r="M2193" s="41">
        <v>220</v>
      </c>
      <c r="N2193" s="41" t="s">
        <v>6916</v>
      </c>
      <c r="O2193" s="41" t="s">
        <v>1615</v>
      </c>
      <c r="P2193" s="41" t="s">
        <v>153</v>
      </c>
      <c r="Q2193" s="41" t="s">
        <v>329</v>
      </c>
      <c r="R2193" s="41" t="s">
        <v>62</v>
      </c>
      <c r="S2193" s="41" t="s">
        <v>40</v>
      </c>
      <c r="T2193" s="41" t="s">
        <v>40</v>
      </c>
      <c r="U2193" s="41" t="s">
        <v>40</v>
      </c>
    </row>
    <row r="2194" spans="1:21">
      <c r="A2194" s="41">
        <v>486</v>
      </c>
      <c r="B2194" s="41" t="s">
        <v>6830</v>
      </c>
      <c r="E2194" s="41" t="s">
        <v>3714</v>
      </c>
      <c r="F2194" s="41" t="s">
        <v>53</v>
      </c>
      <c r="G2194" s="41" t="s">
        <v>43</v>
      </c>
      <c r="I2194" s="41" t="s">
        <v>7064</v>
      </c>
      <c r="J2194" s="41" t="s">
        <v>380</v>
      </c>
      <c r="K2194" s="42"/>
      <c r="L2194" s="41" t="s">
        <v>1304</v>
      </c>
      <c r="M2194" s="41">
        <v>220</v>
      </c>
      <c r="N2194" s="41" t="s">
        <v>7065</v>
      </c>
      <c r="O2194" s="41" t="s">
        <v>271</v>
      </c>
      <c r="P2194" s="41" t="s">
        <v>50</v>
      </c>
      <c r="Q2194" s="41" t="s">
        <v>51</v>
      </c>
      <c r="R2194" s="41" t="s">
        <v>62</v>
      </c>
      <c r="S2194" s="41" t="s">
        <v>40</v>
      </c>
      <c r="T2194" s="41" t="s">
        <v>40</v>
      </c>
      <c r="U2194" s="41" t="s">
        <v>40</v>
      </c>
    </row>
    <row r="2195" spans="1:21">
      <c r="A2195" s="41">
        <v>502</v>
      </c>
      <c r="B2195" s="41" t="s">
        <v>7066</v>
      </c>
      <c r="D2195" s="41">
        <v>2022</v>
      </c>
      <c r="E2195" s="41" t="s">
        <v>1613</v>
      </c>
      <c r="F2195" s="41" t="s">
        <v>28</v>
      </c>
      <c r="G2195" s="41" t="s">
        <v>43</v>
      </c>
      <c r="I2195" s="41" t="s">
        <v>399</v>
      </c>
      <c r="J2195" s="41" t="s">
        <v>380</v>
      </c>
      <c r="K2195" s="42"/>
      <c r="L2195" s="41" t="s">
        <v>7067</v>
      </c>
      <c r="M2195" s="41">
        <v>66</v>
      </c>
      <c r="N2195" s="41" t="s">
        <v>488</v>
      </c>
      <c r="O2195" s="41" t="s">
        <v>40</v>
      </c>
      <c r="P2195" s="41" t="s">
        <v>1046</v>
      </c>
      <c r="Q2195" s="41" t="s">
        <v>1110</v>
      </c>
      <c r="R2195" s="41" t="s">
        <v>39</v>
      </c>
      <c r="S2195" s="41" t="s">
        <v>40</v>
      </c>
      <c r="T2195" s="41" t="s">
        <v>40</v>
      </c>
      <c r="U2195" s="41" t="s">
        <v>40</v>
      </c>
    </row>
    <row r="2196" spans="1:21">
      <c r="A2196" s="41">
        <v>501</v>
      </c>
      <c r="B2196" s="41" t="s">
        <v>7068</v>
      </c>
      <c r="D2196" s="41">
        <v>2019</v>
      </c>
      <c r="E2196" s="41" t="s">
        <v>1879</v>
      </c>
      <c r="F2196" s="41" t="s">
        <v>53</v>
      </c>
      <c r="G2196" s="41" t="s">
        <v>141</v>
      </c>
      <c r="I2196" s="41" t="s">
        <v>56</v>
      </c>
      <c r="J2196" s="41" t="s">
        <v>295</v>
      </c>
      <c r="K2196" s="42"/>
      <c r="L2196" s="41" t="s">
        <v>4453</v>
      </c>
      <c r="M2196" s="41">
        <v>110</v>
      </c>
      <c r="N2196" s="41" t="s">
        <v>7069</v>
      </c>
      <c r="O2196" s="41" t="s">
        <v>40</v>
      </c>
      <c r="P2196" s="41" t="s">
        <v>98</v>
      </c>
      <c r="Q2196" s="41" t="s">
        <v>569</v>
      </c>
      <c r="R2196" s="41" t="s">
        <v>132</v>
      </c>
      <c r="S2196" s="41" t="s">
        <v>7070</v>
      </c>
      <c r="T2196" s="41" t="s">
        <v>7071</v>
      </c>
      <c r="U2196" s="41" t="s">
        <v>40</v>
      </c>
    </row>
    <row r="2197" spans="1:21">
      <c r="A2197" s="41">
        <v>499</v>
      </c>
      <c r="B2197" s="41" t="s">
        <v>5506</v>
      </c>
      <c r="D2197" s="41">
        <v>2016</v>
      </c>
      <c r="E2197" s="41" t="s">
        <v>1613</v>
      </c>
      <c r="F2197" s="41" t="s">
        <v>53</v>
      </c>
      <c r="G2197" s="41" t="s">
        <v>64</v>
      </c>
      <c r="I2197" s="41" t="s">
        <v>3645</v>
      </c>
      <c r="J2197" s="41" t="s">
        <v>380</v>
      </c>
      <c r="K2197" s="42"/>
      <c r="L2197" s="41" t="s">
        <v>3952</v>
      </c>
      <c r="M2197" s="41">
        <v>220</v>
      </c>
      <c r="N2197" s="41" t="s">
        <v>59</v>
      </c>
      <c r="O2197" s="41" t="s">
        <v>201</v>
      </c>
      <c r="P2197" s="41" t="s">
        <v>382</v>
      </c>
      <c r="Q2197" s="41" t="s">
        <v>83</v>
      </c>
      <c r="R2197" s="41" t="s">
        <v>62</v>
      </c>
      <c r="S2197" s="41" t="s">
        <v>40</v>
      </c>
      <c r="T2197" s="41" t="s">
        <v>40</v>
      </c>
      <c r="U2197" s="41" t="s">
        <v>40</v>
      </c>
    </row>
    <row r="2198" spans="1:21">
      <c r="A2198" s="41">
        <v>498</v>
      </c>
      <c r="B2198" s="41" t="s">
        <v>7072</v>
      </c>
      <c r="D2198" s="41">
        <v>2020</v>
      </c>
      <c r="E2198" s="41" t="s">
        <v>1227</v>
      </c>
      <c r="F2198" s="41" t="s">
        <v>53</v>
      </c>
      <c r="G2198" s="41" t="s">
        <v>64</v>
      </c>
      <c r="I2198" s="41" t="s">
        <v>45</v>
      </c>
      <c r="J2198" s="41" t="s">
        <v>295</v>
      </c>
      <c r="K2198" s="42"/>
      <c r="L2198" s="41" t="s">
        <v>6319</v>
      </c>
      <c r="M2198" s="41">
        <v>220</v>
      </c>
      <c r="N2198" s="41" t="s">
        <v>7073</v>
      </c>
      <c r="O2198" s="41" t="s">
        <v>1376</v>
      </c>
      <c r="P2198" s="41" t="s">
        <v>68</v>
      </c>
      <c r="Q2198" s="41" t="s">
        <v>69</v>
      </c>
      <c r="R2198" s="41" t="s">
        <v>62</v>
      </c>
      <c r="S2198" s="41" t="s">
        <v>40</v>
      </c>
      <c r="T2198" s="41" t="s">
        <v>40</v>
      </c>
      <c r="U2198" s="41" t="s">
        <v>40</v>
      </c>
    </row>
    <row r="2199" spans="1:21">
      <c r="A2199" s="41">
        <v>500</v>
      </c>
      <c r="B2199" s="41" t="s">
        <v>7074</v>
      </c>
      <c r="D2199" s="41">
        <v>2018</v>
      </c>
      <c r="E2199" s="41" t="s">
        <v>3484</v>
      </c>
      <c r="F2199" s="41" t="s">
        <v>53</v>
      </c>
      <c r="G2199" s="41" t="s">
        <v>64</v>
      </c>
      <c r="I2199" s="41" t="s">
        <v>5319</v>
      </c>
      <c r="J2199" s="41" t="s">
        <v>380</v>
      </c>
      <c r="K2199" s="42"/>
      <c r="L2199" s="41" t="s">
        <v>7075</v>
      </c>
      <c r="M2199" s="41">
        <v>154</v>
      </c>
      <c r="N2199" s="41" t="s">
        <v>1596</v>
      </c>
      <c r="O2199" s="41" t="s">
        <v>488</v>
      </c>
      <c r="P2199" s="41" t="s">
        <v>334</v>
      </c>
      <c r="Q2199" s="41" t="s">
        <v>4538</v>
      </c>
      <c r="R2199" s="41" t="s">
        <v>132</v>
      </c>
      <c r="S2199" s="41" t="s">
        <v>40</v>
      </c>
      <c r="T2199" s="41" t="s">
        <v>40</v>
      </c>
      <c r="U2199" s="41" t="s">
        <v>40</v>
      </c>
    </row>
    <row r="2200" spans="1:21">
      <c r="A2200" s="41">
        <v>503</v>
      </c>
      <c r="B2200" s="41" t="s">
        <v>7076</v>
      </c>
      <c r="D2200" s="41">
        <v>2024</v>
      </c>
      <c r="E2200" s="41" t="s">
        <v>7077</v>
      </c>
      <c r="F2200" s="41" t="s">
        <v>28</v>
      </c>
      <c r="G2200" s="41" t="s">
        <v>64</v>
      </c>
      <c r="I2200" s="41" t="s">
        <v>1033</v>
      </c>
      <c r="J2200" s="41" t="s">
        <v>295</v>
      </c>
      <c r="K2200" s="42"/>
      <c r="L2200" s="41" t="s">
        <v>7078</v>
      </c>
      <c r="M2200" s="41">
        <v>110</v>
      </c>
      <c r="N2200" s="41" t="s">
        <v>488</v>
      </c>
      <c r="O2200" s="41" t="s">
        <v>488</v>
      </c>
      <c r="P2200" s="41" t="s">
        <v>98</v>
      </c>
      <c r="Q2200" s="41" t="s">
        <v>491</v>
      </c>
      <c r="R2200" s="41" t="s">
        <v>39</v>
      </c>
      <c r="S2200" s="41" t="s">
        <v>40</v>
      </c>
      <c r="T2200" s="41" t="s">
        <v>40</v>
      </c>
      <c r="U2200" s="41" t="s">
        <v>40</v>
      </c>
    </row>
    <row r="2201" spans="1:21">
      <c r="A2201" s="41">
        <v>497</v>
      </c>
      <c r="B2201" s="41" t="s">
        <v>7079</v>
      </c>
      <c r="D2201" s="41">
        <v>2015</v>
      </c>
      <c r="E2201" s="41" t="s">
        <v>1613</v>
      </c>
      <c r="F2201" s="41" t="s">
        <v>53</v>
      </c>
      <c r="G2201" s="41" t="s">
        <v>43</v>
      </c>
      <c r="I2201" s="41" t="s">
        <v>194</v>
      </c>
      <c r="J2201" s="41" t="s">
        <v>380</v>
      </c>
      <c r="K2201" s="42"/>
      <c r="L2201" s="41" t="s">
        <v>7080</v>
      </c>
      <c r="M2201" s="41">
        <v>66</v>
      </c>
      <c r="N2201" s="41" t="s">
        <v>67</v>
      </c>
      <c r="O2201" s="41" t="s">
        <v>7081</v>
      </c>
      <c r="P2201" s="41" t="s">
        <v>1046</v>
      </c>
      <c r="Q2201" s="41" t="s">
        <v>1682</v>
      </c>
      <c r="R2201" s="41" t="s">
        <v>132</v>
      </c>
      <c r="S2201" s="41" t="s">
        <v>40</v>
      </c>
      <c r="T2201" s="41" t="s">
        <v>40</v>
      </c>
      <c r="U2201" s="41" t="s">
        <v>40</v>
      </c>
    </row>
    <row r="2202" spans="1:21">
      <c r="A2202" s="41">
        <v>494</v>
      </c>
      <c r="B2202" s="41" t="s">
        <v>7082</v>
      </c>
      <c r="D2202" s="41">
        <v>2021</v>
      </c>
      <c r="E2202" s="41" t="s">
        <v>3403</v>
      </c>
      <c r="F2202" s="41" t="s">
        <v>28</v>
      </c>
      <c r="G2202" s="41" t="s">
        <v>64</v>
      </c>
      <c r="I2202" s="41" t="s">
        <v>194</v>
      </c>
      <c r="J2202" s="41" t="s">
        <v>295</v>
      </c>
      <c r="K2202" s="42"/>
      <c r="L2202" s="41" t="s">
        <v>7083</v>
      </c>
      <c r="M2202" s="41">
        <v>15</v>
      </c>
      <c r="N2202" s="41" t="s">
        <v>4851</v>
      </c>
      <c r="O2202" s="41" t="s">
        <v>663</v>
      </c>
      <c r="P2202" s="41" t="s">
        <v>153</v>
      </c>
      <c r="Q2202" s="41" t="s">
        <v>329</v>
      </c>
      <c r="R2202" s="41" t="s">
        <v>62</v>
      </c>
      <c r="S2202" s="41" t="s">
        <v>40</v>
      </c>
      <c r="T2202" s="41" t="s">
        <v>40</v>
      </c>
      <c r="U2202" s="41" t="s">
        <v>40</v>
      </c>
    </row>
    <row r="2203" spans="1:21">
      <c r="A2203" s="41">
        <v>493</v>
      </c>
      <c r="B2203" s="41" t="s">
        <v>7084</v>
      </c>
      <c r="D2203" s="41">
        <v>2001</v>
      </c>
      <c r="E2203" s="41" t="s">
        <v>3714</v>
      </c>
      <c r="F2203" s="41" t="s">
        <v>53</v>
      </c>
      <c r="G2203" s="41" t="s">
        <v>43</v>
      </c>
      <c r="I2203" s="41" t="s">
        <v>56</v>
      </c>
      <c r="J2203" s="41" t="s">
        <v>295</v>
      </c>
      <c r="K2203" s="42"/>
      <c r="L2203" s="41" t="s">
        <v>7085</v>
      </c>
      <c r="M2203" s="41">
        <v>110</v>
      </c>
      <c r="N2203" s="41" t="s">
        <v>488</v>
      </c>
      <c r="O2203" s="41" t="s">
        <v>488</v>
      </c>
      <c r="P2203" s="41" t="s">
        <v>78</v>
      </c>
      <c r="Q2203" s="41" t="s">
        <v>6218</v>
      </c>
      <c r="R2203" s="41" t="s">
        <v>132</v>
      </c>
      <c r="S2203" s="41" t="s">
        <v>40</v>
      </c>
      <c r="T2203" s="41" t="s">
        <v>40</v>
      </c>
      <c r="U2203" s="41" t="s">
        <v>40</v>
      </c>
    </row>
    <row r="2204" spans="1:21">
      <c r="A2204" s="41">
        <v>492</v>
      </c>
      <c r="B2204" s="41" t="s">
        <v>7086</v>
      </c>
      <c r="D2204" s="41">
        <v>2004</v>
      </c>
      <c r="E2204" s="41" t="s">
        <v>7087</v>
      </c>
      <c r="F2204" s="41" t="s">
        <v>28</v>
      </c>
      <c r="G2204" s="41" t="s">
        <v>64</v>
      </c>
      <c r="I2204" s="41" t="s">
        <v>7088</v>
      </c>
      <c r="J2204" s="41" t="s">
        <v>1906</v>
      </c>
      <c r="K2204" s="42"/>
      <c r="L2204" s="41" t="s">
        <v>7089</v>
      </c>
      <c r="M2204" s="41">
        <v>23</v>
      </c>
      <c r="N2204" s="41" t="s">
        <v>488</v>
      </c>
      <c r="O2204" s="41" t="s">
        <v>488</v>
      </c>
      <c r="P2204" s="41" t="s">
        <v>37</v>
      </c>
      <c r="Q2204" s="41" t="s">
        <v>1960</v>
      </c>
      <c r="R2204" s="41" t="s">
        <v>39</v>
      </c>
      <c r="S2204" s="41" t="s">
        <v>40</v>
      </c>
      <c r="T2204" s="41" t="s">
        <v>40</v>
      </c>
      <c r="U2204" s="41" t="s">
        <v>40</v>
      </c>
    </row>
    <row r="2205" spans="1:21">
      <c r="A2205" s="41">
        <v>483</v>
      </c>
      <c r="B2205" s="41" t="s">
        <v>7090</v>
      </c>
      <c r="E2205" s="41" t="s">
        <v>1613</v>
      </c>
      <c r="F2205" s="41" t="s">
        <v>53</v>
      </c>
      <c r="G2205" s="41" t="s">
        <v>64</v>
      </c>
      <c r="I2205" s="41" t="s">
        <v>194</v>
      </c>
      <c r="J2205" s="41" t="s">
        <v>380</v>
      </c>
      <c r="K2205" s="42"/>
      <c r="L2205" s="41" t="s">
        <v>3346</v>
      </c>
      <c r="M2205" s="41">
        <v>66</v>
      </c>
      <c r="N2205" s="41" t="s">
        <v>67</v>
      </c>
      <c r="O2205" s="41" t="s">
        <v>7091</v>
      </c>
      <c r="P2205" s="41" t="s">
        <v>382</v>
      </c>
      <c r="Q2205" s="41" t="s">
        <v>3148</v>
      </c>
      <c r="R2205" s="41" t="s">
        <v>132</v>
      </c>
      <c r="S2205" s="41" t="s">
        <v>40</v>
      </c>
      <c r="T2205" s="41" t="s">
        <v>40</v>
      </c>
      <c r="U2205" s="41" t="s">
        <v>40</v>
      </c>
    </row>
    <row r="2206" spans="1:21">
      <c r="A2206" s="41">
        <v>490</v>
      </c>
      <c r="B2206" s="41" t="s">
        <v>7092</v>
      </c>
      <c r="D2206" s="41">
        <v>2003</v>
      </c>
      <c r="E2206" s="41" t="s">
        <v>6293</v>
      </c>
      <c r="F2206" s="41" t="s">
        <v>28</v>
      </c>
      <c r="G2206" s="41" t="s">
        <v>64</v>
      </c>
      <c r="I2206" s="41" t="s">
        <v>977</v>
      </c>
      <c r="J2206" s="41" t="s">
        <v>672</v>
      </c>
      <c r="K2206" s="42"/>
      <c r="L2206" s="41" t="s">
        <v>7093</v>
      </c>
      <c r="M2206" s="41">
        <v>12</v>
      </c>
      <c r="N2206" s="41" t="s">
        <v>488</v>
      </c>
      <c r="O2206" s="41" t="s">
        <v>488</v>
      </c>
      <c r="P2206" s="41" t="s">
        <v>78</v>
      </c>
      <c r="Q2206" s="41" t="s">
        <v>131</v>
      </c>
      <c r="R2206" s="41" t="s">
        <v>132</v>
      </c>
      <c r="S2206" s="41" t="s">
        <v>40</v>
      </c>
      <c r="T2206" s="41" t="s">
        <v>40</v>
      </c>
      <c r="U2206" s="41" t="s">
        <v>40</v>
      </c>
    </row>
    <row r="2207" spans="1:21">
      <c r="A2207" s="41">
        <v>491</v>
      </c>
      <c r="B2207" s="41" t="s">
        <v>7094</v>
      </c>
      <c r="D2207" s="41">
        <v>2002</v>
      </c>
      <c r="E2207" s="41" t="s">
        <v>6293</v>
      </c>
      <c r="F2207" s="41" t="s">
        <v>28</v>
      </c>
      <c r="G2207" s="41" t="s">
        <v>64</v>
      </c>
      <c r="I2207" s="41" t="s">
        <v>149</v>
      </c>
      <c r="J2207" s="41" t="s">
        <v>672</v>
      </c>
      <c r="K2207" s="42"/>
      <c r="L2207" s="41" t="s">
        <v>7095</v>
      </c>
      <c r="M2207" s="41">
        <v>23</v>
      </c>
      <c r="N2207" s="41" t="s">
        <v>488</v>
      </c>
      <c r="O2207" s="41" t="s">
        <v>488</v>
      </c>
      <c r="P2207" s="41" t="s">
        <v>78</v>
      </c>
      <c r="Q2207" s="41" t="s">
        <v>79</v>
      </c>
      <c r="R2207" s="41" t="s">
        <v>132</v>
      </c>
      <c r="S2207" s="41" t="s">
        <v>40</v>
      </c>
      <c r="T2207" s="41" t="s">
        <v>40</v>
      </c>
      <c r="U2207" s="41" t="s">
        <v>40</v>
      </c>
    </row>
    <row r="2208" spans="1:21">
      <c r="A2208" s="41">
        <v>481</v>
      </c>
      <c r="B2208" s="41" t="s">
        <v>7096</v>
      </c>
      <c r="E2208" s="41" t="s">
        <v>7097</v>
      </c>
      <c r="F2208" s="41" t="s">
        <v>53</v>
      </c>
      <c r="G2208" s="41" t="s">
        <v>64</v>
      </c>
      <c r="I2208" s="41" t="s">
        <v>45</v>
      </c>
      <c r="J2208" s="41" t="s">
        <v>295</v>
      </c>
      <c r="K2208" s="42"/>
      <c r="L2208" s="41" t="s">
        <v>574</v>
      </c>
      <c r="M2208" s="41">
        <v>220</v>
      </c>
      <c r="N2208" s="41" t="s">
        <v>40</v>
      </c>
      <c r="O2208" s="41" t="s">
        <v>40</v>
      </c>
      <c r="P2208" s="41" t="s">
        <v>179</v>
      </c>
      <c r="Q2208" s="41" t="s">
        <v>557</v>
      </c>
      <c r="R2208" s="41" t="s">
        <v>62</v>
      </c>
      <c r="S2208" s="41" t="s">
        <v>40</v>
      </c>
      <c r="T2208" s="41" t="s">
        <v>40</v>
      </c>
      <c r="U2208" s="41" t="s">
        <v>40</v>
      </c>
    </row>
    <row r="2209" spans="1:21">
      <c r="A2209" s="41">
        <v>482</v>
      </c>
      <c r="B2209" s="41" t="s">
        <v>7098</v>
      </c>
      <c r="D2209" s="41">
        <v>1999</v>
      </c>
      <c r="E2209" s="41" t="s">
        <v>7099</v>
      </c>
      <c r="F2209" s="41" t="s">
        <v>53</v>
      </c>
      <c r="G2209" s="41" t="s">
        <v>64</v>
      </c>
      <c r="I2209" s="41" t="s">
        <v>338</v>
      </c>
      <c r="J2209" s="41" t="s">
        <v>295</v>
      </c>
      <c r="K2209" s="42"/>
      <c r="L2209" s="41" t="s">
        <v>219</v>
      </c>
      <c r="M2209" s="41">
        <v>220</v>
      </c>
      <c r="N2209" s="41" t="s">
        <v>395</v>
      </c>
      <c r="O2209" s="41" t="s">
        <v>4316</v>
      </c>
      <c r="P2209" s="41" t="s">
        <v>172</v>
      </c>
      <c r="Q2209" s="41" t="s">
        <v>1104</v>
      </c>
      <c r="R2209" s="41" t="s">
        <v>62</v>
      </c>
      <c r="S2209" s="41" t="s">
        <v>7100</v>
      </c>
      <c r="T2209" s="41" t="s">
        <v>706</v>
      </c>
      <c r="U2209" s="41" t="s">
        <v>40</v>
      </c>
    </row>
    <row r="2210" spans="1:21">
      <c r="A2210" s="41">
        <v>480</v>
      </c>
      <c r="B2210" s="41" t="s">
        <v>7101</v>
      </c>
      <c r="D2210" s="41">
        <v>2177</v>
      </c>
      <c r="E2210" s="41" t="s">
        <v>7102</v>
      </c>
      <c r="F2210" s="41" t="s">
        <v>53</v>
      </c>
      <c r="G2210" s="41" t="s">
        <v>64</v>
      </c>
      <c r="I2210" s="41" t="s">
        <v>966</v>
      </c>
      <c r="J2210" s="41" t="s">
        <v>295</v>
      </c>
      <c r="K2210" s="42"/>
      <c r="L2210" s="41" t="s">
        <v>4839</v>
      </c>
      <c r="M2210" s="41">
        <v>110</v>
      </c>
      <c r="N2210" s="41" t="s">
        <v>7103</v>
      </c>
      <c r="O2210" s="41" t="s">
        <v>7104</v>
      </c>
      <c r="P2210" s="41" t="s">
        <v>68</v>
      </c>
      <c r="Q2210" s="41" t="s">
        <v>244</v>
      </c>
      <c r="R2210" s="41" t="s">
        <v>132</v>
      </c>
      <c r="S2210" s="41" t="s">
        <v>40</v>
      </c>
      <c r="T2210" s="41" t="s">
        <v>40</v>
      </c>
      <c r="U2210" s="41" t="s">
        <v>40</v>
      </c>
    </row>
    <row r="2211" spans="1:21">
      <c r="A2211" s="41">
        <v>479</v>
      </c>
      <c r="B2211" s="41" t="s">
        <v>7105</v>
      </c>
      <c r="E2211" s="41" t="s">
        <v>1613</v>
      </c>
      <c r="F2211" s="41" t="s">
        <v>53</v>
      </c>
      <c r="G2211" s="41" t="s">
        <v>43</v>
      </c>
      <c r="I2211" s="41" t="s">
        <v>194</v>
      </c>
      <c r="J2211" s="41" t="s">
        <v>380</v>
      </c>
      <c r="K2211" s="42"/>
      <c r="L2211" s="41" t="s">
        <v>7106</v>
      </c>
      <c r="M2211" s="41">
        <v>66</v>
      </c>
      <c r="N2211" s="41" t="s">
        <v>67</v>
      </c>
      <c r="O2211" s="41" t="s">
        <v>488</v>
      </c>
      <c r="P2211" s="41" t="s">
        <v>382</v>
      </c>
      <c r="Q2211" s="41" t="s">
        <v>83</v>
      </c>
      <c r="R2211" s="41" t="s">
        <v>132</v>
      </c>
      <c r="S2211" s="41" t="s">
        <v>40</v>
      </c>
      <c r="T2211" s="41" t="s">
        <v>40</v>
      </c>
      <c r="U2211" s="41" t="s">
        <v>40</v>
      </c>
    </row>
    <row r="2212" spans="1:21">
      <c r="A2212" s="41">
        <v>476</v>
      </c>
      <c r="B2212" s="41" t="s">
        <v>7107</v>
      </c>
      <c r="D2212" s="41">
        <v>1989</v>
      </c>
      <c r="E2212" s="41" t="s">
        <v>1418</v>
      </c>
      <c r="F2212" s="41" t="s">
        <v>53</v>
      </c>
      <c r="G2212" s="41" t="s">
        <v>1071</v>
      </c>
      <c r="I2212" s="41" t="s">
        <v>7108</v>
      </c>
      <c r="J2212" s="41" t="s">
        <v>672</v>
      </c>
      <c r="K2212" s="42"/>
      <c r="L2212" s="41" t="s">
        <v>7109</v>
      </c>
      <c r="M2212" s="41">
        <v>13.2</v>
      </c>
      <c r="N2212" s="41" t="s">
        <v>395</v>
      </c>
      <c r="O2212" s="41" t="s">
        <v>7110</v>
      </c>
      <c r="P2212" s="41" t="s">
        <v>60</v>
      </c>
      <c r="Q2212" s="41" t="s">
        <v>608</v>
      </c>
      <c r="R2212" s="41" t="s">
        <v>132</v>
      </c>
      <c r="S2212" s="41" t="s">
        <v>40</v>
      </c>
      <c r="T2212" s="41" t="s">
        <v>40</v>
      </c>
      <c r="U2212" s="41" t="s">
        <v>40</v>
      </c>
    </row>
    <row r="2213" spans="1:21">
      <c r="A2213" s="41">
        <v>478</v>
      </c>
      <c r="B2213" s="41" t="s">
        <v>7111</v>
      </c>
      <c r="D2213" s="41">
        <v>1480</v>
      </c>
      <c r="E2213" s="41" t="s">
        <v>7112</v>
      </c>
      <c r="F2213" s="41" t="s">
        <v>53</v>
      </c>
      <c r="G2213" s="41" t="s">
        <v>307</v>
      </c>
      <c r="I2213" s="41" t="s">
        <v>194</v>
      </c>
      <c r="J2213" s="41" t="s">
        <v>295</v>
      </c>
      <c r="K2213" s="42"/>
      <c r="L2213" s="41" t="s">
        <v>7113</v>
      </c>
      <c r="M2213" s="41">
        <v>13.8</v>
      </c>
      <c r="N2213" s="41" t="s">
        <v>7114</v>
      </c>
      <c r="O2213" s="41" t="s">
        <v>7115</v>
      </c>
      <c r="P2213" s="41" t="s">
        <v>60</v>
      </c>
      <c r="Q2213" s="41" t="s">
        <v>419</v>
      </c>
      <c r="R2213" s="41" t="s">
        <v>132</v>
      </c>
      <c r="S2213" s="41" t="s">
        <v>7116</v>
      </c>
      <c r="T2213" s="41" t="s">
        <v>40</v>
      </c>
      <c r="U2213" s="41" t="s">
        <v>40</v>
      </c>
    </row>
    <row r="2214" spans="1:21">
      <c r="A2214" s="41">
        <v>456</v>
      </c>
      <c r="B2214" s="41" t="s">
        <v>7117</v>
      </c>
      <c r="D2214" s="41">
        <v>1987</v>
      </c>
      <c r="E2214" s="41" t="s">
        <v>7118</v>
      </c>
      <c r="F2214" s="41" t="s">
        <v>53</v>
      </c>
      <c r="G2214" s="41" t="s">
        <v>141</v>
      </c>
      <c r="I2214" s="41" t="s">
        <v>6136</v>
      </c>
      <c r="J2214" s="41" t="s">
        <v>380</v>
      </c>
      <c r="K2214" s="42"/>
      <c r="L2214" s="41" t="s">
        <v>5004</v>
      </c>
      <c r="M2214" s="41">
        <v>220</v>
      </c>
      <c r="N2214" s="41" t="s">
        <v>7119</v>
      </c>
      <c r="O2214" s="41" t="s">
        <v>2854</v>
      </c>
      <c r="P2214" s="41" t="s">
        <v>37</v>
      </c>
      <c r="Q2214" s="41" t="s">
        <v>1661</v>
      </c>
      <c r="R2214" s="41" t="s">
        <v>39</v>
      </c>
      <c r="S2214" s="41" t="s">
        <v>7120</v>
      </c>
      <c r="T2214" s="41" t="s">
        <v>313</v>
      </c>
      <c r="U2214" s="41" t="s">
        <v>2187</v>
      </c>
    </row>
    <row r="2215" spans="1:21">
      <c r="A2215" s="41">
        <v>441</v>
      </c>
      <c r="B2215" s="41" t="s">
        <v>492</v>
      </c>
      <c r="D2215" s="41">
        <v>1959</v>
      </c>
      <c r="E2215" s="41" t="s">
        <v>27</v>
      </c>
      <c r="F2215" s="41" t="s">
        <v>28</v>
      </c>
      <c r="G2215" s="41" t="s">
        <v>64</v>
      </c>
      <c r="I2215" s="41" t="s">
        <v>194</v>
      </c>
      <c r="J2215" s="41" t="s">
        <v>295</v>
      </c>
      <c r="K2215" s="42"/>
      <c r="L2215" s="41" t="s">
        <v>495</v>
      </c>
      <c r="M2215" s="41">
        <v>23</v>
      </c>
      <c r="N2215" s="41" t="s">
        <v>59</v>
      </c>
      <c r="O2215" s="41" t="s">
        <v>488</v>
      </c>
      <c r="P2215" s="41" t="s">
        <v>50</v>
      </c>
      <c r="Q2215" s="41" t="s">
        <v>496</v>
      </c>
      <c r="R2215" s="41" t="s">
        <v>132</v>
      </c>
      <c r="S2215" s="41" t="s">
        <v>40</v>
      </c>
      <c r="T2215" s="41" t="s">
        <v>40</v>
      </c>
      <c r="U2215" s="41" t="s">
        <v>40</v>
      </c>
    </row>
    <row r="2216" spans="1:21">
      <c r="A2216" s="41">
        <v>442</v>
      </c>
      <c r="B2216" s="41" t="s">
        <v>497</v>
      </c>
      <c r="D2216" s="41">
        <v>1960</v>
      </c>
      <c r="E2216" s="41" t="s">
        <v>27</v>
      </c>
      <c r="F2216" s="41" t="s">
        <v>28</v>
      </c>
      <c r="G2216" s="41" t="s">
        <v>64</v>
      </c>
      <c r="I2216" s="41" t="s">
        <v>194</v>
      </c>
      <c r="J2216" s="41" t="s">
        <v>295</v>
      </c>
      <c r="K2216" s="42"/>
      <c r="L2216" s="41" t="s">
        <v>495</v>
      </c>
      <c r="M2216" s="41">
        <v>23</v>
      </c>
      <c r="N2216" s="41" t="s">
        <v>59</v>
      </c>
      <c r="O2216" s="41" t="s">
        <v>488</v>
      </c>
      <c r="P2216" s="41" t="s">
        <v>50</v>
      </c>
      <c r="Q2216" s="41" t="s">
        <v>496</v>
      </c>
      <c r="R2216" s="41" t="s">
        <v>132</v>
      </c>
      <c r="S2216" s="41" t="s">
        <v>40</v>
      </c>
      <c r="T2216" s="41" t="s">
        <v>40</v>
      </c>
      <c r="U2216" s="41" t="s">
        <v>40</v>
      </c>
    </row>
    <row r="2217" spans="1:21">
      <c r="A2217" s="41">
        <v>477</v>
      </c>
      <c r="B2217" s="41" t="s">
        <v>7121</v>
      </c>
      <c r="D2217" s="41">
        <v>1991</v>
      </c>
      <c r="E2217" s="41" t="s">
        <v>5340</v>
      </c>
      <c r="F2217" s="41" t="s">
        <v>28</v>
      </c>
      <c r="G2217" s="41" t="s">
        <v>43</v>
      </c>
      <c r="I2217" s="41" t="s">
        <v>45</v>
      </c>
      <c r="J2217" s="41" t="s">
        <v>295</v>
      </c>
      <c r="K2217" s="42"/>
      <c r="L2217" s="41" t="s">
        <v>7122</v>
      </c>
      <c r="M2217" s="41">
        <v>220</v>
      </c>
      <c r="N2217" s="41" t="s">
        <v>488</v>
      </c>
      <c r="O2217" s="41" t="s">
        <v>488</v>
      </c>
      <c r="P2217" s="41" t="s">
        <v>68</v>
      </c>
      <c r="Q2217" s="41" t="s">
        <v>69</v>
      </c>
      <c r="R2217" s="41" t="s">
        <v>39</v>
      </c>
      <c r="S2217" s="41" t="s">
        <v>40</v>
      </c>
      <c r="T2217" s="41" t="s">
        <v>40</v>
      </c>
      <c r="U2217" s="41" t="s">
        <v>40</v>
      </c>
    </row>
    <row r="2218" spans="1:21">
      <c r="A2218" s="41">
        <v>457</v>
      </c>
      <c r="B2218" s="41" t="s">
        <v>7123</v>
      </c>
      <c r="D2218" s="41">
        <v>1985</v>
      </c>
      <c r="E2218" s="41" t="s">
        <v>1248</v>
      </c>
      <c r="F2218" s="41" t="s">
        <v>53</v>
      </c>
      <c r="G2218" s="41" t="s">
        <v>64</v>
      </c>
      <c r="I2218" s="41" t="s">
        <v>1068</v>
      </c>
      <c r="J2218" s="41" t="s">
        <v>672</v>
      </c>
      <c r="K2218" s="42"/>
      <c r="L2218" s="41" t="s">
        <v>7124</v>
      </c>
      <c r="M2218" s="41">
        <v>15</v>
      </c>
      <c r="N2218" s="41" t="s">
        <v>488</v>
      </c>
      <c r="O2218" s="41" t="s">
        <v>7125</v>
      </c>
      <c r="P2218" s="41" t="s">
        <v>1046</v>
      </c>
      <c r="Q2218" s="41" t="s">
        <v>7126</v>
      </c>
      <c r="R2218" s="41" t="s">
        <v>132</v>
      </c>
      <c r="S2218" s="41" t="s">
        <v>40</v>
      </c>
      <c r="T2218" s="41" t="s">
        <v>40</v>
      </c>
      <c r="U2218" s="41" t="s">
        <v>40</v>
      </c>
    </row>
    <row r="2219" spans="1:21">
      <c r="A2219" s="41">
        <v>458</v>
      </c>
      <c r="B2219" s="41" t="s">
        <v>7127</v>
      </c>
      <c r="D2219" s="41">
        <v>1988</v>
      </c>
      <c r="E2219" s="41" t="s">
        <v>6378</v>
      </c>
      <c r="F2219" s="41" t="s">
        <v>53</v>
      </c>
      <c r="G2219" s="41" t="s">
        <v>64</v>
      </c>
      <c r="I2219" s="41" t="s">
        <v>3962</v>
      </c>
      <c r="J2219" s="41" t="s">
        <v>295</v>
      </c>
      <c r="K2219" s="42"/>
      <c r="L2219" s="41" t="s">
        <v>7128</v>
      </c>
      <c r="M2219" s="41">
        <v>220</v>
      </c>
      <c r="N2219" s="41" t="s">
        <v>7119</v>
      </c>
      <c r="O2219" s="41" t="s">
        <v>6870</v>
      </c>
      <c r="P2219" s="41" t="s">
        <v>68</v>
      </c>
      <c r="Q2219" s="41" t="s">
        <v>69</v>
      </c>
      <c r="R2219" s="41" t="s">
        <v>62</v>
      </c>
      <c r="S2219" s="41" t="s">
        <v>40</v>
      </c>
      <c r="T2219" s="41" t="s">
        <v>40</v>
      </c>
      <c r="U2219" s="41" t="s">
        <v>40</v>
      </c>
    </row>
    <row r="2220" spans="1:21">
      <c r="A2220" s="41">
        <v>256</v>
      </c>
      <c r="B2220" s="41" t="s">
        <v>2257</v>
      </c>
      <c r="C2220" s="43">
        <v>1</v>
      </c>
      <c r="D2220" s="41">
        <v>550</v>
      </c>
      <c r="E2220" s="41" t="s">
        <v>7129</v>
      </c>
      <c r="F2220" s="41" t="s">
        <v>53</v>
      </c>
      <c r="G2220" s="41" t="s">
        <v>43</v>
      </c>
      <c r="I2220" s="41" t="s">
        <v>2313</v>
      </c>
      <c r="J2220" s="41" t="s">
        <v>672</v>
      </c>
      <c r="K2220" s="42"/>
      <c r="L2220" s="41" t="s">
        <v>2314</v>
      </c>
      <c r="M2220" s="41">
        <v>110</v>
      </c>
      <c r="N2220" s="41" t="s">
        <v>6177</v>
      </c>
      <c r="O2220" s="41" t="s">
        <v>7130</v>
      </c>
      <c r="P2220" s="41" t="s">
        <v>68</v>
      </c>
      <c r="Q2220" s="41" t="s">
        <v>91</v>
      </c>
      <c r="R2220" s="41" t="s">
        <v>132</v>
      </c>
      <c r="S2220" s="41" t="s">
        <v>7131</v>
      </c>
      <c r="T2220" s="41" t="s">
        <v>6129</v>
      </c>
      <c r="U2220" s="41" t="s">
        <v>3491</v>
      </c>
    </row>
    <row r="2221" spans="1:21">
      <c r="A2221" s="41">
        <v>455</v>
      </c>
      <c r="B2221" s="41" t="s">
        <v>7132</v>
      </c>
      <c r="D2221" s="41">
        <v>1986</v>
      </c>
      <c r="E2221" s="41" t="s">
        <v>6029</v>
      </c>
      <c r="F2221" s="41" t="s">
        <v>53</v>
      </c>
      <c r="G2221" s="41" t="s">
        <v>64</v>
      </c>
      <c r="I2221" s="41" t="s">
        <v>194</v>
      </c>
      <c r="J2221" s="41" t="s">
        <v>295</v>
      </c>
      <c r="K2221" s="42"/>
      <c r="L2221" s="41" t="s">
        <v>7133</v>
      </c>
      <c r="M2221" s="41">
        <v>66</v>
      </c>
      <c r="N2221" s="41" t="s">
        <v>488</v>
      </c>
      <c r="O2221" s="41" t="s">
        <v>482</v>
      </c>
      <c r="P2221" s="41" t="s">
        <v>334</v>
      </c>
      <c r="Q2221" s="41" t="s">
        <v>2815</v>
      </c>
      <c r="R2221" s="41" t="s">
        <v>132</v>
      </c>
      <c r="S2221" s="41" t="s">
        <v>40</v>
      </c>
      <c r="T2221" s="41" t="s">
        <v>40</v>
      </c>
      <c r="U2221" s="41" t="s">
        <v>40</v>
      </c>
    </row>
    <row r="2222" spans="1:21">
      <c r="A2222" s="41">
        <v>451</v>
      </c>
      <c r="B2222" s="41" t="s">
        <v>7134</v>
      </c>
      <c r="D2222" s="41">
        <v>1969</v>
      </c>
      <c r="E2222" s="41" t="s">
        <v>4832</v>
      </c>
      <c r="F2222" s="41" t="s">
        <v>53</v>
      </c>
      <c r="G2222" s="41" t="s">
        <v>64</v>
      </c>
      <c r="I2222" s="41" t="s">
        <v>392</v>
      </c>
      <c r="J2222" s="41" t="s">
        <v>295</v>
      </c>
      <c r="K2222" s="42"/>
      <c r="L2222" s="41" t="s">
        <v>4592</v>
      </c>
      <c r="M2222" s="41">
        <v>220</v>
      </c>
      <c r="N2222" s="41" t="s">
        <v>7135</v>
      </c>
      <c r="O2222" s="41" t="s">
        <v>620</v>
      </c>
      <c r="P2222" s="41" t="s">
        <v>546</v>
      </c>
      <c r="Q2222" s="41" t="s">
        <v>2100</v>
      </c>
      <c r="R2222" s="41" t="s">
        <v>62</v>
      </c>
      <c r="S2222" s="41" t="s">
        <v>40</v>
      </c>
      <c r="T2222" s="41" t="s">
        <v>40</v>
      </c>
      <c r="U2222" s="41" t="s">
        <v>40</v>
      </c>
    </row>
    <row r="2223" spans="1:21">
      <c r="A2223" s="41">
        <v>449</v>
      </c>
      <c r="B2223" s="41" t="s">
        <v>7136</v>
      </c>
      <c r="D2223" s="41">
        <v>1967</v>
      </c>
      <c r="E2223" s="41" t="s">
        <v>1227</v>
      </c>
      <c r="F2223" s="41" t="s">
        <v>53</v>
      </c>
      <c r="G2223" s="41" t="s">
        <v>64</v>
      </c>
      <c r="I2223" s="41" t="s">
        <v>7137</v>
      </c>
      <c r="J2223" s="41" t="s">
        <v>295</v>
      </c>
      <c r="K2223" s="42"/>
      <c r="L2223" s="41" t="s">
        <v>344</v>
      </c>
      <c r="M2223" s="41">
        <v>220</v>
      </c>
      <c r="N2223" s="41" t="s">
        <v>395</v>
      </c>
      <c r="O2223" s="41" t="s">
        <v>1615</v>
      </c>
      <c r="P2223" s="41" t="s">
        <v>153</v>
      </c>
      <c r="Q2223" s="41" t="s">
        <v>329</v>
      </c>
      <c r="R2223" s="41" t="s">
        <v>62</v>
      </c>
      <c r="S2223" s="41" t="s">
        <v>40</v>
      </c>
      <c r="T2223" s="41" t="s">
        <v>40</v>
      </c>
      <c r="U2223" s="41" t="s">
        <v>40</v>
      </c>
    </row>
    <row r="2224" spans="1:21">
      <c r="A2224" s="41">
        <v>450</v>
      </c>
      <c r="B2224" s="41" t="s">
        <v>7138</v>
      </c>
      <c r="D2224" s="41">
        <v>19680</v>
      </c>
      <c r="E2224" s="41" t="s">
        <v>1187</v>
      </c>
      <c r="F2224" s="41" t="s">
        <v>53</v>
      </c>
      <c r="G2224" s="41" t="s">
        <v>64</v>
      </c>
      <c r="I2224" s="41" t="s">
        <v>392</v>
      </c>
      <c r="J2224" s="41" t="s">
        <v>295</v>
      </c>
      <c r="K2224" s="42"/>
      <c r="L2224" s="41" t="s">
        <v>1304</v>
      </c>
      <c r="M2224" s="41">
        <v>220</v>
      </c>
      <c r="N2224" s="41" t="s">
        <v>488</v>
      </c>
      <c r="O2224" s="41" t="s">
        <v>345</v>
      </c>
      <c r="P2224" s="41" t="s">
        <v>98</v>
      </c>
      <c r="Q2224" s="41" t="s">
        <v>116</v>
      </c>
      <c r="R2224" s="41" t="s">
        <v>62</v>
      </c>
      <c r="S2224" s="41" t="s">
        <v>40</v>
      </c>
      <c r="T2224" s="41" t="s">
        <v>40</v>
      </c>
      <c r="U2224" s="41" t="s">
        <v>40</v>
      </c>
    </row>
    <row r="2225" spans="1:21">
      <c r="A2225" s="41">
        <v>448</v>
      </c>
      <c r="B2225" s="41" t="s">
        <v>7139</v>
      </c>
      <c r="D2225" s="41">
        <v>1966</v>
      </c>
      <c r="E2225" s="41" t="s">
        <v>1227</v>
      </c>
      <c r="F2225" s="41" t="s">
        <v>28</v>
      </c>
      <c r="G2225" s="41" t="s">
        <v>307</v>
      </c>
      <c r="I2225" s="41" t="s">
        <v>3488</v>
      </c>
      <c r="J2225" s="41" t="s">
        <v>295</v>
      </c>
      <c r="K2225" s="42"/>
      <c r="L2225" s="41" t="s">
        <v>7122</v>
      </c>
      <c r="M2225" s="41">
        <v>220</v>
      </c>
      <c r="N2225" s="41" t="s">
        <v>395</v>
      </c>
      <c r="O2225" s="41" t="s">
        <v>757</v>
      </c>
      <c r="P2225" s="41" t="s">
        <v>68</v>
      </c>
      <c r="Q2225" s="41" t="s">
        <v>699</v>
      </c>
      <c r="R2225" s="41" t="s">
        <v>39</v>
      </c>
      <c r="S2225" s="41" t="s">
        <v>7140</v>
      </c>
      <c r="T2225" s="41" t="s">
        <v>6129</v>
      </c>
      <c r="U2225" s="41" t="s">
        <v>604</v>
      </c>
    </row>
    <row r="2226" spans="1:21">
      <c r="A2226" s="41">
        <v>444</v>
      </c>
      <c r="B2226" s="41" t="s">
        <v>7141</v>
      </c>
      <c r="D2226" s="41">
        <v>1962</v>
      </c>
      <c r="E2226" s="41" t="s">
        <v>7142</v>
      </c>
      <c r="F2226" s="41" t="s">
        <v>53</v>
      </c>
      <c r="G2226" s="41" t="s">
        <v>141</v>
      </c>
      <c r="I2226" s="41" t="s">
        <v>1168</v>
      </c>
      <c r="J2226" s="41" t="s">
        <v>380</v>
      </c>
      <c r="K2226" s="42"/>
      <c r="L2226" s="41" t="s">
        <v>344</v>
      </c>
      <c r="M2226" s="41">
        <v>220</v>
      </c>
      <c r="N2226" s="41" t="s">
        <v>2432</v>
      </c>
      <c r="O2226" s="41" t="s">
        <v>1615</v>
      </c>
      <c r="P2226" s="41" t="s">
        <v>153</v>
      </c>
      <c r="Q2226" s="41" t="s">
        <v>329</v>
      </c>
      <c r="R2226" s="41" t="s">
        <v>62</v>
      </c>
      <c r="S2226" s="41" t="s">
        <v>7143</v>
      </c>
      <c r="T2226" s="41" t="s">
        <v>186</v>
      </c>
      <c r="U2226" s="41" t="s">
        <v>40</v>
      </c>
    </row>
    <row r="2227" spans="1:21">
      <c r="A2227" s="41">
        <v>447</v>
      </c>
      <c r="B2227" s="41" t="s">
        <v>7144</v>
      </c>
      <c r="D2227" s="41">
        <v>1965</v>
      </c>
      <c r="E2227" s="41" t="s">
        <v>1076</v>
      </c>
      <c r="F2227" s="41" t="s">
        <v>53</v>
      </c>
      <c r="G2227" s="41" t="s">
        <v>64</v>
      </c>
      <c r="I2227" s="41" t="s">
        <v>464</v>
      </c>
      <c r="J2227" s="41" t="s">
        <v>295</v>
      </c>
      <c r="K2227" s="42"/>
      <c r="L2227" s="41" t="s">
        <v>7145</v>
      </c>
      <c r="M2227" s="41">
        <v>220</v>
      </c>
      <c r="N2227" s="41" t="s">
        <v>59</v>
      </c>
      <c r="O2227" s="41" t="s">
        <v>2566</v>
      </c>
      <c r="P2227" s="41" t="s">
        <v>172</v>
      </c>
      <c r="Q2227" s="41" t="s">
        <v>1104</v>
      </c>
      <c r="R2227" s="41" t="s">
        <v>62</v>
      </c>
      <c r="S2227" s="41" t="s">
        <v>40</v>
      </c>
      <c r="T2227" s="41" t="s">
        <v>40</v>
      </c>
      <c r="U2227" s="41" t="s">
        <v>40</v>
      </c>
    </row>
    <row r="2228" spans="1:21">
      <c r="A2228" s="41">
        <v>445</v>
      </c>
      <c r="B2228" s="41" t="s">
        <v>7146</v>
      </c>
      <c r="D2228" s="41">
        <v>1963</v>
      </c>
      <c r="E2228" s="41" t="s">
        <v>6029</v>
      </c>
      <c r="F2228" s="41" t="s">
        <v>53</v>
      </c>
      <c r="G2228" s="41" t="s">
        <v>307</v>
      </c>
      <c r="I2228" s="41" t="s">
        <v>194</v>
      </c>
      <c r="J2228" s="41" t="s">
        <v>295</v>
      </c>
      <c r="K2228" s="42"/>
      <c r="L2228" s="41" t="s">
        <v>7147</v>
      </c>
      <c r="M2228" s="41">
        <v>66</v>
      </c>
      <c r="N2228" s="41" t="s">
        <v>59</v>
      </c>
      <c r="O2228" s="41" t="s">
        <v>388</v>
      </c>
      <c r="P2228" s="41" t="s">
        <v>334</v>
      </c>
      <c r="Q2228" s="41" t="s">
        <v>2815</v>
      </c>
      <c r="R2228" s="41" t="s">
        <v>132</v>
      </c>
      <c r="S2228" s="41" t="s">
        <v>7148</v>
      </c>
      <c r="T2228" s="41" t="s">
        <v>5805</v>
      </c>
      <c r="U2228" s="41" t="s">
        <v>40</v>
      </c>
    </row>
    <row r="2229" spans="1:21">
      <c r="A2229" s="41">
        <v>446</v>
      </c>
      <c r="B2229" s="41" t="s">
        <v>7149</v>
      </c>
      <c r="D2229" s="41">
        <v>1964</v>
      </c>
      <c r="E2229" s="41" t="s">
        <v>1076</v>
      </c>
      <c r="F2229" s="41" t="s">
        <v>53</v>
      </c>
      <c r="G2229" s="41" t="s">
        <v>64</v>
      </c>
      <c r="I2229" s="41" t="s">
        <v>3645</v>
      </c>
      <c r="J2229" s="41" t="s">
        <v>295</v>
      </c>
      <c r="K2229" s="42"/>
      <c r="L2229" s="41" t="s">
        <v>7150</v>
      </c>
      <c r="M2229" s="41">
        <v>154</v>
      </c>
      <c r="N2229" s="41" t="s">
        <v>388</v>
      </c>
      <c r="O2229" s="41" t="s">
        <v>3694</v>
      </c>
      <c r="P2229" s="41" t="s">
        <v>172</v>
      </c>
      <c r="Q2229" s="41" t="s">
        <v>221</v>
      </c>
      <c r="R2229" s="41" t="s">
        <v>132</v>
      </c>
      <c r="S2229" s="41" t="s">
        <v>40</v>
      </c>
      <c r="T2229" s="41" t="s">
        <v>40</v>
      </c>
      <c r="U2229" s="41" t="s">
        <v>40</v>
      </c>
    </row>
    <row r="2230" spans="1:21">
      <c r="A2230" s="41">
        <v>443</v>
      </c>
      <c r="B2230" s="41" t="s">
        <v>7151</v>
      </c>
      <c r="D2230" s="41">
        <v>1961</v>
      </c>
      <c r="E2230" s="41" t="s">
        <v>1076</v>
      </c>
      <c r="F2230" s="41" t="s">
        <v>53</v>
      </c>
      <c r="G2230" s="41" t="s">
        <v>64</v>
      </c>
      <c r="I2230" s="41" t="s">
        <v>406</v>
      </c>
      <c r="J2230" s="41" t="s">
        <v>295</v>
      </c>
      <c r="K2230" s="42"/>
      <c r="L2230" s="41" t="s">
        <v>7152</v>
      </c>
      <c r="M2230" s="41">
        <v>66</v>
      </c>
      <c r="N2230" s="41" t="s">
        <v>59</v>
      </c>
      <c r="O2230" s="41" t="s">
        <v>482</v>
      </c>
      <c r="P2230" s="41" t="s">
        <v>37</v>
      </c>
      <c r="Q2230" s="41" t="s">
        <v>969</v>
      </c>
      <c r="R2230" s="41" t="s">
        <v>132</v>
      </c>
      <c r="S2230" s="41" t="s">
        <v>40</v>
      </c>
      <c r="T2230" s="41" t="s">
        <v>40</v>
      </c>
      <c r="U2230" s="41" t="s">
        <v>40</v>
      </c>
    </row>
    <row r="2231" spans="1:21">
      <c r="A2231" s="41">
        <v>453</v>
      </c>
      <c r="B2231" s="41" t="s">
        <v>498</v>
      </c>
      <c r="D2231" s="41">
        <v>1959</v>
      </c>
      <c r="E2231" s="41" t="s">
        <v>27</v>
      </c>
      <c r="F2231" s="41" t="s">
        <v>53</v>
      </c>
      <c r="G2231" s="41" t="s">
        <v>43</v>
      </c>
      <c r="I2231" s="41" t="s">
        <v>194</v>
      </c>
      <c r="J2231" s="41" t="s">
        <v>295</v>
      </c>
      <c r="K2231" s="42"/>
      <c r="L2231" s="41" t="s">
        <v>495</v>
      </c>
      <c r="M2231" s="41">
        <v>23</v>
      </c>
      <c r="N2231" s="41" t="s">
        <v>59</v>
      </c>
      <c r="O2231" s="41" t="s">
        <v>488</v>
      </c>
      <c r="P2231" s="41" t="s">
        <v>50</v>
      </c>
      <c r="Q2231" s="41" t="s">
        <v>496</v>
      </c>
      <c r="R2231" s="41" t="s">
        <v>39</v>
      </c>
      <c r="S2231" s="41" t="s">
        <v>40</v>
      </c>
      <c r="T2231" s="41" t="s">
        <v>40</v>
      </c>
      <c r="U2231" s="41" t="s">
        <v>40</v>
      </c>
    </row>
    <row r="2232" spans="1:21">
      <c r="A2232" s="41">
        <v>454</v>
      </c>
      <c r="B2232" s="41" t="s">
        <v>500</v>
      </c>
      <c r="D2232" s="41">
        <v>1960</v>
      </c>
      <c r="E2232" s="41" t="s">
        <v>27</v>
      </c>
      <c r="F2232" s="41" t="s">
        <v>53</v>
      </c>
      <c r="G2232" s="41" t="s">
        <v>43</v>
      </c>
      <c r="I2232" s="41" t="s">
        <v>194</v>
      </c>
      <c r="J2232" s="41" t="s">
        <v>295</v>
      </c>
      <c r="K2232" s="42"/>
      <c r="L2232" s="41" t="s">
        <v>495</v>
      </c>
      <c r="M2232" s="41">
        <v>23</v>
      </c>
      <c r="N2232" s="41" t="s">
        <v>59</v>
      </c>
      <c r="O2232" s="41" t="s">
        <v>488</v>
      </c>
      <c r="P2232" s="41" t="s">
        <v>50</v>
      </c>
      <c r="Q2232" s="41" t="s">
        <v>496</v>
      </c>
      <c r="R2232" s="41" t="s">
        <v>39</v>
      </c>
      <c r="S2232" s="41" t="s">
        <v>40</v>
      </c>
      <c r="T2232" s="41" t="s">
        <v>40</v>
      </c>
      <c r="U2232" s="41" t="s">
        <v>40</v>
      </c>
    </row>
    <row r="2233" spans="1:21">
      <c r="A2233" s="41">
        <v>440</v>
      </c>
      <c r="B2233" s="41" t="s">
        <v>7153</v>
      </c>
      <c r="D2233" s="41">
        <v>1958</v>
      </c>
      <c r="E2233" s="41" t="s">
        <v>7154</v>
      </c>
      <c r="F2233" s="41" t="s">
        <v>28</v>
      </c>
      <c r="G2233" s="41" t="s">
        <v>307</v>
      </c>
      <c r="I2233" s="41" t="s">
        <v>7155</v>
      </c>
      <c r="J2233" s="41" t="s">
        <v>295</v>
      </c>
      <c r="K2233" s="42"/>
      <c r="L2233" s="41" t="s">
        <v>3469</v>
      </c>
      <c r="M2233" s="41">
        <v>220</v>
      </c>
      <c r="N2233" s="41" t="s">
        <v>488</v>
      </c>
      <c r="O2233" s="41" t="s">
        <v>488</v>
      </c>
      <c r="P2233" s="41" t="s">
        <v>179</v>
      </c>
      <c r="Q2233" s="41" t="s">
        <v>1116</v>
      </c>
      <c r="R2233" s="41" t="s">
        <v>39</v>
      </c>
      <c r="S2233" s="41" t="s">
        <v>40</v>
      </c>
      <c r="T2233" s="41" t="s">
        <v>40</v>
      </c>
      <c r="U2233" s="41" t="s">
        <v>40</v>
      </c>
    </row>
    <row r="2234" spans="1:21">
      <c r="A2234" s="41">
        <v>439</v>
      </c>
      <c r="B2234" s="41" t="s">
        <v>7156</v>
      </c>
      <c r="D2234" s="41">
        <v>1957</v>
      </c>
      <c r="E2234" s="41" t="s">
        <v>3236</v>
      </c>
      <c r="F2234" s="41" t="s">
        <v>53</v>
      </c>
      <c r="G2234" s="41" t="s">
        <v>64</v>
      </c>
      <c r="I2234" s="41" t="s">
        <v>338</v>
      </c>
      <c r="J2234" s="41" t="s">
        <v>295</v>
      </c>
      <c r="K2234" s="42"/>
      <c r="L2234" s="41" t="s">
        <v>574</v>
      </c>
      <c r="M2234" s="41">
        <v>220</v>
      </c>
      <c r="N2234" s="41" t="s">
        <v>340</v>
      </c>
      <c r="O2234" s="41" t="s">
        <v>396</v>
      </c>
      <c r="P2234" s="41" t="s">
        <v>179</v>
      </c>
      <c r="Q2234" s="41" t="s">
        <v>284</v>
      </c>
      <c r="R2234" s="41" t="s">
        <v>62</v>
      </c>
      <c r="S2234" s="41" t="s">
        <v>40</v>
      </c>
      <c r="T2234" s="41" t="s">
        <v>40</v>
      </c>
      <c r="U2234" s="41" t="s">
        <v>40</v>
      </c>
    </row>
    <row r="2235" spans="1:21">
      <c r="A2235" s="41">
        <v>438</v>
      </c>
      <c r="B2235" s="41" t="s">
        <v>7157</v>
      </c>
      <c r="D2235" s="41">
        <v>1956</v>
      </c>
      <c r="E2235" s="41" t="s">
        <v>7158</v>
      </c>
      <c r="F2235" s="41" t="s">
        <v>53</v>
      </c>
      <c r="G2235" s="41" t="s">
        <v>43</v>
      </c>
      <c r="I2235" s="41" t="s">
        <v>7159</v>
      </c>
      <c r="J2235" s="41" t="s">
        <v>380</v>
      </c>
      <c r="K2235" s="42"/>
      <c r="L2235" s="41" t="s">
        <v>4460</v>
      </c>
      <c r="M2235" s="41">
        <v>66</v>
      </c>
      <c r="N2235" s="41" t="s">
        <v>7160</v>
      </c>
      <c r="O2235" s="41" t="s">
        <v>482</v>
      </c>
      <c r="P2235" s="41" t="s">
        <v>37</v>
      </c>
      <c r="Q2235" s="41" t="s">
        <v>969</v>
      </c>
      <c r="R2235" s="41" t="s">
        <v>132</v>
      </c>
      <c r="S2235" s="41" t="s">
        <v>40</v>
      </c>
      <c r="T2235" s="41" t="s">
        <v>40</v>
      </c>
      <c r="U2235" s="41" t="s">
        <v>40</v>
      </c>
    </row>
    <row r="2236" spans="1:21">
      <c r="A2236" s="41">
        <v>436</v>
      </c>
      <c r="B2236" s="41" t="s">
        <v>7161</v>
      </c>
      <c r="D2236" s="41">
        <v>1944</v>
      </c>
      <c r="E2236" s="41" t="s">
        <v>1076</v>
      </c>
      <c r="F2236" s="41" t="s">
        <v>53</v>
      </c>
      <c r="G2236" s="41" t="s">
        <v>43</v>
      </c>
      <c r="I2236" s="41" t="s">
        <v>7162</v>
      </c>
      <c r="J2236" s="41" t="s">
        <v>295</v>
      </c>
      <c r="K2236" s="42"/>
      <c r="L2236" s="41" t="s">
        <v>4431</v>
      </c>
      <c r="M2236" s="41">
        <v>220</v>
      </c>
      <c r="N2236" s="41" t="s">
        <v>59</v>
      </c>
      <c r="O2236" s="41" t="s">
        <v>794</v>
      </c>
      <c r="P2236" s="41" t="s">
        <v>153</v>
      </c>
      <c r="Q2236" s="41" t="s">
        <v>153</v>
      </c>
      <c r="R2236" s="41" t="s">
        <v>62</v>
      </c>
      <c r="S2236" s="41" t="s">
        <v>40</v>
      </c>
      <c r="T2236" s="41" t="s">
        <v>40</v>
      </c>
      <c r="U2236" s="41" t="s">
        <v>40</v>
      </c>
    </row>
    <row r="2237" spans="1:21">
      <c r="A2237" s="41">
        <v>437</v>
      </c>
      <c r="B2237" s="41" t="s">
        <v>7163</v>
      </c>
      <c r="D2237" s="41">
        <v>1955</v>
      </c>
      <c r="E2237" s="41" t="s">
        <v>1076</v>
      </c>
      <c r="F2237" s="41" t="s">
        <v>53</v>
      </c>
      <c r="G2237" s="41" t="s">
        <v>64</v>
      </c>
      <c r="I2237" s="41" t="s">
        <v>1303</v>
      </c>
      <c r="J2237" s="41" t="s">
        <v>295</v>
      </c>
      <c r="K2237" s="42"/>
      <c r="L2237" s="41" t="s">
        <v>7164</v>
      </c>
      <c r="M2237" s="41">
        <v>220</v>
      </c>
      <c r="N2237" s="41" t="s">
        <v>59</v>
      </c>
      <c r="O2237" s="41" t="s">
        <v>1525</v>
      </c>
      <c r="P2237" s="41" t="s">
        <v>37</v>
      </c>
      <c r="Q2237" s="41" t="s">
        <v>5060</v>
      </c>
      <c r="R2237" s="41" t="s">
        <v>132</v>
      </c>
      <c r="S2237" s="41" t="s">
        <v>40</v>
      </c>
      <c r="T2237" s="41" t="s">
        <v>40</v>
      </c>
      <c r="U2237" s="41" t="s">
        <v>40</v>
      </c>
    </row>
    <row r="2238" spans="1:21">
      <c r="A2238" s="41">
        <v>435</v>
      </c>
      <c r="B2238" s="41" t="s">
        <v>7165</v>
      </c>
      <c r="D2238" s="41">
        <v>1943</v>
      </c>
      <c r="E2238" s="41" t="s">
        <v>1076</v>
      </c>
      <c r="F2238" s="41" t="s">
        <v>28</v>
      </c>
      <c r="G2238" s="41" t="s">
        <v>301</v>
      </c>
      <c r="I2238" s="41" t="s">
        <v>3645</v>
      </c>
      <c r="J2238" s="41" t="s">
        <v>295</v>
      </c>
      <c r="K2238" s="42"/>
      <c r="L2238" s="41" t="s">
        <v>1768</v>
      </c>
      <c r="M2238" s="41">
        <v>220</v>
      </c>
      <c r="N2238" s="41" t="s">
        <v>488</v>
      </c>
      <c r="O2238" s="41" t="s">
        <v>488</v>
      </c>
      <c r="P2238" s="41" t="s">
        <v>60</v>
      </c>
      <c r="Q2238" s="41" t="s">
        <v>1769</v>
      </c>
      <c r="R2238" s="41" t="s">
        <v>39</v>
      </c>
      <c r="S2238" s="41" t="s">
        <v>40</v>
      </c>
      <c r="T2238" s="41" t="s">
        <v>4822</v>
      </c>
      <c r="U2238" s="41" t="s">
        <v>186</v>
      </c>
    </row>
    <row r="2239" spans="1:21">
      <c r="A2239" s="41">
        <v>432</v>
      </c>
      <c r="B2239" s="41" t="s">
        <v>7166</v>
      </c>
      <c r="D2239" s="41">
        <v>1940</v>
      </c>
      <c r="E2239" s="41" t="s">
        <v>1227</v>
      </c>
      <c r="F2239" s="41" t="s">
        <v>53</v>
      </c>
      <c r="G2239" s="41" t="s">
        <v>141</v>
      </c>
      <c r="I2239" s="41" t="s">
        <v>7167</v>
      </c>
      <c r="J2239" s="41" t="s">
        <v>380</v>
      </c>
      <c r="K2239" s="42"/>
      <c r="L2239" s="41" t="s">
        <v>3367</v>
      </c>
      <c r="M2239" s="41">
        <v>220</v>
      </c>
      <c r="N2239" s="41" t="s">
        <v>697</v>
      </c>
      <c r="O2239" s="41" t="s">
        <v>2566</v>
      </c>
      <c r="P2239" s="41" t="s">
        <v>83</v>
      </c>
      <c r="Q2239" s="41" t="s">
        <v>2000</v>
      </c>
      <c r="R2239" s="41" t="s">
        <v>62</v>
      </c>
      <c r="S2239" s="41" t="s">
        <v>7168</v>
      </c>
      <c r="T2239" s="41" t="s">
        <v>1699</v>
      </c>
      <c r="U2239" s="41" t="s">
        <v>40</v>
      </c>
    </row>
    <row r="2240" spans="1:21">
      <c r="A2240" s="41">
        <v>434</v>
      </c>
      <c r="B2240" s="41" t="s">
        <v>7169</v>
      </c>
      <c r="D2240" s="41">
        <v>1942</v>
      </c>
      <c r="E2240" s="41" t="s">
        <v>6029</v>
      </c>
      <c r="F2240" s="41" t="s">
        <v>53</v>
      </c>
      <c r="G2240" s="41" t="s">
        <v>307</v>
      </c>
      <c r="I2240" s="41" t="s">
        <v>194</v>
      </c>
      <c r="J2240" s="41" t="s">
        <v>295</v>
      </c>
      <c r="K2240" s="42"/>
      <c r="L2240" s="41" t="s">
        <v>7170</v>
      </c>
      <c r="M2240" s="41">
        <v>33</v>
      </c>
      <c r="N2240" s="41" t="s">
        <v>59</v>
      </c>
      <c r="O2240" s="41" t="s">
        <v>488</v>
      </c>
      <c r="P2240" s="41" t="s">
        <v>334</v>
      </c>
      <c r="Q2240" s="41" t="s">
        <v>2815</v>
      </c>
      <c r="R2240" s="41" t="s">
        <v>132</v>
      </c>
      <c r="S2240" s="41" t="s">
        <v>7171</v>
      </c>
      <c r="T2240" s="41" t="s">
        <v>40</v>
      </c>
      <c r="U2240" s="41" t="s">
        <v>40</v>
      </c>
    </row>
    <row r="2241" spans="1:21">
      <c r="A2241" s="41">
        <v>430</v>
      </c>
      <c r="B2241" s="41" t="s">
        <v>7172</v>
      </c>
      <c r="D2241" s="41">
        <v>1938</v>
      </c>
      <c r="E2241" s="41" t="s">
        <v>1076</v>
      </c>
      <c r="F2241" s="41" t="s">
        <v>53</v>
      </c>
      <c r="G2241" s="41" t="s">
        <v>64</v>
      </c>
      <c r="I2241" s="41" t="s">
        <v>1303</v>
      </c>
      <c r="J2241" s="41" t="s">
        <v>295</v>
      </c>
      <c r="K2241" s="42"/>
      <c r="L2241" s="41" t="s">
        <v>7173</v>
      </c>
      <c r="M2241" s="41">
        <v>220</v>
      </c>
      <c r="N2241" s="41" t="s">
        <v>59</v>
      </c>
      <c r="O2241" s="41" t="s">
        <v>1525</v>
      </c>
      <c r="P2241" s="41" t="s">
        <v>60</v>
      </c>
      <c r="Q2241" s="41" t="s">
        <v>472</v>
      </c>
      <c r="R2241" s="41" t="s">
        <v>62</v>
      </c>
      <c r="S2241" s="41" t="s">
        <v>40</v>
      </c>
      <c r="T2241" s="41" t="s">
        <v>40</v>
      </c>
      <c r="U2241" s="41" t="s">
        <v>40</v>
      </c>
    </row>
    <row r="2242" spans="1:21">
      <c r="A2242" s="41">
        <v>431</v>
      </c>
      <c r="B2242" s="41" t="s">
        <v>4360</v>
      </c>
      <c r="D2242" s="41">
        <v>1939</v>
      </c>
      <c r="E2242" s="41" t="s">
        <v>3714</v>
      </c>
      <c r="F2242" s="41" t="s">
        <v>53</v>
      </c>
      <c r="G2242" s="41" t="s">
        <v>43</v>
      </c>
      <c r="I2242" s="41" t="s">
        <v>201</v>
      </c>
      <c r="J2242" s="41" t="s">
        <v>380</v>
      </c>
      <c r="K2242" s="42"/>
      <c r="L2242" s="41" t="s">
        <v>1660</v>
      </c>
      <c r="M2242" s="41">
        <v>220</v>
      </c>
      <c r="N2242" s="41" t="s">
        <v>7174</v>
      </c>
      <c r="O2242" s="41" t="s">
        <v>452</v>
      </c>
      <c r="P2242" s="41" t="s">
        <v>37</v>
      </c>
      <c r="Q2242" s="41" t="s">
        <v>969</v>
      </c>
      <c r="R2242" s="41" t="s">
        <v>62</v>
      </c>
      <c r="S2242" s="41" t="s">
        <v>7175</v>
      </c>
      <c r="T2242" s="41" t="s">
        <v>40</v>
      </c>
      <c r="U2242" s="41" t="s">
        <v>40</v>
      </c>
    </row>
    <row r="2243" spans="1:21">
      <c r="A2243" s="41">
        <v>429</v>
      </c>
      <c r="B2243" s="41" t="s">
        <v>7176</v>
      </c>
      <c r="D2243" s="41">
        <v>1937</v>
      </c>
      <c r="E2243" s="41" t="s">
        <v>1248</v>
      </c>
      <c r="F2243" s="41" t="s">
        <v>53</v>
      </c>
      <c r="G2243" s="41" t="s">
        <v>64</v>
      </c>
      <c r="I2243" s="41" t="s">
        <v>1513</v>
      </c>
      <c r="J2243" s="41" t="s">
        <v>672</v>
      </c>
      <c r="K2243" s="42"/>
      <c r="L2243" s="41" t="s">
        <v>5908</v>
      </c>
      <c r="M2243" s="41">
        <v>23</v>
      </c>
      <c r="N2243" s="41" t="s">
        <v>488</v>
      </c>
      <c r="O2243" s="41" t="s">
        <v>488</v>
      </c>
      <c r="P2243" s="41" t="s">
        <v>334</v>
      </c>
      <c r="Q2243" s="41" t="s">
        <v>423</v>
      </c>
      <c r="R2243" s="41" t="s">
        <v>132</v>
      </c>
      <c r="S2243" s="41" t="s">
        <v>40</v>
      </c>
      <c r="T2243" s="41" t="s">
        <v>40</v>
      </c>
      <c r="U2243" s="41" t="s">
        <v>40</v>
      </c>
    </row>
    <row r="2244" spans="1:21">
      <c r="A2244" s="41">
        <v>428</v>
      </c>
      <c r="B2244" s="41" t="s">
        <v>7177</v>
      </c>
      <c r="D2244" s="41">
        <v>1936</v>
      </c>
      <c r="E2244" s="41" t="s">
        <v>6332</v>
      </c>
      <c r="F2244" s="41" t="s">
        <v>53</v>
      </c>
      <c r="G2244" s="41" t="s">
        <v>64</v>
      </c>
      <c r="I2244" s="41" t="s">
        <v>3473</v>
      </c>
      <c r="J2244" s="41" t="s">
        <v>295</v>
      </c>
      <c r="K2244" s="42"/>
      <c r="L2244" s="41" t="s">
        <v>4358</v>
      </c>
      <c r="M2244" s="41">
        <v>66</v>
      </c>
      <c r="N2244" s="41" t="s">
        <v>7174</v>
      </c>
      <c r="O2244" s="41" t="s">
        <v>5982</v>
      </c>
      <c r="P2244" s="41" t="s">
        <v>60</v>
      </c>
      <c r="Q2244" s="41" t="s">
        <v>2759</v>
      </c>
      <c r="R2244" s="41" t="s">
        <v>132</v>
      </c>
      <c r="S2244" s="41" t="s">
        <v>40</v>
      </c>
      <c r="T2244" s="41" t="s">
        <v>40</v>
      </c>
      <c r="U2244" s="41" t="s">
        <v>40</v>
      </c>
    </row>
    <row r="2245" spans="1:21">
      <c r="A2245" s="41">
        <v>433</v>
      </c>
      <c r="B2245" s="41" t="s">
        <v>7178</v>
      </c>
      <c r="D2245" s="41">
        <v>1941</v>
      </c>
      <c r="E2245" s="41" t="s">
        <v>6029</v>
      </c>
      <c r="F2245" s="41" t="s">
        <v>53</v>
      </c>
      <c r="G2245" s="41" t="s">
        <v>64</v>
      </c>
      <c r="I2245" s="41" t="s">
        <v>194</v>
      </c>
      <c r="J2245" s="41" t="s">
        <v>295</v>
      </c>
      <c r="K2245" s="42"/>
      <c r="L2245" s="41" t="s">
        <v>564</v>
      </c>
      <c r="M2245" s="41">
        <v>23</v>
      </c>
      <c r="N2245" s="41" t="s">
        <v>619</v>
      </c>
      <c r="O2245" s="41" t="s">
        <v>989</v>
      </c>
      <c r="P2245" s="41" t="s">
        <v>172</v>
      </c>
      <c r="Q2245" s="41" t="s">
        <v>197</v>
      </c>
      <c r="R2245" s="41" t="s">
        <v>132</v>
      </c>
      <c r="S2245" s="41" t="s">
        <v>40</v>
      </c>
      <c r="T2245" s="41" t="s">
        <v>40</v>
      </c>
      <c r="U2245" s="41" t="s">
        <v>40</v>
      </c>
    </row>
    <row r="2246" spans="1:21">
      <c r="A2246" s="41">
        <v>424</v>
      </c>
      <c r="B2246" s="41" t="s">
        <v>7179</v>
      </c>
      <c r="D2246" s="41">
        <v>1932</v>
      </c>
      <c r="E2246" s="41" t="s">
        <v>1227</v>
      </c>
      <c r="F2246" s="41" t="s">
        <v>28</v>
      </c>
      <c r="G2246" s="41" t="s">
        <v>43</v>
      </c>
      <c r="I2246" s="41" t="s">
        <v>3393</v>
      </c>
      <c r="J2246" s="41" t="s">
        <v>295</v>
      </c>
      <c r="K2246" s="42"/>
      <c r="L2246" s="41" t="s">
        <v>7180</v>
      </c>
      <c r="M2246" s="41">
        <v>220</v>
      </c>
      <c r="N2246" s="41" t="s">
        <v>488</v>
      </c>
      <c r="O2246" s="41" t="s">
        <v>488</v>
      </c>
      <c r="P2246" s="41" t="s">
        <v>98</v>
      </c>
      <c r="Q2246" s="41" t="s">
        <v>370</v>
      </c>
      <c r="R2246" s="41" t="s">
        <v>39</v>
      </c>
      <c r="S2246" s="41" t="s">
        <v>40</v>
      </c>
      <c r="T2246" s="41" t="s">
        <v>40</v>
      </c>
      <c r="U2246" s="41" t="s">
        <v>40</v>
      </c>
    </row>
    <row r="2247" spans="1:21">
      <c r="A2247" s="41">
        <v>785</v>
      </c>
      <c r="B2247" s="41" t="s">
        <v>7181</v>
      </c>
      <c r="D2247" s="41">
        <v>1982</v>
      </c>
      <c r="E2247" s="41" t="s">
        <v>7182</v>
      </c>
      <c r="F2247" s="41" t="s">
        <v>28</v>
      </c>
      <c r="G2247" s="41" t="s">
        <v>307</v>
      </c>
      <c r="I2247" s="41" t="s">
        <v>6461</v>
      </c>
      <c r="J2247" s="41" t="s">
        <v>1906</v>
      </c>
      <c r="K2247" s="42"/>
      <c r="L2247" s="41" t="s">
        <v>7183</v>
      </c>
      <c r="M2247" s="41">
        <v>46</v>
      </c>
      <c r="N2247" s="41" t="s">
        <v>18</v>
      </c>
      <c r="O2247" s="41" t="s">
        <v>7184</v>
      </c>
      <c r="P2247" s="41" t="s">
        <v>172</v>
      </c>
      <c r="Q2247" s="41" t="s">
        <v>1104</v>
      </c>
      <c r="R2247" s="41" t="s">
        <v>39</v>
      </c>
      <c r="S2247" s="41" t="s">
        <v>40</v>
      </c>
      <c r="T2247" s="41" t="s">
        <v>7185</v>
      </c>
      <c r="U2247" s="41" t="s">
        <v>40</v>
      </c>
    </row>
    <row r="2248" spans="1:21">
      <c r="A2248" s="41">
        <v>418</v>
      </c>
      <c r="B2248" s="41" t="s">
        <v>7186</v>
      </c>
      <c r="D2248" s="41">
        <v>1928</v>
      </c>
      <c r="E2248" s="41" t="s">
        <v>1613</v>
      </c>
      <c r="F2248" s="41" t="s">
        <v>53</v>
      </c>
      <c r="G2248" s="41" t="s">
        <v>64</v>
      </c>
      <c r="I2248" s="41" t="s">
        <v>392</v>
      </c>
      <c r="J2248" s="41" t="s">
        <v>295</v>
      </c>
      <c r="K2248" s="42"/>
      <c r="L2248" s="41" t="s">
        <v>4239</v>
      </c>
      <c r="M2248" s="41">
        <v>220</v>
      </c>
      <c r="N2248" s="41" t="s">
        <v>59</v>
      </c>
      <c r="O2248" s="41" t="s">
        <v>488</v>
      </c>
      <c r="P2248" s="41" t="s">
        <v>60</v>
      </c>
      <c r="Q2248" s="41" t="s">
        <v>7187</v>
      </c>
      <c r="R2248" s="41" t="s">
        <v>62</v>
      </c>
      <c r="S2248" s="41" t="s">
        <v>40</v>
      </c>
      <c r="T2248" s="41" t="s">
        <v>40</v>
      </c>
      <c r="U2248" s="41" t="s">
        <v>40</v>
      </c>
    </row>
    <row r="2249" spans="1:21">
      <c r="A2249" s="41">
        <v>425</v>
      </c>
      <c r="B2249" s="41" t="s">
        <v>7188</v>
      </c>
      <c r="D2249" s="41">
        <v>1933</v>
      </c>
      <c r="E2249" s="41" t="s">
        <v>1076</v>
      </c>
      <c r="F2249" s="41" t="s">
        <v>53</v>
      </c>
      <c r="G2249" s="41" t="s">
        <v>307</v>
      </c>
      <c r="I2249" s="41" t="s">
        <v>194</v>
      </c>
      <c r="J2249" s="41" t="s">
        <v>295</v>
      </c>
      <c r="K2249" s="42"/>
      <c r="L2249" s="41" t="s">
        <v>7189</v>
      </c>
      <c r="M2249" s="41">
        <v>23</v>
      </c>
      <c r="N2249" s="41" t="s">
        <v>59</v>
      </c>
      <c r="O2249" s="41" t="s">
        <v>291</v>
      </c>
      <c r="P2249" s="41" t="s">
        <v>334</v>
      </c>
      <c r="Q2249" s="41" t="s">
        <v>423</v>
      </c>
      <c r="R2249" s="41" t="s">
        <v>132</v>
      </c>
      <c r="S2249" s="41" t="s">
        <v>7190</v>
      </c>
      <c r="T2249" s="41" t="s">
        <v>6251</v>
      </c>
      <c r="U2249" s="41" t="s">
        <v>506</v>
      </c>
    </row>
    <row r="2250" spans="1:21">
      <c r="A2250" s="41">
        <v>426</v>
      </c>
      <c r="B2250" s="41" t="s">
        <v>7191</v>
      </c>
      <c r="D2250" s="41">
        <v>1934</v>
      </c>
      <c r="E2250" s="41" t="s">
        <v>1076</v>
      </c>
      <c r="F2250" s="41" t="s">
        <v>53</v>
      </c>
      <c r="G2250" s="41" t="s">
        <v>64</v>
      </c>
      <c r="I2250" s="41" t="s">
        <v>194</v>
      </c>
      <c r="J2250" s="41" t="s">
        <v>295</v>
      </c>
      <c r="K2250" s="42"/>
      <c r="L2250" s="41" t="s">
        <v>7192</v>
      </c>
      <c r="M2250" s="41">
        <v>33</v>
      </c>
      <c r="N2250" s="41" t="s">
        <v>59</v>
      </c>
      <c r="O2250" s="41" t="s">
        <v>1451</v>
      </c>
      <c r="P2250" s="41" t="s">
        <v>334</v>
      </c>
      <c r="Q2250" s="41" t="s">
        <v>2815</v>
      </c>
      <c r="R2250" s="41" t="s">
        <v>132</v>
      </c>
      <c r="S2250" s="41" t="s">
        <v>40</v>
      </c>
      <c r="T2250" s="41" t="s">
        <v>40</v>
      </c>
      <c r="U2250" s="41" t="s">
        <v>40</v>
      </c>
    </row>
    <row r="2251" spans="1:21">
      <c r="A2251" s="41">
        <v>427</v>
      </c>
      <c r="B2251" s="41" t="s">
        <v>7193</v>
      </c>
      <c r="D2251" s="41">
        <v>1935</v>
      </c>
      <c r="E2251" s="41" t="s">
        <v>1076</v>
      </c>
      <c r="F2251" s="41" t="s">
        <v>28</v>
      </c>
      <c r="G2251" s="41" t="s">
        <v>64</v>
      </c>
      <c r="I2251" s="41" t="s">
        <v>3645</v>
      </c>
      <c r="J2251" s="41" t="s">
        <v>295</v>
      </c>
      <c r="K2251" s="42"/>
      <c r="L2251" s="41" t="s">
        <v>7194</v>
      </c>
      <c r="M2251" s="41">
        <v>220</v>
      </c>
      <c r="N2251" s="41" t="s">
        <v>488</v>
      </c>
      <c r="O2251" s="41" t="s">
        <v>488</v>
      </c>
      <c r="P2251" s="41" t="s">
        <v>37</v>
      </c>
      <c r="Q2251" s="41" t="s">
        <v>969</v>
      </c>
      <c r="R2251" s="41" t="s">
        <v>39</v>
      </c>
      <c r="S2251" s="41" t="s">
        <v>40</v>
      </c>
      <c r="T2251" s="41" t="s">
        <v>40</v>
      </c>
      <c r="U2251" s="41" t="s">
        <v>40</v>
      </c>
    </row>
    <row r="2252" spans="1:21">
      <c r="A2252" s="41">
        <v>420</v>
      </c>
      <c r="B2252" s="41" t="s">
        <v>7195</v>
      </c>
      <c r="D2252" s="41">
        <v>1930</v>
      </c>
      <c r="E2252" s="41" t="s">
        <v>6029</v>
      </c>
      <c r="F2252" s="41" t="s">
        <v>53</v>
      </c>
      <c r="G2252" s="41" t="s">
        <v>64</v>
      </c>
      <c r="I2252" s="41" t="s">
        <v>194</v>
      </c>
      <c r="J2252" s="41" t="s">
        <v>295</v>
      </c>
      <c r="K2252" s="42"/>
      <c r="L2252" s="41" t="s">
        <v>7196</v>
      </c>
      <c r="M2252" s="41">
        <v>13</v>
      </c>
      <c r="N2252" s="41" t="s">
        <v>59</v>
      </c>
      <c r="O2252" s="41" t="s">
        <v>663</v>
      </c>
      <c r="P2252" s="41" t="s">
        <v>60</v>
      </c>
      <c r="Q2252" s="41" t="s">
        <v>61</v>
      </c>
      <c r="R2252" s="41" t="s">
        <v>132</v>
      </c>
      <c r="S2252" s="41" t="s">
        <v>40</v>
      </c>
      <c r="T2252" s="41" t="s">
        <v>40</v>
      </c>
      <c r="U2252" s="41" t="s">
        <v>40</v>
      </c>
    </row>
    <row r="2253" spans="1:21">
      <c r="A2253" s="41">
        <v>421</v>
      </c>
      <c r="B2253" s="41" t="s">
        <v>7197</v>
      </c>
      <c r="D2253" s="41">
        <v>1929</v>
      </c>
      <c r="E2253" s="41" t="s">
        <v>6029</v>
      </c>
      <c r="F2253" s="41" t="s">
        <v>53</v>
      </c>
      <c r="G2253" s="41" t="s">
        <v>307</v>
      </c>
      <c r="I2253" s="41" t="s">
        <v>194</v>
      </c>
      <c r="J2253" s="41" t="s">
        <v>295</v>
      </c>
      <c r="K2253" s="42"/>
      <c r="L2253" s="41" t="s">
        <v>7198</v>
      </c>
      <c r="M2253" s="41">
        <v>13</v>
      </c>
      <c r="N2253" s="41" t="s">
        <v>59</v>
      </c>
      <c r="O2253" s="41" t="s">
        <v>402</v>
      </c>
      <c r="P2253" s="41" t="s">
        <v>60</v>
      </c>
      <c r="Q2253" s="41" t="s">
        <v>428</v>
      </c>
      <c r="R2253" s="41" t="s">
        <v>132</v>
      </c>
      <c r="S2253" s="41" t="s">
        <v>7199</v>
      </c>
      <c r="T2253" s="41" t="s">
        <v>40</v>
      </c>
      <c r="U2253" s="41" t="s">
        <v>40</v>
      </c>
    </row>
    <row r="2254" spans="1:21">
      <c r="A2254" s="41">
        <v>422</v>
      </c>
      <c r="B2254" s="41" t="s">
        <v>7200</v>
      </c>
      <c r="D2254" s="41">
        <v>1953</v>
      </c>
      <c r="E2254" s="41" t="s">
        <v>6029</v>
      </c>
      <c r="F2254" s="41" t="s">
        <v>53</v>
      </c>
      <c r="G2254" s="41" t="s">
        <v>64</v>
      </c>
      <c r="I2254" s="41" t="s">
        <v>194</v>
      </c>
      <c r="J2254" s="41" t="s">
        <v>295</v>
      </c>
      <c r="K2254" s="42"/>
      <c r="L2254" s="41" t="s">
        <v>3551</v>
      </c>
      <c r="M2254" s="41">
        <v>66</v>
      </c>
      <c r="N2254" s="41" t="s">
        <v>488</v>
      </c>
      <c r="O2254" s="41" t="s">
        <v>7201</v>
      </c>
      <c r="P2254" s="41" t="s">
        <v>60</v>
      </c>
      <c r="Q2254" s="41" t="s">
        <v>990</v>
      </c>
      <c r="R2254" s="41" t="s">
        <v>132</v>
      </c>
      <c r="S2254" s="41" t="s">
        <v>40</v>
      </c>
      <c r="T2254" s="41" t="s">
        <v>40</v>
      </c>
      <c r="U2254" s="41" t="s">
        <v>40</v>
      </c>
    </row>
    <row r="2255" spans="1:21">
      <c r="A2255" s="41">
        <v>423</v>
      </c>
      <c r="B2255" s="41" t="s">
        <v>7202</v>
      </c>
      <c r="D2255" s="41">
        <v>1931</v>
      </c>
      <c r="E2255" s="41" t="s">
        <v>1076</v>
      </c>
      <c r="F2255" s="41" t="s">
        <v>28</v>
      </c>
      <c r="G2255" s="41" t="s">
        <v>64</v>
      </c>
      <c r="I2255" s="41" t="s">
        <v>194</v>
      </c>
      <c r="J2255" s="41" t="s">
        <v>295</v>
      </c>
      <c r="K2255" s="42"/>
      <c r="L2255" s="41" t="s">
        <v>7203</v>
      </c>
      <c r="M2255" s="41">
        <v>23</v>
      </c>
      <c r="N2255" s="41" t="s">
        <v>488</v>
      </c>
      <c r="O2255" s="41" t="s">
        <v>488</v>
      </c>
      <c r="P2255" s="41" t="s">
        <v>78</v>
      </c>
      <c r="Q2255" s="41" t="s">
        <v>1065</v>
      </c>
      <c r="R2255" s="41" t="s">
        <v>39</v>
      </c>
      <c r="S2255" s="41" t="s">
        <v>40</v>
      </c>
      <c r="T2255" s="41" t="s">
        <v>40</v>
      </c>
      <c r="U2255" s="41" t="s">
        <v>40</v>
      </c>
    </row>
    <row r="2256" spans="1:21">
      <c r="A2256" s="41">
        <v>416</v>
      </c>
      <c r="B2256" s="41" t="s">
        <v>7204</v>
      </c>
      <c r="D2256" s="41">
        <v>1903</v>
      </c>
      <c r="E2256" s="41" t="s">
        <v>2487</v>
      </c>
      <c r="F2256" s="41" t="s">
        <v>28</v>
      </c>
      <c r="G2256" s="41" t="s">
        <v>64</v>
      </c>
      <c r="I2256" s="41" t="s">
        <v>194</v>
      </c>
      <c r="J2256" s="41" t="s">
        <v>295</v>
      </c>
      <c r="K2256" s="42"/>
      <c r="L2256" s="41" t="s">
        <v>7205</v>
      </c>
      <c r="M2256" s="41">
        <v>44</v>
      </c>
      <c r="N2256" s="41" t="s">
        <v>7206</v>
      </c>
      <c r="O2256" s="41" t="s">
        <v>488</v>
      </c>
      <c r="P2256" s="41" t="s">
        <v>68</v>
      </c>
      <c r="Q2256" s="41" t="s">
        <v>1156</v>
      </c>
      <c r="R2256" s="41" t="s">
        <v>39</v>
      </c>
      <c r="S2256" s="41" t="s">
        <v>40</v>
      </c>
      <c r="T2256" s="41" t="s">
        <v>40</v>
      </c>
      <c r="U2256" s="41" t="s">
        <v>40</v>
      </c>
    </row>
    <row r="2257" spans="1:21">
      <c r="A2257" s="41">
        <v>415</v>
      </c>
      <c r="B2257" s="41" t="s">
        <v>7207</v>
      </c>
      <c r="D2257" s="41">
        <v>1902</v>
      </c>
      <c r="E2257" s="41" t="s">
        <v>1248</v>
      </c>
      <c r="F2257" s="41" t="s">
        <v>28</v>
      </c>
      <c r="G2257" s="41" t="s">
        <v>301</v>
      </c>
      <c r="I2257" s="41" t="s">
        <v>1068</v>
      </c>
      <c r="J2257" s="41" t="s">
        <v>672</v>
      </c>
      <c r="K2257" s="42"/>
      <c r="L2257" s="41" t="s">
        <v>7208</v>
      </c>
      <c r="M2257" s="41">
        <v>13</v>
      </c>
      <c r="N2257" s="41" t="s">
        <v>488</v>
      </c>
      <c r="O2257" s="41" t="s">
        <v>488</v>
      </c>
      <c r="P2257" s="41" t="s">
        <v>37</v>
      </c>
      <c r="Q2257" s="41" t="s">
        <v>38</v>
      </c>
      <c r="R2257" s="41" t="s">
        <v>39</v>
      </c>
      <c r="S2257" s="41" t="s">
        <v>40</v>
      </c>
      <c r="T2257" s="41" t="s">
        <v>5787</v>
      </c>
      <c r="U2257" s="41" t="s">
        <v>693</v>
      </c>
    </row>
    <row r="2258" spans="1:21">
      <c r="A2258" s="41">
        <v>417</v>
      </c>
      <c r="B2258" s="41" t="s">
        <v>7209</v>
      </c>
      <c r="D2258" s="41">
        <v>1904</v>
      </c>
      <c r="E2258" s="41" t="s">
        <v>6845</v>
      </c>
      <c r="F2258" s="41" t="s">
        <v>28</v>
      </c>
      <c r="G2258" s="41" t="s">
        <v>64</v>
      </c>
      <c r="I2258" s="41" t="s">
        <v>1686</v>
      </c>
      <c r="J2258" s="41" t="s">
        <v>295</v>
      </c>
      <c r="K2258" s="42"/>
      <c r="L2258" s="41" t="s">
        <v>7210</v>
      </c>
      <c r="M2258" s="41">
        <v>110</v>
      </c>
      <c r="N2258" s="41" t="s">
        <v>488</v>
      </c>
      <c r="O2258" s="41" t="s">
        <v>488</v>
      </c>
      <c r="P2258" s="41" t="s">
        <v>153</v>
      </c>
      <c r="Q2258" s="41" t="s">
        <v>2489</v>
      </c>
      <c r="R2258" s="41" t="s">
        <v>39</v>
      </c>
      <c r="S2258" s="41" t="s">
        <v>40</v>
      </c>
      <c r="T2258" s="41" t="s">
        <v>40</v>
      </c>
      <c r="U2258" s="41" t="s">
        <v>40</v>
      </c>
    </row>
    <row r="2259" spans="1:21">
      <c r="A2259" s="41">
        <v>419</v>
      </c>
      <c r="B2259" s="41" t="s">
        <v>7211</v>
      </c>
      <c r="D2259" s="41">
        <v>1822</v>
      </c>
      <c r="E2259" s="41" t="s">
        <v>6029</v>
      </c>
      <c r="F2259" s="41" t="s">
        <v>53</v>
      </c>
      <c r="G2259" s="41" t="s">
        <v>307</v>
      </c>
      <c r="I2259" s="41" t="s">
        <v>1142</v>
      </c>
      <c r="J2259" s="41" t="s">
        <v>295</v>
      </c>
      <c r="K2259" s="42"/>
      <c r="L2259" s="41" t="s">
        <v>7022</v>
      </c>
      <c r="M2259" s="41">
        <v>23</v>
      </c>
      <c r="N2259" s="41" t="s">
        <v>59</v>
      </c>
      <c r="O2259" s="41" t="s">
        <v>291</v>
      </c>
      <c r="P2259" s="41" t="s">
        <v>179</v>
      </c>
      <c r="Q2259" s="41" t="s">
        <v>524</v>
      </c>
      <c r="R2259" s="41" t="s">
        <v>132</v>
      </c>
      <c r="S2259" s="41" t="s">
        <v>7212</v>
      </c>
      <c r="T2259" s="41" t="s">
        <v>40</v>
      </c>
      <c r="U2259" s="41" t="s">
        <v>40</v>
      </c>
    </row>
    <row r="2260" spans="1:21">
      <c r="A2260" s="41">
        <v>411</v>
      </c>
      <c r="B2260" s="41" t="s">
        <v>7213</v>
      </c>
      <c r="D2260" s="41">
        <v>1906</v>
      </c>
      <c r="E2260" s="41" t="s">
        <v>1613</v>
      </c>
      <c r="F2260" s="41" t="s">
        <v>53</v>
      </c>
      <c r="G2260" s="41" t="s">
        <v>43</v>
      </c>
      <c r="I2260" s="41" t="s">
        <v>392</v>
      </c>
      <c r="J2260" s="41" t="s">
        <v>295</v>
      </c>
      <c r="K2260" s="42"/>
      <c r="L2260" s="41" t="s">
        <v>5643</v>
      </c>
      <c r="M2260" s="41">
        <v>154</v>
      </c>
      <c r="N2260" s="41" t="s">
        <v>59</v>
      </c>
      <c r="O2260" s="41" t="s">
        <v>488</v>
      </c>
      <c r="P2260" s="41" t="s">
        <v>60</v>
      </c>
      <c r="Q2260" s="41" t="s">
        <v>608</v>
      </c>
      <c r="R2260" s="41" t="s">
        <v>132</v>
      </c>
      <c r="S2260" s="41" t="s">
        <v>40</v>
      </c>
      <c r="T2260" s="41" t="s">
        <v>40</v>
      </c>
      <c r="U2260" s="41" t="s">
        <v>40</v>
      </c>
    </row>
    <row r="2261" spans="1:21">
      <c r="A2261" s="41">
        <v>409</v>
      </c>
      <c r="B2261" s="41" t="s">
        <v>7139</v>
      </c>
      <c r="D2261" s="41">
        <v>1890</v>
      </c>
      <c r="E2261" s="41" t="s">
        <v>1227</v>
      </c>
      <c r="F2261" s="41" t="s">
        <v>53</v>
      </c>
      <c r="G2261" s="41" t="s">
        <v>64</v>
      </c>
      <c r="I2261" s="41" t="s">
        <v>3488</v>
      </c>
      <c r="J2261" s="41" t="s">
        <v>295</v>
      </c>
      <c r="K2261" s="42"/>
      <c r="L2261" s="41" t="s">
        <v>7122</v>
      </c>
      <c r="M2261" s="41">
        <v>220</v>
      </c>
      <c r="N2261" s="41" t="s">
        <v>395</v>
      </c>
      <c r="O2261" s="41" t="s">
        <v>757</v>
      </c>
      <c r="P2261" s="41" t="s">
        <v>68</v>
      </c>
      <c r="Q2261" s="41" t="s">
        <v>699</v>
      </c>
      <c r="R2261" s="41" t="s">
        <v>39</v>
      </c>
      <c r="S2261" s="41" t="s">
        <v>40</v>
      </c>
      <c r="T2261" s="41" t="s">
        <v>40</v>
      </c>
      <c r="U2261" s="41" t="s">
        <v>40</v>
      </c>
    </row>
    <row r="2262" spans="1:21">
      <c r="A2262" s="41">
        <v>412</v>
      </c>
      <c r="B2262" s="41" t="s">
        <v>7214</v>
      </c>
      <c r="D2262" s="41">
        <v>1907</v>
      </c>
      <c r="E2262" s="41" t="s">
        <v>1613</v>
      </c>
      <c r="F2262" s="41" t="s">
        <v>53</v>
      </c>
      <c r="G2262" s="41" t="s">
        <v>64</v>
      </c>
      <c r="I2262" s="41" t="s">
        <v>194</v>
      </c>
      <c r="J2262" s="41" t="s">
        <v>295</v>
      </c>
      <c r="K2262" s="42"/>
      <c r="L2262" s="41" t="s">
        <v>7122</v>
      </c>
      <c r="M2262" s="41">
        <v>220</v>
      </c>
      <c r="N2262" s="41" t="s">
        <v>59</v>
      </c>
      <c r="O2262" s="41" t="s">
        <v>488</v>
      </c>
      <c r="P2262" s="41" t="s">
        <v>68</v>
      </c>
      <c r="Q2262" s="41" t="s">
        <v>69</v>
      </c>
      <c r="R2262" s="41" t="s">
        <v>39</v>
      </c>
      <c r="S2262" s="41" t="s">
        <v>40</v>
      </c>
      <c r="T2262" s="41" t="s">
        <v>40</v>
      </c>
      <c r="U2262" s="41" t="s">
        <v>40</v>
      </c>
    </row>
    <row r="2263" spans="1:21">
      <c r="A2263" s="41">
        <v>410</v>
      </c>
      <c r="B2263" s="41" t="s">
        <v>7215</v>
      </c>
      <c r="D2263" s="41">
        <v>1893</v>
      </c>
      <c r="E2263" s="41" t="s">
        <v>1613</v>
      </c>
      <c r="F2263" s="41" t="s">
        <v>28</v>
      </c>
      <c r="G2263" s="41" t="s">
        <v>64</v>
      </c>
      <c r="I2263" s="41" t="s">
        <v>231</v>
      </c>
      <c r="J2263" s="41" t="s">
        <v>295</v>
      </c>
      <c r="K2263" s="42"/>
      <c r="L2263" s="41" t="s">
        <v>7216</v>
      </c>
      <c r="M2263" s="41">
        <v>110</v>
      </c>
      <c r="N2263" s="41" t="s">
        <v>488</v>
      </c>
      <c r="O2263" s="41" t="s">
        <v>488</v>
      </c>
      <c r="P2263" s="41" t="s">
        <v>68</v>
      </c>
      <c r="Q2263" s="41" t="s">
        <v>69</v>
      </c>
      <c r="R2263" s="41" t="s">
        <v>39</v>
      </c>
      <c r="S2263" s="41" t="s">
        <v>40</v>
      </c>
      <c r="T2263" s="41" t="s">
        <v>40</v>
      </c>
      <c r="U2263" s="41" t="s">
        <v>40</v>
      </c>
    </row>
    <row r="2264" spans="1:21">
      <c r="A2264" s="41">
        <v>413</v>
      </c>
      <c r="B2264" s="41" t="s">
        <v>7217</v>
      </c>
      <c r="D2264" s="41">
        <v>1905</v>
      </c>
      <c r="E2264" s="41" t="s">
        <v>1076</v>
      </c>
      <c r="F2264" s="41" t="s">
        <v>53</v>
      </c>
      <c r="G2264" s="41" t="s">
        <v>64</v>
      </c>
      <c r="I2264" s="41" t="s">
        <v>3645</v>
      </c>
      <c r="J2264" s="41" t="s">
        <v>295</v>
      </c>
      <c r="K2264" s="42"/>
      <c r="L2264" s="41" t="s">
        <v>3943</v>
      </c>
      <c r="M2264" s="41">
        <v>220</v>
      </c>
      <c r="N2264" s="41" t="s">
        <v>579</v>
      </c>
      <c r="O2264" s="41" t="s">
        <v>488</v>
      </c>
      <c r="P2264" s="41" t="s">
        <v>37</v>
      </c>
      <c r="Q2264" s="41" t="s">
        <v>969</v>
      </c>
      <c r="R2264" s="41" t="s">
        <v>62</v>
      </c>
      <c r="S2264" s="41" t="s">
        <v>40</v>
      </c>
      <c r="T2264" s="41" t="s">
        <v>40</v>
      </c>
      <c r="U2264" s="41" t="s">
        <v>40</v>
      </c>
    </row>
    <row r="2265" spans="1:21">
      <c r="A2265" s="41">
        <v>414</v>
      </c>
      <c r="B2265" s="41" t="s">
        <v>7218</v>
      </c>
      <c r="D2265" s="41">
        <v>1898</v>
      </c>
      <c r="E2265" s="41" t="s">
        <v>1076</v>
      </c>
      <c r="F2265" s="41" t="s">
        <v>53</v>
      </c>
      <c r="G2265" s="41" t="s">
        <v>64</v>
      </c>
      <c r="I2265" s="41" t="s">
        <v>3645</v>
      </c>
      <c r="J2265" s="41" t="s">
        <v>295</v>
      </c>
      <c r="K2265" s="42"/>
      <c r="L2265" s="41" t="s">
        <v>3038</v>
      </c>
      <c r="M2265" s="41">
        <v>220</v>
      </c>
      <c r="N2265" s="41" t="s">
        <v>340</v>
      </c>
      <c r="O2265" s="41" t="s">
        <v>1615</v>
      </c>
      <c r="P2265" s="41" t="s">
        <v>37</v>
      </c>
      <c r="Q2265" s="41" t="s">
        <v>969</v>
      </c>
      <c r="R2265" s="41" t="s">
        <v>62</v>
      </c>
      <c r="S2265" s="41" t="s">
        <v>40</v>
      </c>
      <c r="T2265" s="41" t="s">
        <v>40</v>
      </c>
      <c r="U2265" s="41" t="s">
        <v>40</v>
      </c>
    </row>
    <row r="2266" spans="1:21">
      <c r="A2266" s="41">
        <v>408</v>
      </c>
      <c r="B2266" s="41" t="s">
        <v>7219</v>
      </c>
      <c r="D2266" s="41">
        <v>1888</v>
      </c>
      <c r="E2266" s="41" t="s">
        <v>7220</v>
      </c>
      <c r="F2266" s="41" t="s">
        <v>53</v>
      </c>
      <c r="G2266" s="41" t="s">
        <v>43</v>
      </c>
      <c r="I2266" s="41" t="s">
        <v>5625</v>
      </c>
      <c r="J2266" s="41" t="s">
        <v>295</v>
      </c>
      <c r="K2266" s="42"/>
      <c r="L2266" s="41" t="s">
        <v>3567</v>
      </c>
      <c r="M2266" s="41">
        <v>110</v>
      </c>
      <c r="N2266" s="41" t="s">
        <v>59</v>
      </c>
      <c r="O2266" s="41" t="s">
        <v>488</v>
      </c>
      <c r="P2266" s="41" t="s">
        <v>68</v>
      </c>
      <c r="Q2266" s="41" t="s">
        <v>3518</v>
      </c>
      <c r="R2266" s="41" t="s">
        <v>132</v>
      </c>
      <c r="S2266" s="41" t="s">
        <v>7221</v>
      </c>
      <c r="T2266" s="41" t="s">
        <v>5421</v>
      </c>
      <c r="U2266" s="41" t="s">
        <v>198</v>
      </c>
    </row>
    <row r="2267" spans="1:21">
      <c r="A2267" s="41">
        <v>406</v>
      </c>
      <c r="B2267" s="41" t="s">
        <v>7222</v>
      </c>
      <c r="D2267" s="41">
        <v>1887</v>
      </c>
      <c r="E2267" s="41" t="s">
        <v>4746</v>
      </c>
      <c r="F2267" s="41" t="s">
        <v>53</v>
      </c>
      <c r="G2267" s="41" t="s">
        <v>64</v>
      </c>
      <c r="I2267" s="41" t="s">
        <v>392</v>
      </c>
      <c r="J2267" s="41" t="s">
        <v>295</v>
      </c>
      <c r="K2267" s="42"/>
      <c r="L2267" s="41" t="s">
        <v>7223</v>
      </c>
      <c r="M2267" s="41">
        <v>220</v>
      </c>
      <c r="N2267" s="41" t="s">
        <v>395</v>
      </c>
      <c r="O2267" s="41" t="s">
        <v>488</v>
      </c>
      <c r="P2267" s="41" t="s">
        <v>179</v>
      </c>
      <c r="Q2267" s="41" t="s">
        <v>284</v>
      </c>
      <c r="R2267" s="41" t="s">
        <v>62</v>
      </c>
      <c r="S2267" s="41" t="s">
        <v>40</v>
      </c>
      <c r="T2267" s="41" t="s">
        <v>40</v>
      </c>
      <c r="U2267" s="41" t="s">
        <v>40</v>
      </c>
    </row>
    <row r="2268" spans="1:21">
      <c r="A2268" s="41">
        <v>407</v>
      </c>
      <c r="B2268" s="41" t="s">
        <v>7224</v>
      </c>
      <c r="D2268" s="41">
        <v>1889</v>
      </c>
      <c r="E2268" s="41" t="s">
        <v>2405</v>
      </c>
      <c r="F2268" s="41" t="s">
        <v>53</v>
      </c>
      <c r="G2268" s="41" t="s">
        <v>64</v>
      </c>
      <c r="I2268" s="41" t="s">
        <v>411</v>
      </c>
      <c r="J2268" s="41" t="s">
        <v>295</v>
      </c>
      <c r="K2268" s="42"/>
      <c r="L2268" s="41" t="s">
        <v>4527</v>
      </c>
      <c r="M2268" s="41">
        <v>66</v>
      </c>
      <c r="N2268" s="41" t="s">
        <v>6098</v>
      </c>
      <c r="O2268" s="41" t="s">
        <v>488</v>
      </c>
      <c r="P2268" s="41" t="s">
        <v>334</v>
      </c>
      <c r="Q2268" s="41" t="s">
        <v>2815</v>
      </c>
      <c r="R2268" s="41" t="s">
        <v>132</v>
      </c>
      <c r="S2268" s="41" t="s">
        <v>40</v>
      </c>
      <c r="T2268" s="41" t="s">
        <v>40</v>
      </c>
      <c r="U2268" s="41" t="s">
        <v>40</v>
      </c>
    </row>
    <row r="2269" spans="1:21">
      <c r="A2269" s="41">
        <v>405</v>
      </c>
      <c r="B2269" s="41" t="s">
        <v>7225</v>
      </c>
      <c r="D2269" s="41">
        <v>1892</v>
      </c>
      <c r="E2269" s="41" t="s">
        <v>1395</v>
      </c>
      <c r="F2269" s="41" t="s">
        <v>28</v>
      </c>
      <c r="G2269" s="41" t="s">
        <v>64</v>
      </c>
      <c r="I2269" s="41" t="s">
        <v>4334</v>
      </c>
      <c r="J2269" s="41" t="s">
        <v>295</v>
      </c>
      <c r="K2269" s="42"/>
      <c r="L2269" s="41" t="s">
        <v>7226</v>
      </c>
      <c r="M2269" s="41">
        <v>220</v>
      </c>
      <c r="N2269" s="41" t="s">
        <v>488</v>
      </c>
      <c r="O2269" s="41" t="s">
        <v>488</v>
      </c>
      <c r="P2269" s="41" t="s">
        <v>98</v>
      </c>
      <c r="Q2269" s="41" t="s">
        <v>370</v>
      </c>
      <c r="R2269" s="41" t="s">
        <v>39</v>
      </c>
      <c r="S2269" s="41" t="s">
        <v>40</v>
      </c>
      <c r="T2269" s="41" t="s">
        <v>40</v>
      </c>
      <c r="U2269" s="41" t="s">
        <v>40</v>
      </c>
    </row>
    <row r="2270" spans="1:21">
      <c r="A2270" s="41">
        <v>402</v>
      </c>
      <c r="B2270" s="41" t="s">
        <v>7227</v>
      </c>
      <c r="D2270" s="41">
        <v>1891</v>
      </c>
      <c r="E2270" s="41" t="s">
        <v>7228</v>
      </c>
      <c r="F2270" s="41" t="s">
        <v>28</v>
      </c>
      <c r="G2270" s="41" t="s">
        <v>307</v>
      </c>
      <c r="I2270" s="41" t="s">
        <v>966</v>
      </c>
      <c r="J2270" s="41" t="s">
        <v>295</v>
      </c>
      <c r="K2270" s="42"/>
      <c r="L2270" s="41" t="s">
        <v>7229</v>
      </c>
      <c r="M2270" s="41">
        <v>220</v>
      </c>
      <c r="N2270" s="41" t="s">
        <v>488</v>
      </c>
      <c r="O2270" s="41" t="s">
        <v>488</v>
      </c>
      <c r="P2270" s="41" t="s">
        <v>68</v>
      </c>
      <c r="Q2270" s="41" t="s">
        <v>699</v>
      </c>
      <c r="R2270" s="41" t="s">
        <v>39</v>
      </c>
      <c r="S2270" s="41" t="s">
        <v>40</v>
      </c>
      <c r="T2270" s="41" t="s">
        <v>40</v>
      </c>
      <c r="U2270" s="41" t="s">
        <v>40</v>
      </c>
    </row>
    <row r="2271" spans="1:21">
      <c r="A2271" s="41">
        <v>394</v>
      </c>
      <c r="B2271" s="41" t="s">
        <v>7230</v>
      </c>
      <c r="D2271" s="41">
        <v>1874</v>
      </c>
      <c r="E2271" s="41" t="s">
        <v>7231</v>
      </c>
      <c r="F2271" s="41" t="s">
        <v>28</v>
      </c>
      <c r="G2271" s="41" t="s">
        <v>64</v>
      </c>
      <c r="I2271" s="41" t="s">
        <v>464</v>
      </c>
      <c r="J2271" s="41" t="s">
        <v>295</v>
      </c>
      <c r="K2271" s="42"/>
      <c r="L2271" s="41" t="s">
        <v>7232</v>
      </c>
      <c r="M2271" s="41">
        <v>220</v>
      </c>
      <c r="N2271" s="41" t="s">
        <v>488</v>
      </c>
      <c r="O2271" s="41" t="s">
        <v>488</v>
      </c>
      <c r="P2271" s="41" t="s">
        <v>50</v>
      </c>
      <c r="Q2271" s="41" t="s">
        <v>51</v>
      </c>
      <c r="R2271" s="41" t="s">
        <v>39</v>
      </c>
      <c r="S2271" s="41" t="s">
        <v>40</v>
      </c>
      <c r="T2271" s="41" t="s">
        <v>40</v>
      </c>
      <c r="U2271" s="41" t="s">
        <v>40</v>
      </c>
    </row>
    <row r="2272" spans="1:21">
      <c r="A2272" s="41">
        <v>395</v>
      </c>
      <c r="B2272" s="41" t="s">
        <v>7233</v>
      </c>
      <c r="D2272" s="41">
        <v>1875</v>
      </c>
      <c r="E2272" s="41" t="s">
        <v>7234</v>
      </c>
      <c r="F2272" s="41" t="s">
        <v>28</v>
      </c>
      <c r="G2272" s="41" t="s">
        <v>64</v>
      </c>
      <c r="I2272" s="41" t="s">
        <v>194</v>
      </c>
      <c r="J2272" s="41" t="s">
        <v>295</v>
      </c>
      <c r="K2272" s="42"/>
      <c r="L2272" s="41" t="s">
        <v>7235</v>
      </c>
      <c r="M2272" s="41">
        <v>66</v>
      </c>
      <c r="N2272" s="41" t="s">
        <v>7236</v>
      </c>
      <c r="O2272" s="41" t="s">
        <v>488</v>
      </c>
      <c r="P2272" s="41" t="s">
        <v>546</v>
      </c>
      <c r="Q2272" s="41" t="s">
        <v>2100</v>
      </c>
      <c r="R2272" s="41" t="s">
        <v>39</v>
      </c>
      <c r="S2272" s="41" t="s">
        <v>40</v>
      </c>
      <c r="T2272" s="41" t="s">
        <v>40</v>
      </c>
      <c r="U2272" s="41" t="s">
        <v>40</v>
      </c>
    </row>
    <row r="2273" spans="1:21">
      <c r="A2273" s="41">
        <v>397</v>
      </c>
      <c r="B2273" s="41" t="s">
        <v>7237</v>
      </c>
      <c r="D2273" s="41">
        <v>1877</v>
      </c>
      <c r="E2273" s="41" t="s">
        <v>7234</v>
      </c>
      <c r="F2273" s="41" t="s">
        <v>28</v>
      </c>
      <c r="G2273" s="41" t="s">
        <v>64</v>
      </c>
      <c r="I2273" s="41" t="s">
        <v>194</v>
      </c>
      <c r="J2273" s="41" t="s">
        <v>295</v>
      </c>
      <c r="K2273" s="42"/>
      <c r="L2273" s="41" t="s">
        <v>7235</v>
      </c>
      <c r="M2273" s="41">
        <v>66</v>
      </c>
      <c r="N2273" s="41" t="s">
        <v>7236</v>
      </c>
      <c r="O2273" s="41" t="s">
        <v>488</v>
      </c>
      <c r="P2273" s="41" t="s">
        <v>546</v>
      </c>
      <c r="Q2273" s="41" t="s">
        <v>2100</v>
      </c>
      <c r="R2273" s="41" t="s">
        <v>39</v>
      </c>
      <c r="S2273" s="41" t="s">
        <v>40</v>
      </c>
      <c r="T2273" s="41" t="s">
        <v>40</v>
      </c>
      <c r="U2273" s="41" t="s">
        <v>40</v>
      </c>
    </row>
    <row r="2274" spans="1:21">
      <c r="A2274" s="41">
        <v>398</v>
      </c>
      <c r="B2274" s="41" t="s">
        <v>7238</v>
      </c>
      <c r="D2274" s="41">
        <v>1878</v>
      </c>
      <c r="E2274" s="41" t="s">
        <v>7234</v>
      </c>
      <c r="F2274" s="41" t="s">
        <v>28</v>
      </c>
      <c r="G2274" s="41" t="s">
        <v>64</v>
      </c>
      <c r="I2274" s="41" t="s">
        <v>194</v>
      </c>
      <c r="J2274" s="41" t="s">
        <v>295</v>
      </c>
      <c r="K2274" s="42"/>
      <c r="L2274" s="41" t="s">
        <v>7235</v>
      </c>
      <c r="M2274" s="41">
        <v>66</v>
      </c>
      <c r="N2274" s="41" t="s">
        <v>7236</v>
      </c>
      <c r="O2274" s="41" t="s">
        <v>488</v>
      </c>
      <c r="P2274" s="41" t="s">
        <v>546</v>
      </c>
      <c r="Q2274" s="41" t="s">
        <v>2100</v>
      </c>
      <c r="R2274" s="41" t="s">
        <v>39</v>
      </c>
      <c r="S2274" s="41" t="s">
        <v>40</v>
      </c>
      <c r="T2274" s="41" t="s">
        <v>40</v>
      </c>
      <c r="U2274" s="41" t="s">
        <v>40</v>
      </c>
    </row>
    <row r="2275" spans="1:21">
      <c r="A2275" s="41">
        <v>400</v>
      </c>
      <c r="B2275" s="41" t="s">
        <v>7239</v>
      </c>
      <c r="D2275" s="41">
        <v>1880</v>
      </c>
      <c r="E2275" s="41" t="s">
        <v>7234</v>
      </c>
      <c r="F2275" s="41" t="s">
        <v>28</v>
      </c>
      <c r="G2275" s="41" t="s">
        <v>64</v>
      </c>
      <c r="I2275" s="41" t="s">
        <v>194</v>
      </c>
      <c r="J2275" s="41" t="s">
        <v>295</v>
      </c>
      <c r="K2275" s="42"/>
      <c r="L2275" s="41" t="s">
        <v>7235</v>
      </c>
      <c r="M2275" s="41">
        <v>66</v>
      </c>
      <c r="N2275" s="41" t="s">
        <v>7236</v>
      </c>
      <c r="O2275" s="41" t="s">
        <v>488</v>
      </c>
      <c r="P2275" s="41" t="s">
        <v>546</v>
      </c>
      <c r="Q2275" s="41" t="s">
        <v>2100</v>
      </c>
      <c r="R2275" s="41" t="s">
        <v>39</v>
      </c>
      <c r="S2275" s="41" t="s">
        <v>40</v>
      </c>
      <c r="T2275" s="41" t="s">
        <v>40</v>
      </c>
      <c r="U2275" s="41" t="s">
        <v>40</v>
      </c>
    </row>
    <row r="2276" spans="1:21">
      <c r="A2276" s="41">
        <v>403</v>
      </c>
      <c r="B2276" s="41" t="s">
        <v>7240</v>
      </c>
      <c r="D2276" s="41">
        <v>1235</v>
      </c>
      <c r="E2276" s="41" t="s">
        <v>6378</v>
      </c>
      <c r="F2276" s="41" t="s">
        <v>53</v>
      </c>
      <c r="G2276" s="41" t="s">
        <v>307</v>
      </c>
      <c r="I2276" s="41" t="s">
        <v>7241</v>
      </c>
      <c r="J2276" s="41" t="s">
        <v>295</v>
      </c>
      <c r="K2276" s="42"/>
      <c r="L2276" s="41" t="s">
        <v>7242</v>
      </c>
      <c r="M2276" s="41">
        <v>220</v>
      </c>
      <c r="N2276" s="41" t="s">
        <v>3019</v>
      </c>
      <c r="O2276" s="41" t="s">
        <v>7243</v>
      </c>
      <c r="P2276" s="41" t="s">
        <v>179</v>
      </c>
      <c r="Q2276" s="41" t="s">
        <v>592</v>
      </c>
      <c r="R2276" s="41" t="s">
        <v>62</v>
      </c>
      <c r="S2276" s="41" t="s">
        <v>7244</v>
      </c>
      <c r="T2276" s="41" t="s">
        <v>40</v>
      </c>
      <c r="U2276" s="41" t="s">
        <v>40</v>
      </c>
    </row>
    <row r="2277" spans="1:21">
      <c r="A2277" s="41">
        <v>404</v>
      </c>
      <c r="B2277" s="41" t="s">
        <v>7245</v>
      </c>
      <c r="D2277" s="41">
        <v>1265</v>
      </c>
      <c r="E2277" s="41" t="s">
        <v>1191</v>
      </c>
      <c r="F2277" s="41" t="s">
        <v>53</v>
      </c>
      <c r="G2277" s="41" t="s">
        <v>307</v>
      </c>
      <c r="I2277" s="41" t="s">
        <v>7246</v>
      </c>
      <c r="J2277" s="41" t="s">
        <v>295</v>
      </c>
      <c r="K2277" s="42"/>
      <c r="L2277" s="41" t="s">
        <v>7247</v>
      </c>
      <c r="M2277" s="41">
        <v>220</v>
      </c>
      <c r="N2277" s="41" t="s">
        <v>395</v>
      </c>
      <c r="O2277" s="41" t="s">
        <v>1379</v>
      </c>
      <c r="P2277" s="41" t="s">
        <v>179</v>
      </c>
      <c r="Q2277" s="41" t="s">
        <v>592</v>
      </c>
      <c r="R2277" s="41" t="s">
        <v>62</v>
      </c>
      <c r="S2277" s="41" t="s">
        <v>7248</v>
      </c>
      <c r="T2277" s="41" t="s">
        <v>40</v>
      </c>
      <c r="U2277" s="41" t="s">
        <v>40</v>
      </c>
    </row>
    <row r="2278" spans="1:21">
      <c r="A2278" s="41">
        <v>399</v>
      </c>
      <c r="B2278" s="41" t="s">
        <v>7249</v>
      </c>
      <c r="D2278" s="41">
        <v>1879</v>
      </c>
      <c r="E2278" s="41" t="s">
        <v>7250</v>
      </c>
      <c r="F2278" s="41" t="s">
        <v>28</v>
      </c>
      <c r="G2278" s="41" t="s">
        <v>307</v>
      </c>
      <c r="I2278" s="41" t="s">
        <v>3468</v>
      </c>
      <c r="J2278" s="41" t="s">
        <v>295</v>
      </c>
      <c r="K2278" s="42"/>
      <c r="L2278" s="41" t="s">
        <v>7251</v>
      </c>
      <c r="M2278" s="41">
        <v>33</v>
      </c>
      <c r="N2278" s="41" t="s">
        <v>488</v>
      </c>
      <c r="O2278" s="41" t="s">
        <v>488</v>
      </c>
      <c r="P2278" s="41" t="s">
        <v>98</v>
      </c>
      <c r="Q2278" s="41" t="s">
        <v>116</v>
      </c>
      <c r="R2278" s="41" t="s">
        <v>39</v>
      </c>
      <c r="S2278" s="41" t="s">
        <v>40</v>
      </c>
      <c r="T2278" s="41" t="s">
        <v>40</v>
      </c>
      <c r="U2278" s="41" t="s">
        <v>40</v>
      </c>
    </row>
    <row r="2279" spans="1:21">
      <c r="A2279" s="41">
        <v>401</v>
      </c>
      <c r="B2279" s="41" t="s">
        <v>7252</v>
      </c>
      <c r="D2279" s="41">
        <v>1873</v>
      </c>
      <c r="E2279" s="41" t="s">
        <v>7231</v>
      </c>
      <c r="F2279" s="41" t="s">
        <v>53</v>
      </c>
      <c r="G2279" s="41" t="s">
        <v>188</v>
      </c>
      <c r="I2279" s="41" t="s">
        <v>1303</v>
      </c>
      <c r="J2279" s="41" t="s">
        <v>32</v>
      </c>
      <c r="K2279" s="42"/>
      <c r="L2279" s="41" t="s">
        <v>6319</v>
      </c>
      <c r="M2279" s="41">
        <v>220</v>
      </c>
      <c r="N2279" s="41" t="s">
        <v>7253</v>
      </c>
      <c r="O2279" s="41" t="s">
        <v>345</v>
      </c>
      <c r="P2279" s="41" t="s">
        <v>68</v>
      </c>
      <c r="Q2279" s="41" t="s">
        <v>69</v>
      </c>
      <c r="R2279" s="41" t="s">
        <v>62</v>
      </c>
      <c r="S2279" s="41" t="s">
        <v>40</v>
      </c>
      <c r="T2279" s="41" t="s">
        <v>40</v>
      </c>
      <c r="U2279" s="41" t="s">
        <v>40</v>
      </c>
    </row>
    <row r="2280" spans="1:21">
      <c r="A2280" s="41">
        <v>396</v>
      </c>
      <c r="B2280" s="41" t="s">
        <v>7254</v>
      </c>
      <c r="D2280" s="41">
        <v>1876</v>
      </c>
      <c r="E2280" s="41" t="s">
        <v>6313</v>
      </c>
      <c r="F2280" s="41" t="s">
        <v>28</v>
      </c>
      <c r="G2280" s="41" t="s">
        <v>64</v>
      </c>
      <c r="I2280" s="41" t="s">
        <v>45</v>
      </c>
      <c r="J2280" s="41" t="s">
        <v>32</v>
      </c>
      <c r="K2280" s="42"/>
      <c r="L2280" s="41" t="s">
        <v>7255</v>
      </c>
      <c r="M2280" s="41">
        <v>220</v>
      </c>
      <c r="N2280" s="41" t="s">
        <v>488</v>
      </c>
      <c r="O2280" s="41" t="s">
        <v>488</v>
      </c>
      <c r="P2280" s="41" t="s">
        <v>179</v>
      </c>
      <c r="Q2280" s="41" t="s">
        <v>1116</v>
      </c>
      <c r="R2280" s="41" t="s">
        <v>39</v>
      </c>
      <c r="S2280" s="41" t="s">
        <v>40</v>
      </c>
      <c r="T2280" s="41" t="s">
        <v>40</v>
      </c>
      <c r="U2280" s="41" t="s">
        <v>40</v>
      </c>
    </row>
    <row r="2281" spans="1:21">
      <c r="A2281" s="41">
        <v>393</v>
      </c>
      <c r="B2281" s="41" t="s">
        <v>7256</v>
      </c>
      <c r="D2281" s="41">
        <v>1826</v>
      </c>
      <c r="E2281" s="41" t="s">
        <v>7257</v>
      </c>
      <c r="F2281" s="41" t="s">
        <v>28</v>
      </c>
      <c r="G2281" s="41" t="s">
        <v>307</v>
      </c>
      <c r="I2281" s="41" t="s">
        <v>464</v>
      </c>
      <c r="J2281" s="41" t="s">
        <v>380</v>
      </c>
      <c r="K2281" s="42"/>
      <c r="L2281" s="41" t="s">
        <v>7258</v>
      </c>
      <c r="M2281" s="41">
        <v>220</v>
      </c>
      <c r="N2281" s="41" t="s">
        <v>488</v>
      </c>
      <c r="O2281" s="41" t="s">
        <v>488</v>
      </c>
      <c r="P2281" s="41" t="s">
        <v>179</v>
      </c>
      <c r="Q2281" s="41" t="s">
        <v>1116</v>
      </c>
      <c r="R2281" s="41" t="s">
        <v>39</v>
      </c>
      <c r="S2281" s="41" t="s">
        <v>40</v>
      </c>
      <c r="T2281" s="41" t="s">
        <v>7259</v>
      </c>
      <c r="U2281" s="41" t="s">
        <v>40</v>
      </c>
    </row>
    <row r="2282" spans="1:21">
      <c r="A2282" s="41">
        <v>391</v>
      </c>
      <c r="B2282" s="41" t="s">
        <v>501</v>
      </c>
      <c r="D2282" s="41">
        <v>1829</v>
      </c>
      <c r="E2282" s="41" t="s">
        <v>27</v>
      </c>
      <c r="F2282" s="41" t="s">
        <v>28</v>
      </c>
      <c r="G2282" s="41" t="s">
        <v>64</v>
      </c>
      <c r="I2282" s="41" t="s">
        <v>194</v>
      </c>
      <c r="J2282" s="41" t="s">
        <v>295</v>
      </c>
      <c r="K2282" s="42"/>
      <c r="L2282" s="41" t="s">
        <v>504</v>
      </c>
      <c r="M2282" s="41">
        <v>23</v>
      </c>
      <c r="N2282" s="41" t="s">
        <v>395</v>
      </c>
      <c r="O2282" s="41" t="s">
        <v>488</v>
      </c>
      <c r="P2282" s="41" t="s">
        <v>98</v>
      </c>
      <c r="Q2282" s="41" t="s">
        <v>370</v>
      </c>
      <c r="R2282" s="41" t="s">
        <v>39</v>
      </c>
      <c r="S2282" s="41" t="s">
        <v>505</v>
      </c>
      <c r="T2282" s="41" t="s">
        <v>506</v>
      </c>
      <c r="U2282" s="41" t="s">
        <v>40</v>
      </c>
    </row>
    <row r="2283" spans="1:21">
      <c r="A2283" s="41">
        <v>387</v>
      </c>
      <c r="B2283" s="41" t="s">
        <v>7260</v>
      </c>
      <c r="D2283" s="41">
        <v>1828</v>
      </c>
      <c r="E2283" s="41" t="s">
        <v>7261</v>
      </c>
      <c r="F2283" s="41" t="s">
        <v>28</v>
      </c>
      <c r="G2283" s="41" t="s">
        <v>64</v>
      </c>
      <c r="I2283" s="41" t="s">
        <v>194</v>
      </c>
      <c r="J2283" s="41" t="s">
        <v>295</v>
      </c>
      <c r="K2283" s="42"/>
      <c r="L2283" s="41" t="s">
        <v>7262</v>
      </c>
      <c r="M2283" s="41">
        <v>23</v>
      </c>
      <c r="N2283" s="41" t="s">
        <v>488</v>
      </c>
      <c r="O2283" s="41" t="s">
        <v>488</v>
      </c>
      <c r="P2283" s="41" t="s">
        <v>172</v>
      </c>
      <c r="Q2283" s="41" t="s">
        <v>1104</v>
      </c>
      <c r="R2283" s="41" t="s">
        <v>39</v>
      </c>
      <c r="S2283" s="41" t="s">
        <v>40</v>
      </c>
      <c r="T2283" s="41" t="s">
        <v>40</v>
      </c>
      <c r="U2283" s="41" t="s">
        <v>40</v>
      </c>
    </row>
    <row r="2284" spans="1:21">
      <c r="A2284" s="41">
        <v>392</v>
      </c>
      <c r="B2284" s="41" t="s">
        <v>285</v>
      </c>
      <c r="D2284" s="41">
        <v>1830</v>
      </c>
      <c r="E2284" s="41" t="s">
        <v>27</v>
      </c>
      <c r="F2284" s="41" t="s">
        <v>28</v>
      </c>
      <c r="G2284" s="41" t="s">
        <v>64</v>
      </c>
      <c r="I2284" s="41" t="s">
        <v>194</v>
      </c>
      <c r="J2284" s="41" t="s">
        <v>295</v>
      </c>
      <c r="K2284" s="42"/>
      <c r="L2284" s="41" t="s">
        <v>289</v>
      </c>
      <c r="M2284" s="41">
        <v>23</v>
      </c>
      <c r="N2284" s="41" t="s">
        <v>395</v>
      </c>
      <c r="O2284" s="41" t="s">
        <v>488</v>
      </c>
      <c r="P2284" s="41" t="s">
        <v>98</v>
      </c>
      <c r="Q2284" s="41" t="s">
        <v>116</v>
      </c>
      <c r="R2284" s="41" t="s">
        <v>39</v>
      </c>
      <c r="S2284" s="41" t="s">
        <v>40</v>
      </c>
      <c r="T2284" s="41" t="s">
        <v>508</v>
      </c>
      <c r="U2284" s="41" t="s">
        <v>509</v>
      </c>
    </row>
    <row r="2285" spans="1:21">
      <c r="A2285" s="41">
        <v>388</v>
      </c>
      <c r="B2285" s="41" t="s">
        <v>7263</v>
      </c>
      <c r="D2285" s="41">
        <v>1824</v>
      </c>
      <c r="E2285" s="41" t="s">
        <v>3831</v>
      </c>
      <c r="F2285" s="41" t="s">
        <v>53</v>
      </c>
      <c r="G2285" s="41" t="s">
        <v>64</v>
      </c>
      <c r="I2285" s="41" t="s">
        <v>1425</v>
      </c>
      <c r="J2285" s="41" t="s">
        <v>672</v>
      </c>
      <c r="K2285" s="42"/>
      <c r="L2285" s="41" t="s">
        <v>7264</v>
      </c>
      <c r="M2285" s="41">
        <v>0</v>
      </c>
      <c r="N2285" s="41" t="s">
        <v>488</v>
      </c>
      <c r="O2285" s="41" t="s">
        <v>488</v>
      </c>
      <c r="P2285" s="41" t="s">
        <v>37</v>
      </c>
      <c r="Q2285" s="41" t="s">
        <v>1960</v>
      </c>
      <c r="R2285" s="41" t="s">
        <v>132</v>
      </c>
      <c r="S2285" s="41" t="s">
        <v>40</v>
      </c>
      <c r="T2285" s="41" t="s">
        <v>40</v>
      </c>
      <c r="U2285" s="41" t="s">
        <v>40</v>
      </c>
    </row>
    <row r="2286" spans="1:21">
      <c r="A2286" s="41">
        <v>383</v>
      </c>
      <c r="B2286" s="41" t="s">
        <v>7265</v>
      </c>
      <c r="D2286" s="41">
        <v>1825</v>
      </c>
      <c r="E2286" s="41" t="s">
        <v>4746</v>
      </c>
      <c r="F2286" s="41" t="s">
        <v>28</v>
      </c>
      <c r="G2286" s="41" t="s">
        <v>64</v>
      </c>
      <c r="I2286" s="41" t="s">
        <v>3393</v>
      </c>
      <c r="J2286" s="41" t="s">
        <v>295</v>
      </c>
      <c r="K2286" s="42"/>
      <c r="L2286" s="41" t="s">
        <v>7266</v>
      </c>
      <c r="M2286" s="41">
        <v>220</v>
      </c>
      <c r="N2286" s="41" t="s">
        <v>7267</v>
      </c>
      <c r="O2286" s="41" t="s">
        <v>488</v>
      </c>
      <c r="P2286" s="41" t="s">
        <v>179</v>
      </c>
      <c r="Q2286" s="41" t="s">
        <v>284</v>
      </c>
      <c r="R2286" s="41" t="s">
        <v>39</v>
      </c>
      <c r="S2286" s="41" t="s">
        <v>40</v>
      </c>
      <c r="T2286" s="41" t="s">
        <v>40</v>
      </c>
      <c r="U2286" s="41" t="s">
        <v>40</v>
      </c>
    </row>
    <row r="2287" spans="1:21">
      <c r="A2287" s="41">
        <v>384</v>
      </c>
      <c r="B2287" s="41" t="s">
        <v>6908</v>
      </c>
      <c r="D2287" s="41">
        <v>1827</v>
      </c>
      <c r="E2287" s="41" t="s">
        <v>4746</v>
      </c>
      <c r="F2287" s="41" t="s">
        <v>28</v>
      </c>
      <c r="G2287" s="41" t="s">
        <v>64</v>
      </c>
      <c r="I2287" s="41" t="s">
        <v>7268</v>
      </c>
      <c r="J2287" s="41" t="s">
        <v>295</v>
      </c>
      <c r="K2287" s="42"/>
      <c r="L2287" s="41" t="s">
        <v>7269</v>
      </c>
      <c r="M2287" s="41">
        <v>220</v>
      </c>
      <c r="N2287" s="41" t="s">
        <v>7270</v>
      </c>
      <c r="O2287" s="41" t="s">
        <v>488</v>
      </c>
      <c r="P2287" s="41" t="s">
        <v>179</v>
      </c>
      <c r="Q2287" s="41" t="s">
        <v>1116</v>
      </c>
      <c r="R2287" s="41" t="s">
        <v>39</v>
      </c>
      <c r="S2287" s="41" t="s">
        <v>40</v>
      </c>
      <c r="T2287" s="41" t="s">
        <v>40</v>
      </c>
      <c r="U2287" s="41" t="s">
        <v>40</v>
      </c>
    </row>
    <row r="2288" spans="1:21">
      <c r="A2288" s="41">
        <v>385</v>
      </c>
      <c r="B2288" s="41" t="s">
        <v>7271</v>
      </c>
      <c r="D2288" s="41">
        <v>1831</v>
      </c>
      <c r="E2288" s="41" t="s">
        <v>7272</v>
      </c>
      <c r="F2288" s="41" t="s">
        <v>28</v>
      </c>
      <c r="G2288" s="41" t="s">
        <v>64</v>
      </c>
      <c r="I2288" s="41" t="s">
        <v>426</v>
      </c>
      <c r="J2288" s="41" t="s">
        <v>295</v>
      </c>
      <c r="K2288" s="42"/>
      <c r="L2288" s="41" t="s">
        <v>7203</v>
      </c>
      <c r="M2288" s="41">
        <v>23</v>
      </c>
      <c r="N2288" s="41" t="s">
        <v>488</v>
      </c>
      <c r="O2288" s="41" t="s">
        <v>488</v>
      </c>
      <c r="P2288" s="41" t="s">
        <v>78</v>
      </c>
      <c r="Q2288" s="41" t="s">
        <v>1065</v>
      </c>
      <c r="R2288" s="41" t="s">
        <v>39</v>
      </c>
      <c r="S2288" s="41" t="s">
        <v>40</v>
      </c>
      <c r="T2288" s="41" t="s">
        <v>40</v>
      </c>
      <c r="U2288" s="41" t="s">
        <v>40</v>
      </c>
    </row>
    <row r="2289" spans="1:21">
      <c r="A2289" s="41">
        <v>386</v>
      </c>
      <c r="B2289" s="41" t="s">
        <v>7273</v>
      </c>
      <c r="D2289" s="41">
        <v>1832</v>
      </c>
      <c r="E2289" s="41" t="s">
        <v>6378</v>
      </c>
      <c r="F2289" s="41" t="s">
        <v>28</v>
      </c>
      <c r="G2289" s="41" t="s">
        <v>64</v>
      </c>
      <c r="I2289" s="41" t="s">
        <v>2572</v>
      </c>
      <c r="J2289" s="41" t="s">
        <v>295</v>
      </c>
      <c r="K2289" s="42"/>
      <c r="L2289" s="41" t="s">
        <v>7274</v>
      </c>
      <c r="M2289" s="41">
        <v>220</v>
      </c>
      <c r="N2289" s="41" t="s">
        <v>488</v>
      </c>
      <c r="O2289" s="41" t="s">
        <v>488</v>
      </c>
      <c r="P2289" s="41" t="s">
        <v>98</v>
      </c>
      <c r="Q2289" s="41" t="s">
        <v>99</v>
      </c>
      <c r="R2289" s="41" t="s">
        <v>39</v>
      </c>
      <c r="S2289" s="41" t="s">
        <v>40</v>
      </c>
      <c r="T2289" s="41" t="s">
        <v>40</v>
      </c>
      <c r="U2289" s="41" t="s">
        <v>40</v>
      </c>
    </row>
    <row r="2290" spans="1:21">
      <c r="A2290" s="41">
        <v>379</v>
      </c>
      <c r="B2290" s="41" t="s">
        <v>7211</v>
      </c>
      <c r="D2290" s="41">
        <v>1822</v>
      </c>
      <c r="E2290" s="41" t="s">
        <v>6029</v>
      </c>
      <c r="F2290" s="41" t="s">
        <v>53</v>
      </c>
      <c r="G2290" s="41" t="s">
        <v>64</v>
      </c>
      <c r="I2290" s="41" t="s">
        <v>1142</v>
      </c>
      <c r="J2290" s="41" t="s">
        <v>295</v>
      </c>
      <c r="K2290" s="42"/>
      <c r="L2290" s="41" t="s">
        <v>7022</v>
      </c>
      <c r="M2290" s="41">
        <v>23</v>
      </c>
      <c r="N2290" s="41" t="s">
        <v>59</v>
      </c>
      <c r="O2290" s="41" t="s">
        <v>291</v>
      </c>
      <c r="P2290" s="41" t="s">
        <v>179</v>
      </c>
      <c r="Q2290" s="41" t="s">
        <v>524</v>
      </c>
      <c r="R2290" s="41" t="s">
        <v>132</v>
      </c>
      <c r="S2290" s="41" t="s">
        <v>40</v>
      </c>
      <c r="T2290" s="41" t="s">
        <v>40</v>
      </c>
      <c r="U2290" s="41" t="s">
        <v>40</v>
      </c>
    </row>
    <row r="2291" spans="1:21">
      <c r="A2291" s="41">
        <v>380</v>
      </c>
      <c r="B2291" s="41" t="s">
        <v>7200</v>
      </c>
      <c r="D2291" s="41">
        <v>1823</v>
      </c>
      <c r="E2291" s="41" t="s">
        <v>6029</v>
      </c>
      <c r="F2291" s="41" t="s">
        <v>53</v>
      </c>
      <c r="G2291" s="41" t="s">
        <v>64</v>
      </c>
      <c r="I2291" s="41" t="s">
        <v>194</v>
      </c>
      <c r="J2291" s="41" t="s">
        <v>295</v>
      </c>
      <c r="K2291" s="42"/>
      <c r="L2291" s="41" t="s">
        <v>7275</v>
      </c>
      <c r="M2291" s="41">
        <v>66</v>
      </c>
      <c r="N2291" s="41" t="s">
        <v>488</v>
      </c>
      <c r="O2291" s="41" t="s">
        <v>7201</v>
      </c>
      <c r="P2291" s="41" t="s">
        <v>60</v>
      </c>
      <c r="Q2291" s="41" t="s">
        <v>990</v>
      </c>
      <c r="R2291" s="41" t="s">
        <v>132</v>
      </c>
      <c r="S2291" s="41" t="s">
        <v>40</v>
      </c>
      <c r="T2291" s="41" t="s">
        <v>40</v>
      </c>
      <c r="U2291" s="41" t="s">
        <v>40</v>
      </c>
    </row>
    <row r="2292" spans="1:21">
      <c r="A2292" s="41">
        <v>382</v>
      </c>
      <c r="B2292" s="41" t="s">
        <v>7276</v>
      </c>
      <c r="D2292" s="41">
        <v>1816</v>
      </c>
      <c r="E2292" s="41" t="s">
        <v>3236</v>
      </c>
      <c r="F2292" s="41" t="s">
        <v>28</v>
      </c>
      <c r="G2292" s="41" t="s">
        <v>64</v>
      </c>
      <c r="I2292" s="41" t="s">
        <v>194</v>
      </c>
      <c r="J2292" s="41" t="s">
        <v>295</v>
      </c>
      <c r="K2292" s="42"/>
      <c r="L2292" s="41" t="s">
        <v>7277</v>
      </c>
      <c r="M2292" s="41">
        <v>23</v>
      </c>
      <c r="N2292" s="41" t="s">
        <v>962</v>
      </c>
      <c r="O2292" s="41" t="s">
        <v>488</v>
      </c>
      <c r="P2292" s="41" t="s">
        <v>50</v>
      </c>
      <c r="Q2292" s="41" t="s">
        <v>51</v>
      </c>
      <c r="R2292" s="41" t="s">
        <v>39</v>
      </c>
      <c r="S2292" s="41" t="s">
        <v>40</v>
      </c>
      <c r="T2292" s="41" t="s">
        <v>40</v>
      </c>
      <c r="U2292" s="41" t="s">
        <v>40</v>
      </c>
    </row>
    <row r="2293" spans="1:21">
      <c r="A2293" s="41">
        <v>378</v>
      </c>
      <c r="B2293" s="41" t="s">
        <v>7278</v>
      </c>
      <c r="D2293" s="41">
        <v>1812</v>
      </c>
      <c r="E2293" s="41" t="s">
        <v>1227</v>
      </c>
      <c r="F2293" s="41" t="s">
        <v>53</v>
      </c>
      <c r="G2293" s="41" t="s">
        <v>43</v>
      </c>
      <c r="I2293" s="41" t="s">
        <v>392</v>
      </c>
      <c r="J2293" s="41" t="s">
        <v>32</v>
      </c>
      <c r="K2293" s="42"/>
      <c r="L2293" s="41" t="s">
        <v>4175</v>
      </c>
      <c r="M2293" s="41">
        <v>220</v>
      </c>
      <c r="N2293" s="41" t="s">
        <v>697</v>
      </c>
      <c r="O2293" s="41" t="s">
        <v>7279</v>
      </c>
      <c r="P2293" s="41" t="s">
        <v>98</v>
      </c>
      <c r="Q2293" s="41" t="s">
        <v>569</v>
      </c>
      <c r="R2293" s="41" t="s">
        <v>62</v>
      </c>
      <c r="S2293" s="41" t="s">
        <v>40</v>
      </c>
      <c r="T2293" s="41" t="s">
        <v>40</v>
      </c>
      <c r="U2293" s="41" t="s">
        <v>40</v>
      </c>
    </row>
    <row r="2294" spans="1:21">
      <c r="A2294" s="41">
        <v>381</v>
      </c>
      <c r="B2294" s="41" t="s">
        <v>7280</v>
      </c>
      <c r="D2294" s="41">
        <v>1815</v>
      </c>
      <c r="E2294" s="41" t="s">
        <v>7281</v>
      </c>
      <c r="F2294" s="41" t="s">
        <v>28</v>
      </c>
      <c r="G2294" s="41" t="s">
        <v>307</v>
      </c>
      <c r="I2294" s="41" t="s">
        <v>1121</v>
      </c>
      <c r="J2294" s="41" t="s">
        <v>1906</v>
      </c>
      <c r="K2294" s="42"/>
      <c r="L2294" s="41" t="s">
        <v>7282</v>
      </c>
      <c r="M2294" s="41">
        <v>23</v>
      </c>
      <c r="N2294" s="41" t="s">
        <v>488</v>
      </c>
      <c r="O2294" s="41" t="s">
        <v>488</v>
      </c>
      <c r="P2294" s="41" t="s">
        <v>83</v>
      </c>
      <c r="Q2294" s="41" t="s">
        <v>1587</v>
      </c>
      <c r="R2294" s="41" t="s">
        <v>39</v>
      </c>
      <c r="S2294" s="41" t="s">
        <v>40</v>
      </c>
      <c r="T2294" s="41" t="s">
        <v>7185</v>
      </c>
      <c r="U2294" s="41" t="s">
        <v>40</v>
      </c>
    </row>
    <row r="2295" spans="1:21">
      <c r="A2295" s="41">
        <v>375</v>
      </c>
      <c r="B2295" s="41" t="s">
        <v>7283</v>
      </c>
      <c r="D2295" s="41">
        <v>1813</v>
      </c>
      <c r="E2295" s="41" t="s">
        <v>7284</v>
      </c>
      <c r="F2295" s="41" t="s">
        <v>53</v>
      </c>
      <c r="G2295" s="41" t="s">
        <v>141</v>
      </c>
      <c r="I2295" s="41" t="s">
        <v>7285</v>
      </c>
      <c r="J2295" s="41" t="s">
        <v>32</v>
      </c>
      <c r="K2295" s="42"/>
      <c r="L2295" s="41" t="s">
        <v>2950</v>
      </c>
      <c r="M2295" s="41">
        <v>500</v>
      </c>
      <c r="N2295" s="41" t="s">
        <v>488</v>
      </c>
      <c r="O2295" s="41" t="s">
        <v>488</v>
      </c>
      <c r="P2295" s="41" t="s">
        <v>98</v>
      </c>
      <c r="Q2295" s="41" t="s">
        <v>99</v>
      </c>
      <c r="R2295" s="41" t="s">
        <v>62</v>
      </c>
      <c r="S2295" s="41" t="s">
        <v>7286</v>
      </c>
      <c r="T2295" s="41" t="s">
        <v>604</v>
      </c>
      <c r="U2295" s="41" t="s">
        <v>2169</v>
      </c>
    </row>
    <row r="2296" spans="1:21">
      <c r="A2296" s="41">
        <v>372</v>
      </c>
      <c r="B2296" s="41" t="s">
        <v>510</v>
      </c>
      <c r="D2296" s="41">
        <v>1796</v>
      </c>
      <c r="E2296" s="41" t="s">
        <v>27</v>
      </c>
      <c r="F2296" s="41" t="s">
        <v>53</v>
      </c>
      <c r="G2296" s="41" t="s">
        <v>64</v>
      </c>
      <c r="I2296" s="41" t="s">
        <v>325</v>
      </c>
      <c r="J2296" s="41" t="s">
        <v>295</v>
      </c>
      <c r="K2296" s="42"/>
      <c r="L2296" s="41" t="s">
        <v>513</v>
      </c>
      <c r="M2296" s="41">
        <v>220</v>
      </c>
      <c r="N2296" s="41" t="s">
        <v>488</v>
      </c>
      <c r="O2296" s="41" t="s">
        <v>396</v>
      </c>
      <c r="P2296" s="41" t="s">
        <v>382</v>
      </c>
      <c r="Q2296" s="41" t="s">
        <v>383</v>
      </c>
      <c r="R2296" s="41" t="s">
        <v>62</v>
      </c>
      <c r="S2296" s="41" t="s">
        <v>40</v>
      </c>
      <c r="T2296" s="41" t="s">
        <v>40</v>
      </c>
      <c r="U2296" s="41" t="s">
        <v>40</v>
      </c>
    </row>
    <row r="2297" spans="1:21">
      <c r="A2297" s="41">
        <v>373</v>
      </c>
      <c r="B2297" s="41" t="s">
        <v>7287</v>
      </c>
      <c r="D2297" s="41">
        <v>1797</v>
      </c>
      <c r="E2297" s="41" t="s">
        <v>6845</v>
      </c>
      <c r="F2297" s="41" t="s">
        <v>53</v>
      </c>
      <c r="G2297" s="41" t="s">
        <v>64</v>
      </c>
      <c r="I2297" s="41" t="s">
        <v>7288</v>
      </c>
      <c r="J2297" s="41" t="s">
        <v>380</v>
      </c>
      <c r="K2297" s="42"/>
      <c r="L2297" s="41" t="s">
        <v>7289</v>
      </c>
      <c r="M2297" s="41">
        <v>220</v>
      </c>
      <c r="N2297" s="41" t="s">
        <v>340</v>
      </c>
      <c r="O2297" s="41" t="s">
        <v>7290</v>
      </c>
      <c r="P2297" s="41" t="s">
        <v>98</v>
      </c>
      <c r="Q2297" s="41" t="s">
        <v>491</v>
      </c>
      <c r="R2297" s="41" t="s">
        <v>62</v>
      </c>
      <c r="S2297" s="41" t="s">
        <v>40</v>
      </c>
      <c r="T2297" s="41" t="s">
        <v>40</v>
      </c>
      <c r="U2297" s="41" t="s">
        <v>40</v>
      </c>
    </row>
    <row r="2298" spans="1:21">
      <c r="A2298" s="41">
        <v>377</v>
      </c>
      <c r="B2298" s="41" t="s">
        <v>7291</v>
      </c>
      <c r="D2298" s="41">
        <v>1814</v>
      </c>
      <c r="E2298" s="41" t="s">
        <v>6845</v>
      </c>
      <c r="F2298" s="41" t="s">
        <v>53</v>
      </c>
      <c r="G2298" s="41" t="s">
        <v>64</v>
      </c>
      <c r="I2298" s="41" t="s">
        <v>162</v>
      </c>
      <c r="J2298" s="41" t="s">
        <v>380</v>
      </c>
      <c r="K2298" s="42"/>
      <c r="L2298" s="41" t="s">
        <v>7292</v>
      </c>
      <c r="M2298" s="41">
        <v>220</v>
      </c>
      <c r="N2298" s="41" t="s">
        <v>340</v>
      </c>
      <c r="O2298" s="41" t="s">
        <v>7293</v>
      </c>
      <c r="P2298" s="41" t="s">
        <v>37</v>
      </c>
      <c r="Q2298" s="41" t="s">
        <v>969</v>
      </c>
      <c r="R2298" s="41" t="s">
        <v>62</v>
      </c>
      <c r="S2298" s="41" t="s">
        <v>40</v>
      </c>
      <c r="T2298" s="41" t="s">
        <v>40</v>
      </c>
      <c r="U2298" s="41" t="s">
        <v>40</v>
      </c>
    </row>
    <row r="2299" spans="1:21">
      <c r="A2299" s="41">
        <v>371</v>
      </c>
      <c r="B2299" s="41" t="s">
        <v>7294</v>
      </c>
      <c r="D2299" s="41">
        <v>1793</v>
      </c>
      <c r="E2299" s="41" t="s">
        <v>6845</v>
      </c>
      <c r="F2299" s="41" t="s">
        <v>53</v>
      </c>
      <c r="G2299" s="41" t="s">
        <v>64</v>
      </c>
      <c r="I2299" s="41" t="s">
        <v>7295</v>
      </c>
      <c r="J2299" s="41" t="s">
        <v>380</v>
      </c>
      <c r="K2299" s="42"/>
      <c r="L2299" s="41" t="s">
        <v>5026</v>
      </c>
      <c r="M2299" s="41">
        <v>220</v>
      </c>
      <c r="N2299" s="41" t="s">
        <v>77</v>
      </c>
      <c r="O2299" s="41" t="s">
        <v>77</v>
      </c>
      <c r="P2299" s="41" t="s">
        <v>60</v>
      </c>
      <c r="Q2299" s="41" t="s">
        <v>419</v>
      </c>
      <c r="R2299" s="41" t="s">
        <v>132</v>
      </c>
      <c r="S2299" s="41" t="s">
        <v>40</v>
      </c>
      <c r="T2299" s="41" t="s">
        <v>40</v>
      </c>
      <c r="U2299" s="41" t="s">
        <v>40</v>
      </c>
    </row>
    <row r="2300" spans="1:21">
      <c r="A2300" s="41">
        <v>374</v>
      </c>
      <c r="B2300" s="41" t="s">
        <v>7296</v>
      </c>
      <c r="D2300" s="41">
        <v>1801</v>
      </c>
      <c r="E2300" s="41" t="s">
        <v>2554</v>
      </c>
      <c r="F2300" s="41" t="s">
        <v>53</v>
      </c>
      <c r="G2300" s="41" t="s">
        <v>307</v>
      </c>
      <c r="I2300" s="41" t="s">
        <v>488</v>
      </c>
      <c r="J2300" s="41" t="s">
        <v>7297</v>
      </c>
      <c r="K2300" s="42"/>
      <c r="L2300" s="41" t="s">
        <v>7298</v>
      </c>
      <c r="M2300" s="41">
        <v>154</v>
      </c>
      <c r="N2300" s="41" t="s">
        <v>395</v>
      </c>
      <c r="O2300" s="41" t="s">
        <v>2134</v>
      </c>
      <c r="P2300" s="41" t="s">
        <v>68</v>
      </c>
      <c r="Q2300" s="41" t="s">
        <v>159</v>
      </c>
      <c r="R2300" s="41" t="s">
        <v>132</v>
      </c>
      <c r="S2300" s="41" t="s">
        <v>7299</v>
      </c>
      <c r="T2300" s="41" t="s">
        <v>40</v>
      </c>
      <c r="U2300" s="41" t="s">
        <v>40</v>
      </c>
    </row>
    <row r="2301" spans="1:21">
      <c r="A2301" s="41">
        <v>376</v>
      </c>
      <c r="B2301" s="41" t="s">
        <v>7300</v>
      </c>
      <c r="D2301" s="41">
        <v>1798</v>
      </c>
      <c r="E2301" s="41" t="s">
        <v>6845</v>
      </c>
      <c r="F2301" s="41" t="s">
        <v>53</v>
      </c>
      <c r="G2301" s="41" t="s">
        <v>64</v>
      </c>
      <c r="I2301" s="41" t="s">
        <v>7081</v>
      </c>
      <c r="J2301" s="41" t="s">
        <v>380</v>
      </c>
      <c r="K2301" s="42"/>
      <c r="L2301" s="41" t="s">
        <v>7301</v>
      </c>
      <c r="M2301" s="41">
        <v>66</v>
      </c>
      <c r="N2301" s="41" t="s">
        <v>6634</v>
      </c>
      <c r="O2301" s="41" t="s">
        <v>7302</v>
      </c>
      <c r="P2301" s="41" t="s">
        <v>60</v>
      </c>
      <c r="Q2301" s="41" t="s">
        <v>963</v>
      </c>
      <c r="R2301" s="41" t="s">
        <v>132</v>
      </c>
      <c r="S2301" s="41" t="s">
        <v>40</v>
      </c>
      <c r="T2301" s="41" t="s">
        <v>40</v>
      </c>
      <c r="U2301" s="41" t="s">
        <v>40</v>
      </c>
    </row>
    <row r="2302" spans="1:21">
      <c r="A2302" s="41">
        <v>368</v>
      </c>
      <c r="B2302" s="41" t="s">
        <v>7303</v>
      </c>
      <c r="D2302" s="41">
        <v>1792</v>
      </c>
      <c r="E2302" s="41" t="s">
        <v>7304</v>
      </c>
      <c r="F2302" s="41" t="s">
        <v>53</v>
      </c>
      <c r="G2302" s="41" t="s">
        <v>64</v>
      </c>
      <c r="I2302" s="41" t="s">
        <v>973</v>
      </c>
      <c r="J2302" s="41" t="s">
        <v>295</v>
      </c>
      <c r="K2302" s="42"/>
      <c r="L2302" s="41" t="s">
        <v>545</v>
      </c>
      <c r="M2302" s="41">
        <v>220</v>
      </c>
      <c r="N2302" s="41" t="s">
        <v>488</v>
      </c>
      <c r="O2302" s="41" t="s">
        <v>4176</v>
      </c>
      <c r="P2302" s="41" t="s">
        <v>546</v>
      </c>
      <c r="Q2302" s="41" t="s">
        <v>547</v>
      </c>
      <c r="R2302" s="41" t="s">
        <v>62</v>
      </c>
      <c r="S2302" s="41" t="s">
        <v>40</v>
      </c>
      <c r="T2302" s="41" t="s">
        <v>40</v>
      </c>
      <c r="U2302" s="41" t="s">
        <v>40</v>
      </c>
    </row>
    <row r="2303" spans="1:21">
      <c r="A2303" s="41">
        <v>369</v>
      </c>
      <c r="B2303" s="41" t="s">
        <v>7305</v>
      </c>
      <c r="D2303" s="41">
        <v>1795</v>
      </c>
      <c r="E2303" s="41" t="s">
        <v>2639</v>
      </c>
      <c r="F2303" s="41" t="s">
        <v>53</v>
      </c>
      <c r="G2303" s="41" t="s">
        <v>141</v>
      </c>
      <c r="I2303" s="41" t="s">
        <v>162</v>
      </c>
      <c r="J2303" s="41" t="s">
        <v>32</v>
      </c>
      <c r="K2303" s="42"/>
      <c r="L2303" s="41" t="s">
        <v>5036</v>
      </c>
      <c r="M2303" s="41">
        <v>220</v>
      </c>
      <c r="N2303" s="41" t="s">
        <v>2432</v>
      </c>
      <c r="O2303" s="41" t="s">
        <v>794</v>
      </c>
      <c r="P2303" s="41" t="s">
        <v>172</v>
      </c>
      <c r="Q2303" s="41" t="s">
        <v>253</v>
      </c>
      <c r="R2303" s="41" t="s">
        <v>132</v>
      </c>
      <c r="S2303" s="41" t="s">
        <v>7306</v>
      </c>
      <c r="T2303" s="41" t="s">
        <v>2246</v>
      </c>
      <c r="U2303" s="41" t="s">
        <v>1289</v>
      </c>
    </row>
    <row r="2304" spans="1:21">
      <c r="A2304" s="41">
        <v>370</v>
      </c>
      <c r="B2304" s="41" t="s">
        <v>7307</v>
      </c>
      <c r="D2304" s="41">
        <v>1800</v>
      </c>
      <c r="E2304" s="41" t="s">
        <v>1613</v>
      </c>
      <c r="F2304" s="41" t="s">
        <v>53</v>
      </c>
      <c r="G2304" s="41" t="s">
        <v>43</v>
      </c>
      <c r="I2304" s="41" t="s">
        <v>194</v>
      </c>
      <c r="J2304" s="41" t="s">
        <v>295</v>
      </c>
      <c r="K2304" s="42"/>
      <c r="L2304" s="41" t="s">
        <v>7308</v>
      </c>
      <c r="M2304" s="41">
        <v>66</v>
      </c>
      <c r="N2304" s="41" t="s">
        <v>67</v>
      </c>
      <c r="O2304" s="41" t="s">
        <v>488</v>
      </c>
      <c r="P2304" s="41" t="s">
        <v>60</v>
      </c>
      <c r="Q2304" s="41" t="s">
        <v>6025</v>
      </c>
      <c r="R2304" s="41" t="s">
        <v>132</v>
      </c>
      <c r="S2304" s="41" t="s">
        <v>40</v>
      </c>
      <c r="T2304" s="41" t="s">
        <v>40</v>
      </c>
      <c r="U2304" s="41" t="s">
        <v>40</v>
      </c>
    </row>
    <row r="2305" spans="1:21">
      <c r="A2305" s="41">
        <v>366</v>
      </c>
      <c r="B2305" s="41" t="s">
        <v>7309</v>
      </c>
      <c r="D2305" s="41">
        <v>1794</v>
      </c>
      <c r="E2305" s="41" t="s">
        <v>2365</v>
      </c>
      <c r="F2305" s="41" t="s">
        <v>53</v>
      </c>
      <c r="G2305" s="41" t="s">
        <v>307</v>
      </c>
      <c r="I2305" s="41" t="s">
        <v>7310</v>
      </c>
      <c r="J2305" s="41" t="s">
        <v>380</v>
      </c>
      <c r="K2305" s="42"/>
      <c r="L2305" s="41" t="s">
        <v>2950</v>
      </c>
      <c r="M2305" s="41">
        <v>500</v>
      </c>
      <c r="N2305" s="41" t="s">
        <v>488</v>
      </c>
      <c r="O2305" s="41" t="s">
        <v>488</v>
      </c>
      <c r="P2305" s="41" t="s">
        <v>98</v>
      </c>
      <c r="Q2305" s="41" t="s">
        <v>99</v>
      </c>
      <c r="R2305" s="41" t="s">
        <v>62</v>
      </c>
      <c r="S2305" s="41" t="s">
        <v>7311</v>
      </c>
      <c r="T2305" s="41" t="s">
        <v>604</v>
      </c>
      <c r="U2305" s="41" t="s">
        <v>1773</v>
      </c>
    </row>
    <row r="2306" spans="1:21">
      <c r="A2306" s="41">
        <v>367</v>
      </c>
      <c r="B2306" s="41" t="s">
        <v>7312</v>
      </c>
      <c r="D2306" s="41">
        <v>1799</v>
      </c>
      <c r="E2306" s="41" t="s">
        <v>2611</v>
      </c>
      <c r="F2306" s="41" t="s">
        <v>53</v>
      </c>
      <c r="G2306" s="41" t="s">
        <v>64</v>
      </c>
      <c r="I2306" s="41" t="s">
        <v>338</v>
      </c>
      <c r="J2306" s="41" t="s">
        <v>295</v>
      </c>
      <c r="K2306" s="42"/>
      <c r="L2306" s="41" t="s">
        <v>3597</v>
      </c>
      <c r="M2306" s="41">
        <v>220</v>
      </c>
      <c r="N2306" s="41" t="s">
        <v>6177</v>
      </c>
      <c r="O2306" s="41" t="s">
        <v>5858</v>
      </c>
      <c r="P2306" s="41" t="s">
        <v>98</v>
      </c>
      <c r="Q2306" s="41" t="s">
        <v>116</v>
      </c>
      <c r="R2306" s="41" t="s">
        <v>62</v>
      </c>
      <c r="S2306" s="41" t="s">
        <v>7313</v>
      </c>
      <c r="T2306" s="41" t="s">
        <v>4720</v>
      </c>
      <c r="U2306" s="41" t="s">
        <v>40</v>
      </c>
    </row>
    <row r="2307" spans="1:21">
      <c r="A2307" s="41">
        <v>330</v>
      </c>
      <c r="B2307" s="41" t="s">
        <v>7314</v>
      </c>
      <c r="D2307" s="41">
        <v>1779</v>
      </c>
      <c r="E2307" s="41" t="s">
        <v>1076</v>
      </c>
      <c r="F2307" s="41" t="s">
        <v>53</v>
      </c>
      <c r="G2307" s="41" t="s">
        <v>141</v>
      </c>
      <c r="I2307" s="41" t="s">
        <v>406</v>
      </c>
      <c r="J2307" s="41" t="s">
        <v>32</v>
      </c>
      <c r="K2307" s="42"/>
      <c r="L2307" s="41" t="s">
        <v>4248</v>
      </c>
      <c r="M2307" s="41">
        <v>66</v>
      </c>
      <c r="N2307" s="41" t="s">
        <v>7315</v>
      </c>
      <c r="O2307" s="41" t="s">
        <v>1151</v>
      </c>
      <c r="P2307" s="41" t="s">
        <v>334</v>
      </c>
      <c r="Q2307" s="41" t="s">
        <v>423</v>
      </c>
      <c r="R2307" s="41" t="s">
        <v>132</v>
      </c>
      <c r="S2307" s="41" t="s">
        <v>7316</v>
      </c>
      <c r="T2307" s="41" t="s">
        <v>2187</v>
      </c>
      <c r="U2307" s="41" t="s">
        <v>40</v>
      </c>
    </row>
    <row r="2308" spans="1:21">
      <c r="A2308" s="41">
        <v>331</v>
      </c>
      <c r="B2308" s="41" t="s">
        <v>7317</v>
      </c>
      <c r="D2308" s="41">
        <v>1780</v>
      </c>
      <c r="E2308" s="41" t="s">
        <v>1076</v>
      </c>
      <c r="F2308" s="41" t="s">
        <v>53</v>
      </c>
      <c r="G2308" s="41" t="s">
        <v>64</v>
      </c>
      <c r="I2308" s="41" t="s">
        <v>1142</v>
      </c>
      <c r="J2308" s="41" t="s">
        <v>295</v>
      </c>
      <c r="K2308" s="42"/>
      <c r="L2308" s="41" t="s">
        <v>7318</v>
      </c>
      <c r="M2308" s="41">
        <v>138</v>
      </c>
      <c r="N2308" s="41" t="s">
        <v>77</v>
      </c>
      <c r="O2308" s="41" t="s">
        <v>77</v>
      </c>
      <c r="P2308" s="41" t="s">
        <v>60</v>
      </c>
      <c r="Q2308" s="41" t="s">
        <v>3869</v>
      </c>
      <c r="R2308" s="41" t="s">
        <v>132</v>
      </c>
      <c r="S2308" s="41" t="s">
        <v>40</v>
      </c>
      <c r="T2308" s="41" t="s">
        <v>40</v>
      </c>
      <c r="U2308" s="41" t="s">
        <v>40</v>
      </c>
    </row>
    <row r="2309" spans="1:21">
      <c r="A2309" s="41">
        <v>329</v>
      </c>
      <c r="B2309" s="41" t="s">
        <v>6126</v>
      </c>
      <c r="D2309" s="41">
        <v>1778</v>
      </c>
      <c r="E2309" s="41" t="s">
        <v>1227</v>
      </c>
      <c r="F2309" s="41" t="s">
        <v>53</v>
      </c>
      <c r="G2309" s="41" t="s">
        <v>64</v>
      </c>
      <c r="I2309" s="41" t="s">
        <v>7319</v>
      </c>
      <c r="J2309" s="41" t="s">
        <v>380</v>
      </c>
      <c r="K2309" s="42"/>
      <c r="L2309" s="41" t="s">
        <v>103</v>
      </c>
      <c r="M2309" s="41">
        <v>220</v>
      </c>
      <c r="N2309" s="41" t="s">
        <v>719</v>
      </c>
      <c r="O2309" s="41" t="s">
        <v>3173</v>
      </c>
      <c r="P2309" s="41" t="s">
        <v>98</v>
      </c>
      <c r="Q2309" s="41" t="s">
        <v>99</v>
      </c>
      <c r="R2309" s="41" t="s">
        <v>62</v>
      </c>
      <c r="S2309" s="41" t="s">
        <v>40</v>
      </c>
      <c r="T2309" s="41" t="s">
        <v>40</v>
      </c>
      <c r="U2309" s="41" t="s">
        <v>40</v>
      </c>
    </row>
    <row r="2310" spans="1:21">
      <c r="A2310" s="41">
        <v>325</v>
      </c>
      <c r="B2310" s="41" t="s">
        <v>7320</v>
      </c>
      <c r="D2310" s="41">
        <v>1777</v>
      </c>
      <c r="E2310" s="41" t="s">
        <v>1227</v>
      </c>
      <c r="F2310" s="41" t="s">
        <v>53</v>
      </c>
      <c r="G2310" s="41" t="s">
        <v>64</v>
      </c>
      <c r="I2310" s="41" t="s">
        <v>5735</v>
      </c>
      <c r="J2310" s="41" t="s">
        <v>380</v>
      </c>
      <c r="K2310" s="42"/>
      <c r="L2310" s="41" t="s">
        <v>103</v>
      </c>
      <c r="M2310" s="41">
        <v>220</v>
      </c>
      <c r="N2310" s="41" t="s">
        <v>719</v>
      </c>
      <c r="O2310" s="41" t="s">
        <v>6981</v>
      </c>
      <c r="P2310" s="41" t="s">
        <v>98</v>
      </c>
      <c r="Q2310" s="41" t="s">
        <v>99</v>
      </c>
      <c r="R2310" s="41" t="s">
        <v>62</v>
      </c>
      <c r="S2310" s="41" t="s">
        <v>40</v>
      </c>
      <c r="T2310" s="41" t="s">
        <v>40</v>
      </c>
      <c r="U2310" s="41" t="s">
        <v>40</v>
      </c>
    </row>
    <row r="2311" spans="1:21">
      <c r="A2311" s="41">
        <v>326</v>
      </c>
      <c r="B2311" s="41" t="s">
        <v>7321</v>
      </c>
      <c r="D2311" s="41">
        <v>1771</v>
      </c>
      <c r="E2311" s="41" t="s">
        <v>1395</v>
      </c>
      <c r="F2311" s="41" t="s">
        <v>53</v>
      </c>
      <c r="G2311" s="41" t="s">
        <v>64</v>
      </c>
      <c r="I2311" s="41" t="s">
        <v>7322</v>
      </c>
      <c r="J2311" s="41" t="s">
        <v>380</v>
      </c>
      <c r="K2311" s="42"/>
      <c r="L2311" s="41" t="s">
        <v>7323</v>
      </c>
      <c r="M2311" s="41">
        <v>220</v>
      </c>
      <c r="N2311" s="41" t="s">
        <v>7324</v>
      </c>
      <c r="O2311" s="41" t="s">
        <v>2041</v>
      </c>
      <c r="P2311" s="41" t="s">
        <v>83</v>
      </c>
      <c r="Q2311" s="41" t="s">
        <v>3297</v>
      </c>
      <c r="R2311" s="41" t="s">
        <v>132</v>
      </c>
      <c r="S2311" s="41" t="s">
        <v>40</v>
      </c>
      <c r="T2311" s="41" t="s">
        <v>40</v>
      </c>
      <c r="U2311" s="41" t="s">
        <v>40</v>
      </c>
    </row>
    <row r="2312" spans="1:21">
      <c r="A2312" s="41">
        <v>324</v>
      </c>
      <c r="B2312" s="41" t="s">
        <v>7325</v>
      </c>
      <c r="D2312" s="41">
        <v>1770</v>
      </c>
      <c r="E2312" s="41" t="s">
        <v>7326</v>
      </c>
      <c r="F2312" s="41" t="s">
        <v>53</v>
      </c>
      <c r="G2312" s="41" t="s">
        <v>64</v>
      </c>
      <c r="I2312" s="41" t="s">
        <v>162</v>
      </c>
      <c r="J2312" s="41" t="s">
        <v>672</v>
      </c>
      <c r="K2312" s="42"/>
      <c r="L2312" s="41" t="s">
        <v>7327</v>
      </c>
      <c r="M2312" s="41">
        <v>220</v>
      </c>
      <c r="N2312" s="41" t="s">
        <v>7328</v>
      </c>
      <c r="O2312" s="41" t="s">
        <v>271</v>
      </c>
      <c r="P2312" s="41" t="s">
        <v>78</v>
      </c>
      <c r="Q2312" s="41" t="s">
        <v>6924</v>
      </c>
      <c r="R2312" s="41" t="s">
        <v>62</v>
      </c>
      <c r="S2312" s="41" t="s">
        <v>40</v>
      </c>
      <c r="T2312" s="41" t="s">
        <v>40</v>
      </c>
      <c r="U2312" s="41" t="s">
        <v>40</v>
      </c>
    </row>
    <row r="2313" spans="1:21">
      <c r="A2313" s="41">
        <v>327</v>
      </c>
      <c r="B2313" s="41" t="s">
        <v>7329</v>
      </c>
      <c r="D2313" s="41">
        <v>1772</v>
      </c>
      <c r="E2313" s="41" t="s">
        <v>1227</v>
      </c>
      <c r="F2313" s="41" t="s">
        <v>53</v>
      </c>
      <c r="G2313" s="41" t="s">
        <v>141</v>
      </c>
      <c r="I2313" s="41" t="s">
        <v>392</v>
      </c>
      <c r="J2313" s="41" t="s">
        <v>295</v>
      </c>
      <c r="K2313" s="42"/>
      <c r="L2313" s="41" t="s">
        <v>545</v>
      </c>
      <c r="M2313" s="41">
        <v>220</v>
      </c>
      <c r="N2313" s="41" t="s">
        <v>719</v>
      </c>
      <c r="O2313" s="41" t="s">
        <v>4799</v>
      </c>
      <c r="P2313" s="41" t="s">
        <v>546</v>
      </c>
      <c r="Q2313" s="41" t="s">
        <v>547</v>
      </c>
      <c r="R2313" s="41" t="s">
        <v>62</v>
      </c>
      <c r="S2313" s="41" t="s">
        <v>7330</v>
      </c>
      <c r="T2313" s="41" t="s">
        <v>1621</v>
      </c>
      <c r="U2313" s="41" t="s">
        <v>40</v>
      </c>
    </row>
    <row r="2314" spans="1:21">
      <c r="A2314" s="41">
        <v>328</v>
      </c>
      <c r="B2314" s="41" t="s">
        <v>514</v>
      </c>
      <c r="D2314" s="41">
        <v>1773</v>
      </c>
      <c r="E2314" s="41" t="s">
        <v>27</v>
      </c>
      <c r="F2314" s="41" t="s">
        <v>53</v>
      </c>
      <c r="G2314" s="41" t="s">
        <v>64</v>
      </c>
      <c r="I2314" s="41" t="s">
        <v>194</v>
      </c>
      <c r="J2314" s="41" t="s">
        <v>295</v>
      </c>
      <c r="K2314" s="42"/>
      <c r="L2314" s="41" t="s">
        <v>517</v>
      </c>
      <c r="M2314" s="41">
        <v>132</v>
      </c>
      <c r="N2314" s="41" t="s">
        <v>395</v>
      </c>
      <c r="O2314" s="41" t="s">
        <v>488</v>
      </c>
      <c r="P2314" s="41" t="s">
        <v>60</v>
      </c>
      <c r="Q2314" s="41" t="s">
        <v>61</v>
      </c>
      <c r="R2314" s="41" t="s">
        <v>132</v>
      </c>
      <c r="S2314" s="41" t="s">
        <v>40</v>
      </c>
      <c r="T2314" s="41" t="s">
        <v>40</v>
      </c>
      <c r="U2314" s="41" t="s">
        <v>40</v>
      </c>
    </row>
    <row r="2315" spans="1:21">
      <c r="A2315" s="41">
        <v>322</v>
      </c>
      <c r="B2315" s="41" t="s">
        <v>7331</v>
      </c>
      <c r="D2315" s="41">
        <v>1768</v>
      </c>
      <c r="E2315" s="41" t="s">
        <v>2405</v>
      </c>
      <c r="F2315" s="41" t="s">
        <v>53</v>
      </c>
      <c r="G2315" s="41" t="s">
        <v>64</v>
      </c>
      <c r="I2315" s="41" t="s">
        <v>411</v>
      </c>
      <c r="J2315" s="41" t="s">
        <v>295</v>
      </c>
      <c r="K2315" s="42"/>
      <c r="L2315" s="41" t="s">
        <v>7152</v>
      </c>
      <c r="M2315" s="41">
        <v>66</v>
      </c>
      <c r="N2315" s="41" t="s">
        <v>6098</v>
      </c>
      <c r="O2315" s="41" t="s">
        <v>77</v>
      </c>
      <c r="P2315" s="41" t="s">
        <v>37</v>
      </c>
      <c r="Q2315" s="41" t="s">
        <v>969</v>
      </c>
      <c r="R2315" s="41" t="s">
        <v>132</v>
      </c>
      <c r="S2315" s="41" t="s">
        <v>40</v>
      </c>
      <c r="T2315" s="41" t="s">
        <v>40</v>
      </c>
      <c r="U2315" s="41" t="s">
        <v>40</v>
      </c>
    </row>
    <row r="2316" spans="1:21">
      <c r="A2316" s="41">
        <v>323</v>
      </c>
      <c r="B2316" s="41" t="s">
        <v>7332</v>
      </c>
      <c r="D2316" s="41">
        <v>1769</v>
      </c>
      <c r="E2316" s="41" t="s">
        <v>7333</v>
      </c>
      <c r="F2316" s="41" t="s">
        <v>53</v>
      </c>
      <c r="G2316" s="41" t="s">
        <v>1071</v>
      </c>
      <c r="I2316" s="41" t="s">
        <v>521</v>
      </c>
      <c r="J2316" s="41" t="s">
        <v>672</v>
      </c>
      <c r="K2316" s="42"/>
      <c r="L2316" s="41" t="s">
        <v>6200</v>
      </c>
      <c r="M2316" s="41">
        <v>23</v>
      </c>
      <c r="N2316" s="41" t="s">
        <v>488</v>
      </c>
      <c r="O2316" s="41" t="s">
        <v>488</v>
      </c>
      <c r="P2316" s="41" t="s">
        <v>382</v>
      </c>
      <c r="Q2316" s="41" t="s">
        <v>3148</v>
      </c>
      <c r="R2316" s="41" t="s">
        <v>132</v>
      </c>
      <c r="S2316" s="41" t="s">
        <v>40</v>
      </c>
      <c r="T2316" s="41" t="s">
        <v>40</v>
      </c>
      <c r="U2316" s="41" t="s">
        <v>40</v>
      </c>
    </row>
    <row r="2317" spans="1:21">
      <c r="A2317" s="41">
        <v>321</v>
      </c>
      <c r="B2317" s="41" t="s">
        <v>518</v>
      </c>
      <c r="D2317" s="41">
        <v>1740</v>
      </c>
      <c r="E2317" s="41" t="s">
        <v>27</v>
      </c>
      <c r="F2317" s="41" t="s">
        <v>53</v>
      </c>
      <c r="G2317" s="41" t="s">
        <v>64</v>
      </c>
      <c r="I2317" s="41" t="s">
        <v>194</v>
      </c>
      <c r="J2317" s="41" t="s">
        <v>295</v>
      </c>
      <c r="K2317" s="42"/>
      <c r="L2317" s="41" t="s">
        <v>517</v>
      </c>
      <c r="M2317" s="41">
        <v>132</v>
      </c>
      <c r="N2317" s="41" t="s">
        <v>395</v>
      </c>
      <c r="O2317" s="41" t="s">
        <v>488</v>
      </c>
      <c r="P2317" s="41" t="s">
        <v>60</v>
      </c>
      <c r="Q2317" s="41" t="s">
        <v>61</v>
      </c>
      <c r="R2317" s="41" t="s">
        <v>132</v>
      </c>
      <c r="S2317" s="41" t="s">
        <v>40</v>
      </c>
      <c r="T2317" s="41" t="s">
        <v>40</v>
      </c>
      <c r="U2317" s="41" t="s">
        <v>40</v>
      </c>
    </row>
    <row r="2318" spans="1:21">
      <c r="A2318" s="41">
        <v>233</v>
      </c>
      <c r="B2318" s="41" t="s">
        <v>520</v>
      </c>
      <c r="D2318" s="41">
        <v>1741</v>
      </c>
      <c r="E2318" s="41" t="s">
        <v>27</v>
      </c>
      <c r="F2318" s="41" t="s">
        <v>28</v>
      </c>
      <c r="G2318" s="41" t="s">
        <v>307</v>
      </c>
      <c r="I2318" s="41" t="s">
        <v>521</v>
      </c>
      <c r="J2318" s="41" t="s">
        <v>295</v>
      </c>
      <c r="K2318" s="42"/>
      <c r="L2318" s="41" t="s">
        <v>523</v>
      </c>
      <c r="M2318" s="41">
        <v>23</v>
      </c>
      <c r="N2318" s="41" t="s">
        <v>395</v>
      </c>
      <c r="O2318" s="41" t="s">
        <v>488</v>
      </c>
      <c r="P2318" s="41" t="s">
        <v>179</v>
      </c>
      <c r="Q2318" s="41" t="s">
        <v>524</v>
      </c>
      <c r="R2318" s="41" t="s">
        <v>39</v>
      </c>
      <c r="S2318" s="41" t="s">
        <v>525</v>
      </c>
      <c r="T2318" s="41" t="s">
        <v>508</v>
      </c>
      <c r="U2318" s="41" t="s">
        <v>40</v>
      </c>
    </row>
    <row r="2319" spans="1:21">
      <c r="A2319" s="41">
        <v>234</v>
      </c>
      <c r="B2319" s="41" t="s">
        <v>526</v>
      </c>
      <c r="D2319" s="41">
        <v>1742</v>
      </c>
      <c r="E2319" s="41" t="s">
        <v>27</v>
      </c>
      <c r="F2319" s="41" t="s">
        <v>28</v>
      </c>
      <c r="G2319" s="41" t="s">
        <v>64</v>
      </c>
      <c r="I2319" s="41" t="s">
        <v>194</v>
      </c>
      <c r="J2319" s="41" t="s">
        <v>295</v>
      </c>
      <c r="K2319" s="42"/>
      <c r="L2319" s="41" t="s">
        <v>527</v>
      </c>
      <c r="M2319" s="41">
        <v>13</v>
      </c>
      <c r="N2319" s="41" t="s">
        <v>395</v>
      </c>
      <c r="O2319" s="41" t="s">
        <v>528</v>
      </c>
      <c r="P2319" s="41" t="s">
        <v>98</v>
      </c>
      <c r="Q2319" s="41" t="s">
        <v>98</v>
      </c>
      <c r="R2319" s="41" t="s">
        <v>39</v>
      </c>
      <c r="S2319" s="41" t="s">
        <v>529</v>
      </c>
      <c r="T2319" s="41" t="s">
        <v>506</v>
      </c>
      <c r="U2319" s="41" t="s">
        <v>40</v>
      </c>
    </row>
    <row r="2320" spans="1:21">
      <c r="A2320" s="41">
        <v>235</v>
      </c>
      <c r="B2320" s="41" t="s">
        <v>530</v>
      </c>
      <c r="D2320" s="41">
        <v>1743</v>
      </c>
      <c r="E2320" s="41" t="s">
        <v>27</v>
      </c>
      <c r="F2320" s="41" t="s">
        <v>28</v>
      </c>
      <c r="G2320" s="41" t="s">
        <v>43</v>
      </c>
      <c r="I2320" s="41" t="s">
        <v>194</v>
      </c>
      <c r="J2320" s="41" t="s">
        <v>295</v>
      </c>
      <c r="K2320" s="42"/>
      <c r="L2320" s="41" t="s">
        <v>531</v>
      </c>
      <c r="M2320" s="41">
        <v>138</v>
      </c>
      <c r="N2320" s="41" t="s">
        <v>395</v>
      </c>
      <c r="O2320" s="41" t="s">
        <v>488</v>
      </c>
      <c r="P2320" s="41" t="s">
        <v>179</v>
      </c>
      <c r="Q2320" s="41" t="s">
        <v>532</v>
      </c>
      <c r="R2320" s="41" t="s">
        <v>39</v>
      </c>
      <c r="S2320" s="41" t="s">
        <v>40</v>
      </c>
      <c r="T2320" s="41" t="s">
        <v>40</v>
      </c>
      <c r="U2320" s="41" t="s">
        <v>40</v>
      </c>
    </row>
    <row r="2321" spans="1:21">
      <c r="A2321" s="41">
        <v>236</v>
      </c>
      <c r="B2321" s="41" t="s">
        <v>533</v>
      </c>
      <c r="D2321" s="41">
        <v>1744</v>
      </c>
      <c r="E2321" s="41" t="s">
        <v>27</v>
      </c>
      <c r="F2321" s="41" t="s">
        <v>28</v>
      </c>
      <c r="G2321" s="41" t="s">
        <v>43</v>
      </c>
      <c r="I2321" s="41" t="s">
        <v>194</v>
      </c>
      <c r="J2321" s="41" t="s">
        <v>295</v>
      </c>
      <c r="K2321" s="42"/>
      <c r="L2321" s="41" t="s">
        <v>534</v>
      </c>
      <c r="M2321" s="41">
        <v>23</v>
      </c>
      <c r="N2321" s="41" t="s">
        <v>535</v>
      </c>
      <c r="O2321" s="41" t="s">
        <v>488</v>
      </c>
      <c r="P2321" s="41" t="s">
        <v>98</v>
      </c>
      <c r="Q2321" s="41" t="s">
        <v>204</v>
      </c>
      <c r="R2321" s="41" t="s">
        <v>39</v>
      </c>
      <c r="S2321" s="41" t="s">
        <v>40</v>
      </c>
      <c r="T2321" s="41" t="s">
        <v>40</v>
      </c>
      <c r="U2321" s="41" t="s">
        <v>40</v>
      </c>
    </row>
    <row r="2322" spans="1:21">
      <c r="A2322" s="41">
        <v>237</v>
      </c>
      <c r="B2322" s="41" t="s">
        <v>536</v>
      </c>
      <c r="D2322" s="41">
        <v>1745</v>
      </c>
      <c r="E2322" s="41" t="s">
        <v>27</v>
      </c>
      <c r="F2322" s="41" t="s">
        <v>28</v>
      </c>
      <c r="G2322" s="41" t="s">
        <v>64</v>
      </c>
      <c r="I2322" s="41" t="s">
        <v>194</v>
      </c>
      <c r="J2322" s="41" t="s">
        <v>295</v>
      </c>
      <c r="K2322" s="42"/>
      <c r="L2322" s="41" t="s">
        <v>537</v>
      </c>
      <c r="M2322" s="41">
        <v>23</v>
      </c>
      <c r="N2322" s="41" t="s">
        <v>290</v>
      </c>
      <c r="O2322" s="41" t="s">
        <v>488</v>
      </c>
      <c r="P2322" s="41" t="s">
        <v>179</v>
      </c>
      <c r="Q2322" s="41" t="s">
        <v>538</v>
      </c>
      <c r="R2322" s="41" t="s">
        <v>39</v>
      </c>
      <c r="S2322" s="41" t="s">
        <v>40</v>
      </c>
      <c r="T2322" s="41" t="s">
        <v>40</v>
      </c>
      <c r="U2322" s="41" t="s">
        <v>40</v>
      </c>
    </row>
    <row r="2323" spans="1:21">
      <c r="A2323" s="41">
        <v>316</v>
      </c>
      <c r="B2323" s="41" t="s">
        <v>7334</v>
      </c>
      <c r="D2323" s="41">
        <v>1717</v>
      </c>
      <c r="E2323" s="41" t="s">
        <v>6029</v>
      </c>
      <c r="F2323" s="41" t="s">
        <v>53</v>
      </c>
      <c r="G2323" s="41" t="s">
        <v>307</v>
      </c>
      <c r="I2323" s="41" t="s">
        <v>406</v>
      </c>
      <c r="J2323" s="41" t="s">
        <v>295</v>
      </c>
      <c r="K2323" s="42"/>
      <c r="L2323" s="41" t="s">
        <v>4839</v>
      </c>
      <c r="M2323" s="41">
        <v>110</v>
      </c>
      <c r="N2323" s="41" t="s">
        <v>7335</v>
      </c>
      <c r="O2323" s="41" t="s">
        <v>747</v>
      </c>
      <c r="P2323" s="41" t="s">
        <v>78</v>
      </c>
      <c r="Q2323" s="41" t="s">
        <v>79</v>
      </c>
      <c r="R2323" s="41" t="s">
        <v>132</v>
      </c>
      <c r="S2323" s="41" t="s">
        <v>7336</v>
      </c>
      <c r="T2323" s="41" t="s">
        <v>40</v>
      </c>
      <c r="U2323" s="41" t="s">
        <v>40</v>
      </c>
    </row>
    <row r="2324" spans="1:21">
      <c r="A2324" s="41">
        <v>232</v>
      </c>
      <c r="B2324" s="41" t="s">
        <v>7337</v>
      </c>
      <c r="D2324" s="41">
        <v>1731</v>
      </c>
      <c r="E2324" s="41" t="s">
        <v>1617</v>
      </c>
      <c r="F2324" s="41" t="s">
        <v>28</v>
      </c>
      <c r="G2324" s="41" t="s">
        <v>307</v>
      </c>
      <c r="I2324" s="41" t="s">
        <v>194</v>
      </c>
      <c r="J2324" s="41" t="s">
        <v>295</v>
      </c>
      <c r="K2324" s="42"/>
      <c r="L2324" s="41" t="s">
        <v>7338</v>
      </c>
      <c r="M2324" s="41">
        <v>144</v>
      </c>
      <c r="N2324" s="41" t="s">
        <v>488</v>
      </c>
      <c r="O2324" s="41" t="s">
        <v>488</v>
      </c>
      <c r="P2324" s="41" t="s">
        <v>60</v>
      </c>
      <c r="Q2324" s="41" t="s">
        <v>608</v>
      </c>
      <c r="R2324" s="41" t="s">
        <v>39</v>
      </c>
      <c r="S2324" s="41" t="s">
        <v>40</v>
      </c>
      <c r="T2324" s="41" t="s">
        <v>40</v>
      </c>
      <c r="U2324" s="41" t="s">
        <v>40</v>
      </c>
    </row>
    <row r="2325" spans="1:21">
      <c r="A2325" s="41">
        <v>315</v>
      </c>
      <c r="B2325" s="41" t="s">
        <v>7339</v>
      </c>
      <c r="D2325" s="41">
        <v>1716</v>
      </c>
      <c r="E2325" s="41" t="s">
        <v>1076</v>
      </c>
      <c r="F2325" s="41" t="s">
        <v>53</v>
      </c>
      <c r="G2325" s="41" t="s">
        <v>64</v>
      </c>
      <c r="I2325" s="41" t="s">
        <v>411</v>
      </c>
      <c r="J2325" s="41" t="s">
        <v>295</v>
      </c>
      <c r="K2325" s="42"/>
      <c r="L2325" s="41" t="s">
        <v>4740</v>
      </c>
      <c r="M2325" s="41">
        <v>220</v>
      </c>
      <c r="N2325" s="41" t="s">
        <v>2503</v>
      </c>
      <c r="O2325" s="41" t="s">
        <v>1294</v>
      </c>
      <c r="P2325" s="41" t="s">
        <v>172</v>
      </c>
      <c r="Q2325" s="41" t="s">
        <v>4030</v>
      </c>
      <c r="R2325" s="41" t="s">
        <v>62</v>
      </c>
      <c r="S2325" s="41" t="s">
        <v>40</v>
      </c>
      <c r="T2325" s="41" t="s">
        <v>40</v>
      </c>
      <c r="U2325" s="41" t="s">
        <v>40</v>
      </c>
    </row>
    <row r="2326" spans="1:21">
      <c r="A2326" s="41">
        <v>318</v>
      </c>
      <c r="B2326" s="41" t="s">
        <v>7340</v>
      </c>
      <c r="D2326" s="41">
        <v>1719</v>
      </c>
      <c r="E2326" s="41" t="s">
        <v>2405</v>
      </c>
      <c r="F2326" s="41" t="s">
        <v>53</v>
      </c>
      <c r="G2326" s="41" t="s">
        <v>64</v>
      </c>
      <c r="I2326" s="41" t="s">
        <v>3645</v>
      </c>
      <c r="J2326" s="41" t="s">
        <v>295</v>
      </c>
      <c r="K2326" s="42"/>
      <c r="L2326" s="41" t="s">
        <v>7341</v>
      </c>
      <c r="M2326" s="41">
        <v>110</v>
      </c>
      <c r="N2326" s="41" t="s">
        <v>1869</v>
      </c>
      <c r="O2326" s="41" t="s">
        <v>178</v>
      </c>
      <c r="P2326" s="41" t="s">
        <v>179</v>
      </c>
      <c r="Q2326" s="41" t="s">
        <v>524</v>
      </c>
      <c r="R2326" s="41" t="s">
        <v>132</v>
      </c>
      <c r="S2326" s="41" t="s">
        <v>40</v>
      </c>
      <c r="T2326" s="41" t="s">
        <v>40</v>
      </c>
      <c r="U2326" s="41" t="s">
        <v>40</v>
      </c>
    </row>
    <row r="2327" spans="1:21">
      <c r="A2327" s="41">
        <v>229</v>
      </c>
      <c r="B2327" s="41" t="s">
        <v>539</v>
      </c>
      <c r="D2327" s="41">
        <v>1721</v>
      </c>
      <c r="E2327" s="41" t="s">
        <v>27</v>
      </c>
      <c r="F2327" s="41" t="s">
        <v>28</v>
      </c>
      <c r="G2327" s="41" t="s">
        <v>307</v>
      </c>
      <c r="I2327" s="41" t="s">
        <v>194</v>
      </c>
      <c r="J2327" s="41" t="s">
        <v>295</v>
      </c>
      <c r="K2327" s="42"/>
      <c r="L2327" s="41" t="s">
        <v>541</v>
      </c>
      <c r="M2327" s="41">
        <v>23</v>
      </c>
      <c r="N2327" s="41" t="s">
        <v>488</v>
      </c>
      <c r="O2327" s="41" t="s">
        <v>488</v>
      </c>
      <c r="P2327" s="41" t="s">
        <v>179</v>
      </c>
      <c r="Q2327" s="41" t="s">
        <v>524</v>
      </c>
      <c r="R2327" s="41" t="s">
        <v>39</v>
      </c>
      <c r="S2327" s="41" t="s">
        <v>542</v>
      </c>
      <c r="T2327" s="41" t="s">
        <v>508</v>
      </c>
      <c r="U2327" s="41" t="s">
        <v>40</v>
      </c>
    </row>
    <row r="2328" spans="1:21">
      <c r="A2328" s="41">
        <v>317</v>
      </c>
      <c r="B2328" s="41" t="s">
        <v>543</v>
      </c>
      <c r="D2328" s="41">
        <v>1710</v>
      </c>
      <c r="E2328" s="41" t="s">
        <v>27</v>
      </c>
      <c r="F2328" s="41" t="s">
        <v>53</v>
      </c>
      <c r="G2328" s="41" t="s">
        <v>43</v>
      </c>
      <c r="I2328" s="41" t="s">
        <v>338</v>
      </c>
      <c r="J2328" s="41" t="s">
        <v>295</v>
      </c>
      <c r="K2328" s="42"/>
      <c r="L2328" s="41" t="s">
        <v>545</v>
      </c>
      <c r="M2328" s="41">
        <v>220</v>
      </c>
      <c r="N2328" s="41" t="s">
        <v>488</v>
      </c>
      <c r="O2328" s="41" t="s">
        <v>77</v>
      </c>
      <c r="P2328" s="41" t="s">
        <v>546</v>
      </c>
      <c r="Q2328" s="41" t="s">
        <v>547</v>
      </c>
      <c r="R2328" s="41" t="s">
        <v>62</v>
      </c>
      <c r="S2328" s="41" t="s">
        <v>40</v>
      </c>
      <c r="T2328" s="41" t="s">
        <v>40</v>
      </c>
      <c r="U2328" s="41" t="s">
        <v>40</v>
      </c>
    </row>
    <row r="2329" spans="1:21">
      <c r="A2329" s="41">
        <v>228</v>
      </c>
      <c r="B2329" s="41" t="s">
        <v>7342</v>
      </c>
      <c r="D2329" s="41">
        <v>1720</v>
      </c>
      <c r="E2329" s="41" t="s">
        <v>6683</v>
      </c>
      <c r="F2329" s="41" t="s">
        <v>28</v>
      </c>
      <c r="G2329" s="41" t="s">
        <v>64</v>
      </c>
      <c r="I2329" s="41" t="s">
        <v>194</v>
      </c>
      <c r="J2329" s="41" t="s">
        <v>295</v>
      </c>
      <c r="K2329" s="42"/>
      <c r="L2329" s="41" t="s">
        <v>7343</v>
      </c>
      <c r="M2329" s="41">
        <v>110</v>
      </c>
      <c r="N2329" s="41" t="s">
        <v>488</v>
      </c>
      <c r="O2329" s="41" t="s">
        <v>488</v>
      </c>
      <c r="P2329" s="41" t="s">
        <v>68</v>
      </c>
      <c r="Q2329" s="41" t="s">
        <v>69</v>
      </c>
      <c r="R2329" s="41" t="s">
        <v>39</v>
      </c>
      <c r="S2329" s="41" t="s">
        <v>40</v>
      </c>
      <c r="T2329" s="41" t="s">
        <v>40</v>
      </c>
      <c r="U2329" s="41" t="s">
        <v>40</v>
      </c>
    </row>
    <row r="2330" spans="1:21">
      <c r="A2330" s="41">
        <v>279</v>
      </c>
      <c r="B2330" s="41" t="s">
        <v>7344</v>
      </c>
      <c r="D2330" s="41">
        <v>1379</v>
      </c>
      <c r="E2330" s="41" t="s">
        <v>1187</v>
      </c>
      <c r="F2330" s="41" t="s">
        <v>53</v>
      </c>
      <c r="G2330" s="41" t="s">
        <v>64</v>
      </c>
      <c r="I2330" s="41" t="s">
        <v>973</v>
      </c>
      <c r="J2330" s="41" t="s">
        <v>295</v>
      </c>
      <c r="K2330" s="42"/>
      <c r="L2330" s="41" t="s">
        <v>7345</v>
      </c>
      <c r="M2330" s="41">
        <v>220</v>
      </c>
      <c r="N2330" s="41" t="s">
        <v>77</v>
      </c>
      <c r="O2330" s="41" t="s">
        <v>77</v>
      </c>
      <c r="P2330" s="41" t="s">
        <v>98</v>
      </c>
      <c r="Q2330" s="41" t="s">
        <v>116</v>
      </c>
      <c r="R2330" s="41" t="s">
        <v>62</v>
      </c>
      <c r="S2330" s="41" t="s">
        <v>40</v>
      </c>
      <c r="T2330" s="41" t="s">
        <v>40</v>
      </c>
      <c r="U2330" s="41" t="s">
        <v>40</v>
      </c>
    </row>
    <row r="2331" spans="1:21">
      <c r="A2331" s="41">
        <v>311</v>
      </c>
      <c r="B2331" s="41" t="s">
        <v>7346</v>
      </c>
      <c r="D2331" s="41">
        <v>1712</v>
      </c>
      <c r="E2331" s="41" t="s">
        <v>1227</v>
      </c>
      <c r="F2331" s="41" t="s">
        <v>53</v>
      </c>
      <c r="G2331" s="41" t="s">
        <v>43</v>
      </c>
      <c r="I2331" s="41" t="s">
        <v>7347</v>
      </c>
      <c r="J2331" s="41" t="s">
        <v>380</v>
      </c>
      <c r="K2331" s="42"/>
      <c r="L2331" s="41" t="s">
        <v>7348</v>
      </c>
      <c r="M2331" s="41">
        <v>220</v>
      </c>
      <c r="N2331" s="41" t="s">
        <v>719</v>
      </c>
      <c r="O2331" s="41" t="s">
        <v>7349</v>
      </c>
      <c r="P2331" s="41" t="s">
        <v>98</v>
      </c>
      <c r="Q2331" s="41" t="s">
        <v>569</v>
      </c>
      <c r="R2331" s="41" t="s">
        <v>132</v>
      </c>
      <c r="S2331" s="41" t="s">
        <v>40</v>
      </c>
      <c r="T2331" s="41" t="s">
        <v>40</v>
      </c>
      <c r="U2331" s="41" t="s">
        <v>40</v>
      </c>
    </row>
    <row r="2332" spans="1:21">
      <c r="A2332" s="41">
        <v>312</v>
      </c>
      <c r="B2332" s="41" t="s">
        <v>7350</v>
      </c>
      <c r="D2332" s="41">
        <v>1713</v>
      </c>
      <c r="E2332" s="41" t="s">
        <v>3236</v>
      </c>
      <c r="F2332" s="41" t="s">
        <v>53</v>
      </c>
      <c r="G2332" s="41" t="s">
        <v>64</v>
      </c>
      <c r="I2332" s="41" t="s">
        <v>194</v>
      </c>
      <c r="J2332" s="41" t="s">
        <v>295</v>
      </c>
      <c r="K2332" s="42"/>
      <c r="L2332" s="41" t="s">
        <v>7351</v>
      </c>
      <c r="M2332" s="41">
        <v>23</v>
      </c>
      <c r="N2332" s="41" t="s">
        <v>290</v>
      </c>
      <c r="O2332" s="41" t="s">
        <v>7352</v>
      </c>
      <c r="P2332" s="41" t="s">
        <v>98</v>
      </c>
      <c r="Q2332" s="41" t="s">
        <v>98</v>
      </c>
      <c r="R2332" s="41" t="s">
        <v>132</v>
      </c>
      <c r="S2332" s="41" t="s">
        <v>7353</v>
      </c>
      <c r="T2332" s="41" t="s">
        <v>454</v>
      </c>
      <c r="U2332" s="41" t="s">
        <v>40</v>
      </c>
    </row>
    <row r="2333" spans="1:21">
      <c r="A2333" s="41">
        <v>313</v>
      </c>
      <c r="B2333" s="41" t="s">
        <v>7354</v>
      </c>
      <c r="D2333" s="41">
        <v>1714</v>
      </c>
      <c r="E2333" s="41" t="s">
        <v>3236</v>
      </c>
      <c r="F2333" s="41" t="s">
        <v>53</v>
      </c>
      <c r="G2333" s="41" t="s">
        <v>64</v>
      </c>
      <c r="I2333" s="41" t="s">
        <v>194</v>
      </c>
      <c r="J2333" s="41" t="s">
        <v>295</v>
      </c>
      <c r="K2333" s="42"/>
      <c r="L2333" s="41" t="s">
        <v>7355</v>
      </c>
      <c r="M2333" s="41">
        <v>23</v>
      </c>
      <c r="N2333" s="41" t="s">
        <v>290</v>
      </c>
      <c r="O2333" s="41" t="s">
        <v>7356</v>
      </c>
      <c r="P2333" s="41" t="s">
        <v>98</v>
      </c>
      <c r="Q2333" s="41" t="s">
        <v>98</v>
      </c>
      <c r="R2333" s="41" t="s">
        <v>132</v>
      </c>
      <c r="S2333" s="41" t="s">
        <v>40</v>
      </c>
      <c r="T2333" s="41" t="s">
        <v>40</v>
      </c>
      <c r="U2333" s="41" t="s">
        <v>40</v>
      </c>
    </row>
    <row r="2334" spans="1:21">
      <c r="A2334" s="41">
        <v>314</v>
      </c>
      <c r="B2334" s="41" t="s">
        <v>7357</v>
      </c>
      <c r="D2334" s="41">
        <v>1715</v>
      </c>
      <c r="E2334" s="41" t="s">
        <v>3236</v>
      </c>
      <c r="F2334" s="41" t="s">
        <v>53</v>
      </c>
      <c r="G2334" s="41" t="s">
        <v>64</v>
      </c>
      <c r="I2334" s="41" t="s">
        <v>194</v>
      </c>
      <c r="J2334" s="41" t="s">
        <v>295</v>
      </c>
      <c r="K2334" s="42"/>
      <c r="L2334" s="41" t="s">
        <v>7358</v>
      </c>
      <c r="M2334" s="41">
        <v>23</v>
      </c>
      <c r="N2334" s="41" t="s">
        <v>290</v>
      </c>
      <c r="O2334" s="41" t="s">
        <v>7356</v>
      </c>
      <c r="P2334" s="41" t="s">
        <v>98</v>
      </c>
      <c r="Q2334" s="41" t="s">
        <v>99</v>
      </c>
      <c r="R2334" s="41" t="s">
        <v>132</v>
      </c>
      <c r="S2334" s="41" t="s">
        <v>40</v>
      </c>
      <c r="T2334" s="41" t="s">
        <v>40</v>
      </c>
      <c r="U2334" s="41" t="s">
        <v>40</v>
      </c>
    </row>
    <row r="2335" spans="1:21">
      <c r="A2335" s="41">
        <v>352</v>
      </c>
      <c r="B2335" s="41" t="s">
        <v>7359</v>
      </c>
      <c r="D2335" s="41">
        <v>1707</v>
      </c>
      <c r="E2335" s="41" t="s">
        <v>7360</v>
      </c>
      <c r="F2335" s="41" t="s">
        <v>53</v>
      </c>
      <c r="G2335" s="41" t="s">
        <v>64</v>
      </c>
      <c r="I2335" s="41" t="s">
        <v>194</v>
      </c>
      <c r="J2335" s="41" t="s">
        <v>295</v>
      </c>
      <c r="K2335" s="42"/>
      <c r="L2335" s="41" t="s">
        <v>7361</v>
      </c>
      <c r="M2335" s="41">
        <v>23</v>
      </c>
      <c r="N2335" s="41" t="s">
        <v>1039</v>
      </c>
      <c r="O2335" s="41" t="s">
        <v>5441</v>
      </c>
      <c r="P2335" s="41" t="s">
        <v>50</v>
      </c>
      <c r="Q2335" s="41" t="s">
        <v>496</v>
      </c>
      <c r="R2335" s="41" t="s">
        <v>132</v>
      </c>
      <c r="S2335" s="41" t="s">
        <v>40</v>
      </c>
      <c r="T2335" s="41" t="s">
        <v>40</v>
      </c>
      <c r="U2335" s="41" t="s">
        <v>40</v>
      </c>
    </row>
    <row r="2336" spans="1:21">
      <c r="A2336" s="41">
        <v>309</v>
      </c>
      <c r="B2336" s="41" t="s">
        <v>7362</v>
      </c>
      <c r="D2336" s="41">
        <v>1669</v>
      </c>
      <c r="E2336" s="41" t="s">
        <v>3236</v>
      </c>
      <c r="F2336" s="41" t="s">
        <v>53</v>
      </c>
      <c r="G2336" s="41" t="s">
        <v>64</v>
      </c>
      <c r="I2336" s="41" t="s">
        <v>194</v>
      </c>
      <c r="J2336" s="41" t="s">
        <v>295</v>
      </c>
      <c r="K2336" s="42"/>
      <c r="L2336" s="41" t="s">
        <v>7363</v>
      </c>
      <c r="M2336" s="41">
        <v>138</v>
      </c>
      <c r="N2336" s="41" t="s">
        <v>488</v>
      </c>
      <c r="O2336" s="41" t="s">
        <v>488</v>
      </c>
      <c r="P2336" s="41" t="s">
        <v>546</v>
      </c>
      <c r="Q2336" s="41" t="s">
        <v>2100</v>
      </c>
      <c r="R2336" s="41" t="s">
        <v>132</v>
      </c>
      <c r="S2336" s="41" t="s">
        <v>40</v>
      </c>
      <c r="T2336" s="41" t="s">
        <v>40</v>
      </c>
      <c r="U2336" s="41" t="s">
        <v>40</v>
      </c>
    </row>
    <row r="2337" spans="1:21">
      <c r="A2337" s="41">
        <v>310</v>
      </c>
      <c r="B2337" s="41" t="s">
        <v>6982</v>
      </c>
      <c r="D2337" s="41">
        <v>1711</v>
      </c>
      <c r="E2337" s="41" t="s">
        <v>6313</v>
      </c>
      <c r="F2337" s="41" t="s">
        <v>53</v>
      </c>
      <c r="G2337" s="41" t="s">
        <v>64</v>
      </c>
      <c r="I2337" s="41" t="s">
        <v>325</v>
      </c>
      <c r="J2337" s="41" t="s">
        <v>380</v>
      </c>
      <c r="K2337" s="42"/>
      <c r="L2337" s="41" t="s">
        <v>7364</v>
      </c>
      <c r="M2337" s="41">
        <v>110</v>
      </c>
      <c r="N2337" s="41" t="s">
        <v>395</v>
      </c>
      <c r="O2337" s="41" t="s">
        <v>77</v>
      </c>
      <c r="P2337" s="41" t="s">
        <v>172</v>
      </c>
      <c r="Q2337" s="41" t="s">
        <v>253</v>
      </c>
      <c r="R2337" s="41" t="s">
        <v>132</v>
      </c>
      <c r="S2337" s="41" t="s">
        <v>40</v>
      </c>
      <c r="T2337" s="41" t="s">
        <v>40</v>
      </c>
      <c r="U2337" s="41" t="s">
        <v>40</v>
      </c>
    </row>
    <row r="2338" spans="1:21">
      <c r="A2338" s="41">
        <v>332</v>
      </c>
      <c r="B2338" s="41" t="s">
        <v>7365</v>
      </c>
      <c r="D2338" s="41">
        <v>1706</v>
      </c>
      <c r="E2338" s="41" t="s">
        <v>7366</v>
      </c>
      <c r="F2338" s="41" t="s">
        <v>53</v>
      </c>
      <c r="G2338" s="41" t="s">
        <v>64</v>
      </c>
      <c r="I2338" s="41" t="s">
        <v>1425</v>
      </c>
      <c r="J2338" s="41" t="s">
        <v>7297</v>
      </c>
      <c r="K2338" s="42"/>
      <c r="L2338" s="41" t="s">
        <v>7367</v>
      </c>
      <c r="M2338" s="41">
        <v>220</v>
      </c>
      <c r="N2338" s="41" t="s">
        <v>6177</v>
      </c>
      <c r="O2338" s="41" t="s">
        <v>2566</v>
      </c>
      <c r="P2338" s="41" t="s">
        <v>1046</v>
      </c>
      <c r="Q2338" s="41" t="s">
        <v>7368</v>
      </c>
      <c r="R2338" s="41" t="s">
        <v>62</v>
      </c>
      <c r="S2338" s="41" t="s">
        <v>7369</v>
      </c>
      <c r="T2338" s="41" t="s">
        <v>3185</v>
      </c>
      <c r="U2338" s="41" t="s">
        <v>40</v>
      </c>
    </row>
    <row r="2339" spans="1:21">
      <c r="A2339" s="41">
        <v>289</v>
      </c>
      <c r="B2339" s="41" t="s">
        <v>7370</v>
      </c>
      <c r="D2339" s="41">
        <v>1623</v>
      </c>
      <c r="E2339" s="41" t="s">
        <v>1191</v>
      </c>
      <c r="F2339" s="41" t="s">
        <v>53</v>
      </c>
      <c r="G2339" s="41" t="s">
        <v>64</v>
      </c>
      <c r="I2339" s="41" t="s">
        <v>7371</v>
      </c>
      <c r="J2339" s="41" t="s">
        <v>380</v>
      </c>
      <c r="K2339" s="42"/>
      <c r="L2339" s="41" t="s">
        <v>103</v>
      </c>
      <c r="M2339" s="41">
        <v>220</v>
      </c>
      <c r="N2339" s="41" t="s">
        <v>77</v>
      </c>
      <c r="O2339" s="41" t="s">
        <v>77</v>
      </c>
      <c r="P2339" s="41" t="s">
        <v>98</v>
      </c>
      <c r="Q2339" s="41" t="s">
        <v>99</v>
      </c>
      <c r="R2339" s="41" t="s">
        <v>62</v>
      </c>
      <c r="S2339" s="41" t="s">
        <v>40</v>
      </c>
      <c r="T2339" s="41" t="s">
        <v>40</v>
      </c>
      <c r="U2339" s="41" t="s">
        <v>40</v>
      </c>
    </row>
    <row r="2340" spans="1:21">
      <c r="A2340" s="41">
        <v>290</v>
      </c>
      <c r="B2340" s="41" t="s">
        <v>7372</v>
      </c>
      <c r="D2340" s="41">
        <v>1624</v>
      </c>
      <c r="E2340" s="41" t="s">
        <v>3714</v>
      </c>
      <c r="F2340" s="41" t="s">
        <v>53</v>
      </c>
      <c r="G2340" s="41" t="s">
        <v>43</v>
      </c>
      <c r="I2340" s="41" t="s">
        <v>4760</v>
      </c>
      <c r="J2340" s="41" t="s">
        <v>380</v>
      </c>
      <c r="K2340" s="42"/>
      <c r="L2340" s="41" t="s">
        <v>5036</v>
      </c>
      <c r="M2340" s="41">
        <v>220</v>
      </c>
      <c r="N2340" s="41" t="s">
        <v>719</v>
      </c>
      <c r="O2340" s="41" t="s">
        <v>7373</v>
      </c>
      <c r="P2340" s="41" t="s">
        <v>172</v>
      </c>
      <c r="Q2340" s="41" t="s">
        <v>253</v>
      </c>
      <c r="R2340" s="41" t="s">
        <v>132</v>
      </c>
      <c r="S2340" s="41" t="s">
        <v>7374</v>
      </c>
      <c r="T2340" s="41" t="s">
        <v>1773</v>
      </c>
      <c r="U2340" s="41" t="s">
        <v>40</v>
      </c>
    </row>
    <row r="2341" spans="1:21">
      <c r="A2341" s="41">
        <v>111</v>
      </c>
      <c r="B2341" s="41" t="s">
        <v>7375</v>
      </c>
      <c r="D2341" s="41">
        <v>1460</v>
      </c>
      <c r="E2341" s="41" t="s">
        <v>1191</v>
      </c>
      <c r="F2341" s="41" t="s">
        <v>53</v>
      </c>
      <c r="G2341" s="41" t="s">
        <v>43</v>
      </c>
      <c r="I2341" s="41" t="s">
        <v>1374</v>
      </c>
      <c r="J2341" s="41" t="s">
        <v>380</v>
      </c>
      <c r="K2341" s="42"/>
      <c r="L2341" s="41" t="s">
        <v>3608</v>
      </c>
      <c r="M2341" s="41">
        <v>220</v>
      </c>
      <c r="N2341" s="41" t="s">
        <v>5829</v>
      </c>
      <c r="O2341" s="41" t="s">
        <v>396</v>
      </c>
      <c r="P2341" s="41" t="s">
        <v>153</v>
      </c>
      <c r="Q2341" s="41" t="s">
        <v>329</v>
      </c>
      <c r="R2341" s="41" t="s">
        <v>62</v>
      </c>
      <c r="S2341" s="41" t="s">
        <v>40</v>
      </c>
      <c r="T2341" s="41" t="s">
        <v>40</v>
      </c>
      <c r="U2341" s="41" t="s">
        <v>40</v>
      </c>
    </row>
    <row r="2342" spans="1:21">
      <c r="A2342" s="41">
        <v>73</v>
      </c>
      <c r="B2342" s="41" t="s">
        <v>7376</v>
      </c>
      <c r="D2342" s="41">
        <v>1056</v>
      </c>
      <c r="E2342" s="41" t="s">
        <v>7377</v>
      </c>
      <c r="F2342" s="41" t="s">
        <v>53</v>
      </c>
      <c r="G2342" s="41" t="s">
        <v>307</v>
      </c>
      <c r="I2342" s="41" t="s">
        <v>7378</v>
      </c>
      <c r="J2342" s="41" t="s">
        <v>380</v>
      </c>
      <c r="K2342" s="42"/>
      <c r="L2342" s="41" t="s">
        <v>3952</v>
      </c>
      <c r="M2342" s="41">
        <v>220</v>
      </c>
      <c r="N2342" s="41" t="s">
        <v>7379</v>
      </c>
      <c r="O2342" s="41" t="s">
        <v>7380</v>
      </c>
      <c r="P2342" s="41" t="s">
        <v>382</v>
      </c>
      <c r="Q2342" s="41" t="s">
        <v>83</v>
      </c>
      <c r="R2342" s="41" t="s">
        <v>62</v>
      </c>
      <c r="S2342" s="41" t="s">
        <v>7381</v>
      </c>
      <c r="T2342" s="41" t="s">
        <v>40</v>
      </c>
      <c r="U2342" s="41" t="s">
        <v>40</v>
      </c>
    </row>
    <row r="2343" spans="1:21">
      <c r="A2343" s="41">
        <v>221</v>
      </c>
      <c r="B2343" s="41" t="s">
        <v>7382</v>
      </c>
      <c r="D2343" s="41">
        <v>1670</v>
      </c>
      <c r="E2343" s="41" t="s">
        <v>4943</v>
      </c>
      <c r="F2343" s="41" t="s">
        <v>28</v>
      </c>
      <c r="G2343" s="41" t="s">
        <v>64</v>
      </c>
      <c r="I2343" s="41" t="s">
        <v>194</v>
      </c>
      <c r="J2343" s="41" t="s">
        <v>295</v>
      </c>
      <c r="K2343" s="42"/>
      <c r="L2343" s="41" t="s">
        <v>7383</v>
      </c>
      <c r="M2343" s="41">
        <v>110</v>
      </c>
      <c r="N2343" s="41" t="s">
        <v>488</v>
      </c>
      <c r="O2343" s="41" t="s">
        <v>488</v>
      </c>
      <c r="P2343" s="41" t="s">
        <v>98</v>
      </c>
      <c r="Q2343" s="41" t="s">
        <v>98</v>
      </c>
      <c r="R2343" s="41" t="s">
        <v>39</v>
      </c>
      <c r="S2343" s="41" t="s">
        <v>40</v>
      </c>
      <c r="T2343" s="41" t="s">
        <v>40</v>
      </c>
      <c r="U2343" s="41" t="s">
        <v>40</v>
      </c>
    </row>
    <row r="2344" spans="1:21">
      <c r="A2344" s="41">
        <v>220</v>
      </c>
      <c r="B2344" s="41" t="s">
        <v>7362</v>
      </c>
      <c r="D2344" s="41">
        <v>1669</v>
      </c>
      <c r="E2344" s="41" t="s">
        <v>3236</v>
      </c>
      <c r="F2344" s="41" t="s">
        <v>28</v>
      </c>
      <c r="G2344" s="41" t="s">
        <v>64</v>
      </c>
      <c r="I2344" s="41" t="s">
        <v>194</v>
      </c>
      <c r="J2344" s="41" t="s">
        <v>295</v>
      </c>
      <c r="K2344" s="42"/>
      <c r="L2344" s="41" t="s">
        <v>7363</v>
      </c>
      <c r="M2344" s="41">
        <v>138</v>
      </c>
      <c r="N2344" s="41" t="s">
        <v>7384</v>
      </c>
      <c r="O2344" s="41" t="s">
        <v>1439</v>
      </c>
      <c r="P2344" s="41" t="s">
        <v>546</v>
      </c>
      <c r="Q2344" s="41" t="s">
        <v>2100</v>
      </c>
      <c r="R2344" s="41" t="s">
        <v>39</v>
      </c>
      <c r="S2344" s="41" t="s">
        <v>40</v>
      </c>
      <c r="T2344" s="41" t="s">
        <v>40</v>
      </c>
      <c r="U2344" s="41" t="s">
        <v>40</v>
      </c>
    </row>
    <row r="2345" spans="1:21">
      <c r="A2345" s="41">
        <v>299</v>
      </c>
      <c r="B2345" s="41" t="s">
        <v>7385</v>
      </c>
      <c r="D2345" s="41">
        <v>1663</v>
      </c>
      <c r="E2345" s="41" t="s">
        <v>4746</v>
      </c>
      <c r="F2345" s="41" t="s">
        <v>53</v>
      </c>
      <c r="G2345" s="41" t="s">
        <v>64</v>
      </c>
      <c r="I2345" s="41" t="s">
        <v>392</v>
      </c>
      <c r="J2345" s="41" t="s">
        <v>380</v>
      </c>
      <c r="K2345" s="42"/>
      <c r="L2345" s="41" t="s">
        <v>618</v>
      </c>
      <c r="M2345" s="41">
        <v>220</v>
      </c>
      <c r="N2345" s="41" t="s">
        <v>395</v>
      </c>
      <c r="O2345" s="41" t="s">
        <v>77</v>
      </c>
      <c r="P2345" s="41" t="s">
        <v>50</v>
      </c>
      <c r="Q2345" s="41" t="s">
        <v>51</v>
      </c>
      <c r="R2345" s="41" t="s">
        <v>62</v>
      </c>
      <c r="S2345" s="41" t="s">
        <v>40</v>
      </c>
      <c r="T2345" s="41" t="s">
        <v>40</v>
      </c>
      <c r="U2345" s="41" t="s">
        <v>40</v>
      </c>
    </row>
    <row r="2346" spans="1:21">
      <c r="A2346" s="41">
        <v>296</v>
      </c>
      <c r="B2346" s="41" t="s">
        <v>7386</v>
      </c>
      <c r="D2346" s="41">
        <v>1658</v>
      </c>
      <c r="E2346" s="41" t="s">
        <v>4746</v>
      </c>
      <c r="F2346" s="41" t="s">
        <v>53</v>
      </c>
      <c r="G2346" s="41" t="s">
        <v>141</v>
      </c>
      <c r="I2346" s="41" t="s">
        <v>45</v>
      </c>
      <c r="J2346" s="41" t="s">
        <v>380</v>
      </c>
      <c r="K2346" s="42"/>
      <c r="L2346" s="41" t="s">
        <v>5026</v>
      </c>
      <c r="M2346" s="41">
        <v>220</v>
      </c>
      <c r="N2346" s="41" t="s">
        <v>395</v>
      </c>
      <c r="O2346" s="41" t="s">
        <v>77</v>
      </c>
      <c r="P2346" s="41" t="s">
        <v>60</v>
      </c>
      <c r="Q2346" s="41" t="s">
        <v>419</v>
      </c>
      <c r="R2346" s="41" t="s">
        <v>132</v>
      </c>
      <c r="S2346" s="41" t="s">
        <v>7387</v>
      </c>
      <c r="T2346" s="41" t="s">
        <v>779</v>
      </c>
      <c r="U2346" s="41" t="s">
        <v>40</v>
      </c>
    </row>
    <row r="2347" spans="1:21">
      <c r="A2347" s="41">
        <v>297</v>
      </c>
      <c r="B2347" s="41" t="s">
        <v>7388</v>
      </c>
      <c r="D2347" s="41">
        <v>1659</v>
      </c>
      <c r="E2347" s="41" t="s">
        <v>4746</v>
      </c>
      <c r="F2347" s="41" t="s">
        <v>53</v>
      </c>
      <c r="G2347" s="41" t="s">
        <v>64</v>
      </c>
      <c r="I2347" s="41" t="s">
        <v>162</v>
      </c>
      <c r="J2347" s="41" t="s">
        <v>380</v>
      </c>
      <c r="K2347" s="42"/>
      <c r="L2347" s="41" t="s">
        <v>1386</v>
      </c>
      <c r="M2347" s="41">
        <v>220</v>
      </c>
      <c r="N2347" s="41" t="s">
        <v>395</v>
      </c>
      <c r="O2347" s="41" t="s">
        <v>77</v>
      </c>
      <c r="P2347" s="41" t="s">
        <v>37</v>
      </c>
      <c r="Q2347" s="41" t="s">
        <v>1387</v>
      </c>
      <c r="R2347" s="41" t="s">
        <v>132</v>
      </c>
      <c r="S2347" s="41" t="s">
        <v>40</v>
      </c>
      <c r="T2347" s="41" t="s">
        <v>40</v>
      </c>
      <c r="U2347" s="41" t="s">
        <v>40</v>
      </c>
    </row>
    <row r="2348" spans="1:21">
      <c r="A2348" s="41">
        <v>298</v>
      </c>
      <c r="B2348" s="41" t="s">
        <v>4745</v>
      </c>
      <c r="D2348" s="41">
        <v>1660</v>
      </c>
      <c r="E2348" s="41" t="s">
        <v>4746</v>
      </c>
      <c r="F2348" s="41" t="s">
        <v>53</v>
      </c>
      <c r="G2348" s="41" t="s">
        <v>64</v>
      </c>
      <c r="I2348" s="41" t="s">
        <v>45</v>
      </c>
      <c r="J2348" s="41" t="s">
        <v>380</v>
      </c>
      <c r="K2348" s="42"/>
      <c r="L2348" s="41" t="s">
        <v>269</v>
      </c>
      <c r="M2348" s="41">
        <v>220</v>
      </c>
      <c r="N2348" s="41" t="s">
        <v>395</v>
      </c>
      <c r="O2348" s="41" t="s">
        <v>77</v>
      </c>
      <c r="P2348" s="41" t="s">
        <v>37</v>
      </c>
      <c r="Q2348" s="41" t="s">
        <v>1535</v>
      </c>
      <c r="R2348" s="41" t="s">
        <v>132</v>
      </c>
      <c r="S2348" s="41" t="s">
        <v>40</v>
      </c>
      <c r="T2348" s="41" t="s">
        <v>40</v>
      </c>
      <c r="U2348" s="41" t="s">
        <v>40</v>
      </c>
    </row>
    <row r="2349" spans="1:21">
      <c r="A2349" s="41">
        <v>219</v>
      </c>
      <c r="B2349" s="41" t="s">
        <v>7389</v>
      </c>
      <c r="D2349" s="41">
        <v>1667</v>
      </c>
      <c r="E2349" s="41" t="s">
        <v>7390</v>
      </c>
      <c r="F2349" s="41" t="s">
        <v>28</v>
      </c>
      <c r="G2349" s="41" t="s">
        <v>307</v>
      </c>
      <c r="I2349" s="41" t="s">
        <v>5538</v>
      </c>
      <c r="J2349" s="41" t="s">
        <v>295</v>
      </c>
      <c r="K2349" s="42"/>
      <c r="L2349" s="41" t="s">
        <v>7391</v>
      </c>
      <c r="M2349" s="41">
        <v>110</v>
      </c>
      <c r="N2349" s="41" t="s">
        <v>488</v>
      </c>
      <c r="O2349" s="41" t="s">
        <v>488</v>
      </c>
      <c r="P2349" s="41" t="s">
        <v>98</v>
      </c>
      <c r="Q2349" s="41" t="s">
        <v>370</v>
      </c>
      <c r="R2349" s="41" t="s">
        <v>39</v>
      </c>
      <c r="S2349" s="41" t="s">
        <v>40</v>
      </c>
      <c r="T2349" s="41" t="s">
        <v>40</v>
      </c>
      <c r="U2349" s="41" t="s">
        <v>40</v>
      </c>
    </row>
    <row r="2350" spans="1:21">
      <c r="A2350" s="41">
        <v>292</v>
      </c>
      <c r="B2350" s="41" t="s">
        <v>7392</v>
      </c>
      <c r="D2350" s="41">
        <v>1661</v>
      </c>
      <c r="E2350" s="41" t="s">
        <v>1076</v>
      </c>
      <c r="F2350" s="41" t="s">
        <v>53</v>
      </c>
      <c r="G2350" s="41" t="s">
        <v>64</v>
      </c>
      <c r="I2350" s="41" t="s">
        <v>411</v>
      </c>
      <c r="J2350" s="41" t="s">
        <v>295</v>
      </c>
      <c r="K2350" s="42"/>
      <c r="L2350" s="41" t="s">
        <v>7393</v>
      </c>
      <c r="M2350" s="41">
        <v>66</v>
      </c>
      <c r="N2350" s="41" t="s">
        <v>59</v>
      </c>
      <c r="O2350" s="41" t="s">
        <v>1151</v>
      </c>
      <c r="P2350" s="41" t="s">
        <v>334</v>
      </c>
      <c r="Q2350" s="41" t="s">
        <v>2815</v>
      </c>
      <c r="R2350" s="41" t="s">
        <v>132</v>
      </c>
      <c r="S2350" s="41" t="s">
        <v>40</v>
      </c>
      <c r="T2350" s="41" t="s">
        <v>40</v>
      </c>
      <c r="U2350" s="41" t="s">
        <v>40</v>
      </c>
    </row>
    <row r="2351" spans="1:21">
      <c r="A2351" s="41">
        <v>295</v>
      </c>
      <c r="B2351" s="41" t="s">
        <v>7394</v>
      </c>
      <c r="D2351" s="41">
        <v>1662</v>
      </c>
      <c r="E2351" s="41" t="s">
        <v>1076</v>
      </c>
      <c r="F2351" s="41" t="s">
        <v>53</v>
      </c>
      <c r="G2351" s="41" t="s">
        <v>43</v>
      </c>
      <c r="I2351" s="41" t="s">
        <v>3645</v>
      </c>
      <c r="J2351" s="41" t="s">
        <v>295</v>
      </c>
      <c r="K2351" s="42"/>
      <c r="L2351" s="41" t="s">
        <v>2467</v>
      </c>
      <c r="M2351" s="41">
        <v>154</v>
      </c>
      <c r="N2351" s="41" t="s">
        <v>59</v>
      </c>
      <c r="O2351" s="41" t="s">
        <v>2468</v>
      </c>
      <c r="P2351" s="41" t="s">
        <v>334</v>
      </c>
      <c r="Q2351" s="41" t="s">
        <v>2815</v>
      </c>
      <c r="R2351" s="41" t="s">
        <v>132</v>
      </c>
      <c r="S2351" s="41" t="s">
        <v>7395</v>
      </c>
      <c r="T2351" s="41" t="s">
        <v>313</v>
      </c>
      <c r="U2351" s="41" t="s">
        <v>40</v>
      </c>
    </row>
    <row r="2352" spans="1:21">
      <c r="A2352" s="41">
        <v>218</v>
      </c>
      <c r="B2352" s="41" t="s">
        <v>7396</v>
      </c>
      <c r="D2352" s="41">
        <v>1666</v>
      </c>
      <c r="E2352" s="41" t="s">
        <v>7234</v>
      </c>
      <c r="F2352" s="41" t="s">
        <v>28</v>
      </c>
      <c r="G2352" s="41" t="s">
        <v>64</v>
      </c>
      <c r="I2352" s="41" t="s">
        <v>5674</v>
      </c>
      <c r="J2352" s="41" t="s">
        <v>295</v>
      </c>
      <c r="K2352" s="42"/>
      <c r="L2352" s="41" t="s">
        <v>7397</v>
      </c>
      <c r="M2352" s="41">
        <v>23</v>
      </c>
      <c r="N2352" s="41" t="s">
        <v>488</v>
      </c>
      <c r="O2352" s="41" t="s">
        <v>488</v>
      </c>
      <c r="P2352" s="41" t="s">
        <v>179</v>
      </c>
      <c r="Q2352" s="41" t="s">
        <v>1116</v>
      </c>
      <c r="R2352" s="41" t="s">
        <v>39</v>
      </c>
      <c r="S2352" s="41" t="s">
        <v>40</v>
      </c>
      <c r="T2352" s="41" t="s">
        <v>40</v>
      </c>
      <c r="U2352" s="41" t="s">
        <v>40</v>
      </c>
    </row>
    <row r="2353" spans="1:21">
      <c r="A2353" s="41">
        <v>293</v>
      </c>
      <c r="B2353" s="41" t="s">
        <v>548</v>
      </c>
      <c r="D2353" s="41">
        <v>1664</v>
      </c>
      <c r="E2353" s="41" t="s">
        <v>27</v>
      </c>
      <c r="F2353" s="41" t="s">
        <v>53</v>
      </c>
      <c r="G2353" s="41" t="s">
        <v>64</v>
      </c>
      <c r="I2353" s="41" t="s">
        <v>194</v>
      </c>
      <c r="J2353" s="41" t="s">
        <v>295</v>
      </c>
      <c r="K2353" s="42"/>
      <c r="L2353" s="41" t="s">
        <v>551</v>
      </c>
      <c r="M2353" s="41">
        <v>23</v>
      </c>
      <c r="N2353" s="41" t="s">
        <v>395</v>
      </c>
      <c r="O2353" s="41" t="s">
        <v>299</v>
      </c>
      <c r="P2353" s="41" t="s">
        <v>50</v>
      </c>
      <c r="Q2353" s="41" t="s">
        <v>51</v>
      </c>
      <c r="R2353" s="41" t="s">
        <v>132</v>
      </c>
      <c r="S2353" s="41" t="s">
        <v>40</v>
      </c>
      <c r="T2353" s="41" t="s">
        <v>40</v>
      </c>
      <c r="U2353" s="41" t="s">
        <v>40</v>
      </c>
    </row>
    <row r="2354" spans="1:21">
      <c r="A2354" s="41">
        <v>294</v>
      </c>
      <c r="B2354" s="41" t="s">
        <v>552</v>
      </c>
      <c r="D2354" s="41">
        <v>1665</v>
      </c>
      <c r="E2354" s="41" t="s">
        <v>27</v>
      </c>
      <c r="F2354" s="41" t="s">
        <v>53</v>
      </c>
      <c r="G2354" s="41" t="s">
        <v>64</v>
      </c>
      <c r="I2354" s="41" t="s">
        <v>194</v>
      </c>
      <c r="J2354" s="41" t="s">
        <v>295</v>
      </c>
      <c r="K2354" s="42"/>
      <c r="L2354" s="41" t="s">
        <v>551</v>
      </c>
      <c r="M2354" s="41">
        <v>23</v>
      </c>
      <c r="N2354" s="41" t="s">
        <v>395</v>
      </c>
      <c r="O2354" s="41" t="s">
        <v>553</v>
      </c>
      <c r="P2354" s="41" t="s">
        <v>50</v>
      </c>
      <c r="Q2354" s="41" t="s">
        <v>51</v>
      </c>
      <c r="R2354" s="41" t="s">
        <v>132</v>
      </c>
      <c r="S2354" s="41" t="s">
        <v>40</v>
      </c>
      <c r="T2354" s="41" t="s">
        <v>40</v>
      </c>
      <c r="U2354" s="41" t="s">
        <v>40</v>
      </c>
    </row>
    <row r="2355" spans="1:21">
      <c r="A2355" s="41">
        <v>291</v>
      </c>
      <c r="B2355" s="41" t="s">
        <v>3278</v>
      </c>
      <c r="D2355" s="41">
        <v>1625</v>
      </c>
      <c r="E2355" s="41" t="s">
        <v>1161</v>
      </c>
      <c r="F2355" s="41" t="s">
        <v>53</v>
      </c>
      <c r="G2355" s="41" t="s">
        <v>64</v>
      </c>
      <c r="I2355" s="41" t="s">
        <v>5312</v>
      </c>
      <c r="J2355" s="41" t="s">
        <v>295</v>
      </c>
      <c r="K2355" s="42"/>
      <c r="L2355" s="41" t="s">
        <v>3639</v>
      </c>
      <c r="M2355" s="41">
        <v>12</v>
      </c>
      <c r="N2355" s="41" t="s">
        <v>7398</v>
      </c>
      <c r="O2355" s="41" t="s">
        <v>7399</v>
      </c>
      <c r="P2355" s="41" t="s">
        <v>68</v>
      </c>
      <c r="Q2355" s="41" t="s">
        <v>184</v>
      </c>
      <c r="R2355" s="41" t="s">
        <v>132</v>
      </c>
      <c r="S2355" s="41" t="s">
        <v>40</v>
      </c>
      <c r="T2355" s="41" t="s">
        <v>40</v>
      </c>
      <c r="U2355" s="41" t="s">
        <v>40</v>
      </c>
    </row>
    <row r="2356" spans="1:21">
      <c r="A2356" s="41">
        <v>304</v>
      </c>
      <c r="B2356" s="41" t="s">
        <v>7400</v>
      </c>
      <c r="D2356" s="41">
        <v>1691</v>
      </c>
      <c r="E2356" s="41" t="s">
        <v>1076</v>
      </c>
      <c r="F2356" s="41" t="s">
        <v>53</v>
      </c>
      <c r="G2356" s="41" t="s">
        <v>64</v>
      </c>
      <c r="I2356" s="41" t="s">
        <v>231</v>
      </c>
      <c r="J2356" s="41" t="s">
        <v>295</v>
      </c>
      <c r="K2356" s="42"/>
      <c r="L2356" s="41" t="s">
        <v>7401</v>
      </c>
      <c r="M2356" s="41">
        <v>66</v>
      </c>
      <c r="N2356" s="41" t="s">
        <v>6098</v>
      </c>
      <c r="O2356" s="41" t="s">
        <v>388</v>
      </c>
      <c r="P2356" s="41" t="s">
        <v>334</v>
      </c>
      <c r="Q2356" s="41" t="s">
        <v>423</v>
      </c>
      <c r="R2356" s="41" t="s">
        <v>132</v>
      </c>
      <c r="S2356" s="41" t="s">
        <v>40</v>
      </c>
      <c r="T2356" s="41" t="s">
        <v>40</v>
      </c>
      <c r="U2356" s="41" t="s">
        <v>40</v>
      </c>
    </row>
    <row r="2357" spans="1:21">
      <c r="A2357" s="41">
        <v>306</v>
      </c>
      <c r="B2357" s="41" t="s">
        <v>7402</v>
      </c>
      <c r="D2357" s="41">
        <v>1694</v>
      </c>
      <c r="E2357" s="41" t="s">
        <v>1076</v>
      </c>
      <c r="F2357" s="41" t="s">
        <v>53</v>
      </c>
      <c r="G2357" s="41" t="s">
        <v>64</v>
      </c>
      <c r="I2357" s="41" t="s">
        <v>231</v>
      </c>
      <c r="J2357" s="41" t="s">
        <v>295</v>
      </c>
      <c r="K2357" s="42"/>
      <c r="L2357" s="41" t="s">
        <v>7403</v>
      </c>
      <c r="M2357" s="41">
        <v>66</v>
      </c>
      <c r="N2357" s="41" t="s">
        <v>7404</v>
      </c>
      <c r="O2357" s="41" t="s">
        <v>2721</v>
      </c>
      <c r="P2357" s="41" t="s">
        <v>60</v>
      </c>
      <c r="Q2357" s="41" t="s">
        <v>2759</v>
      </c>
      <c r="R2357" s="41" t="s">
        <v>132</v>
      </c>
      <c r="S2357" s="41" t="s">
        <v>40</v>
      </c>
      <c r="T2357" s="41" t="s">
        <v>40</v>
      </c>
      <c r="U2357" s="41" t="s">
        <v>40</v>
      </c>
    </row>
    <row r="2358" spans="1:21">
      <c r="A2358" s="41">
        <v>307</v>
      </c>
      <c r="B2358" s="41" t="s">
        <v>7405</v>
      </c>
      <c r="D2358" s="41">
        <v>1695</v>
      </c>
      <c r="E2358" s="41" t="s">
        <v>1076</v>
      </c>
      <c r="F2358" s="41" t="s">
        <v>53</v>
      </c>
      <c r="G2358" s="41" t="s">
        <v>43</v>
      </c>
      <c r="I2358" s="41" t="s">
        <v>231</v>
      </c>
      <c r="J2358" s="41" t="s">
        <v>295</v>
      </c>
      <c r="K2358" s="42"/>
      <c r="L2358" s="41" t="s">
        <v>3972</v>
      </c>
      <c r="M2358" s="41">
        <v>154</v>
      </c>
      <c r="N2358" s="41" t="s">
        <v>77</v>
      </c>
      <c r="O2358" s="41" t="s">
        <v>77</v>
      </c>
      <c r="P2358" s="41" t="s">
        <v>60</v>
      </c>
      <c r="Q2358" s="41" t="s">
        <v>472</v>
      </c>
      <c r="R2358" s="41" t="s">
        <v>132</v>
      </c>
      <c r="S2358" s="41" t="s">
        <v>40</v>
      </c>
      <c r="T2358" s="41" t="s">
        <v>40</v>
      </c>
      <c r="U2358" s="41" t="s">
        <v>40</v>
      </c>
    </row>
    <row r="2359" spans="1:21">
      <c r="A2359" s="41">
        <v>214</v>
      </c>
      <c r="B2359" s="41" t="s">
        <v>7406</v>
      </c>
      <c r="D2359" s="41">
        <v>1619</v>
      </c>
      <c r="E2359" s="41" t="s">
        <v>3504</v>
      </c>
      <c r="F2359" s="41" t="s">
        <v>28</v>
      </c>
      <c r="G2359" s="41" t="s">
        <v>64</v>
      </c>
      <c r="I2359" s="41" t="s">
        <v>7407</v>
      </c>
      <c r="J2359" s="41" t="s">
        <v>1906</v>
      </c>
      <c r="K2359" s="42"/>
      <c r="L2359" s="41" t="s">
        <v>7408</v>
      </c>
      <c r="M2359" s="41">
        <v>220</v>
      </c>
      <c r="N2359" s="41" t="s">
        <v>488</v>
      </c>
      <c r="O2359" s="41" t="s">
        <v>488</v>
      </c>
      <c r="P2359" s="41" t="s">
        <v>172</v>
      </c>
      <c r="Q2359" s="41" t="s">
        <v>1104</v>
      </c>
      <c r="R2359" s="41" t="s">
        <v>39</v>
      </c>
      <c r="S2359" s="41" t="s">
        <v>40</v>
      </c>
      <c r="T2359" s="41" t="s">
        <v>40</v>
      </c>
      <c r="U2359" s="41" t="s">
        <v>40</v>
      </c>
    </row>
    <row r="2360" spans="1:21">
      <c r="A2360" s="41">
        <v>216</v>
      </c>
      <c r="B2360" s="41" t="s">
        <v>7409</v>
      </c>
      <c r="D2360" s="41">
        <v>1621</v>
      </c>
      <c r="E2360" s="41" t="s">
        <v>6509</v>
      </c>
      <c r="F2360" s="41" t="s">
        <v>28</v>
      </c>
      <c r="G2360" s="41" t="s">
        <v>43</v>
      </c>
      <c r="I2360" s="41" t="s">
        <v>7407</v>
      </c>
      <c r="J2360" s="41" t="s">
        <v>1906</v>
      </c>
      <c r="K2360" s="42"/>
      <c r="L2360" s="41" t="s">
        <v>7408</v>
      </c>
      <c r="M2360" s="41">
        <v>220</v>
      </c>
      <c r="N2360" s="41" t="s">
        <v>488</v>
      </c>
      <c r="O2360" s="41" t="s">
        <v>488</v>
      </c>
      <c r="P2360" s="41" t="s">
        <v>172</v>
      </c>
      <c r="Q2360" s="41" t="s">
        <v>1104</v>
      </c>
      <c r="R2360" s="41" t="s">
        <v>39</v>
      </c>
      <c r="S2360" s="41" t="s">
        <v>40</v>
      </c>
      <c r="T2360" s="41" t="s">
        <v>40</v>
      </c>
      <c r="U2360" s="41" t="s">
        <v>40</v>
      </c>
    </row>
    <row r="2361" spans="1:21">
      <c r="A2361" s="41">
        <v>217</v>
      </c>
      <c r="B2361" s="41" t="s">
        <v>7410</v>
      </c>
      <c r="D2361" s="41">
        <v>1622</v>
      </c>
      <c r="E2361" s="41" t="s">
        <v>6860</v>
      </c>
      <c r="F2361" s="41" t="s">
        <v>28</v>
      </c>
      <c r="G2361" s="41" t="s">
        <v>43</v>
      </c>
      <c r="I2361" s="41" t="s">
        <v>7407</v>
      </c>
      <c r="J2361" s="41" t="s">
        <v>1906</v>
      </c>
      <c r="K2361" s="42"/>
      <c r="L2361" s="41" t="s">
        <v>7408</v>
      </c>
      <c r="M2361" s="41">
        <v>220</v>
      </c>
      <c r="N2361" s="41" t="s">
        <v>488</v>
      </c>
      <c r="O2361" s="41" t="s">
        <v>488</v>
      </c>
      <c r="P2361" s="41" t="s">
        <v>153</v>
      </c>
      <c r="Q2361" s="41" t="s">
        <v>1865</v>
      </c>
      <c r="R2361" s="41" t="s">
        <v>39</v>
      </c>
      <c r="S2361" s="41" t="s">
        <v>40</v>
      </c>
      <c r="T2361" s="41" t="s">
        <v>40</v>
      </c>
      <c r="U2361" s="41" t="s">
        <v>40</v>
      </c>
    </row>
    <row r="2362" spans="1:21">
      <c r="A2362" s="41">
        <v>96</v>
      </c>
      <c r="B2362" s="41" t="s">
        <v>7411</v>
      </c>
      <c r="D2362" s="41">
        <v>1344</v>
      </c>
      <c r="E2362" s="41" t="s">
        <v>6536</v>
      </c>
      <c r="F2362" s="41" t="s">
        <v>53</v>
      </c>
      <c r="G2362" s="41" t="s">
        <v>64</v>
      </c>
      <c r="I2362" s="41" t="s">
        <v>194</v>
      </c>
      <c r="J2362" s="41" t="s">
        <v>295</v>
      </c>
      <c r="K2362" s="42"/>
      <c r="L2362" s="41" t="s">
        <v>7109</v>
      </c>
      <c r="M2362" s="41">
        <v>132</v>
      </c>
      <c r="N2362" s="41" t="s">
        <v>395</v>
      </c>
      <c r="O2362" s="41" t="s">
        <v>2275</v>
      </c>
      <c r="P2362" s="41" t="s">
        <v>60</v>
      </c>
      <c r="Q2362" s="41" t="s">
        <v>608</v>
      </c>
      <c r="R2362" s="41" t="s">
        <v>132</v>
      </c>
      <c r="S2362" s="41" t="s">
        <v>40</v>
      </c>
      <c r="T2362" s="41" t="s">
        <v>40</v>
      </c>
      <c r="U2362" s="41" t="s">
        <v>40</v>
      </c>
    </row>
    <row r="2363" spans="1:21">
      <c r="A2363" s="41">
        <v>339</v>
      </c>
      <c r="B2363" s="41" t="s">
        <v>7412</v>
      </c>
      <c r="D2363" s="41">
        <v>1608</v>
      </c>
      <c r="E2363" s="41" t="s">
        <v>6313</v>
      </c>
      <c r="F2363" s="41" t="s">
        <v>53</v>
      </c>
      <c r="G2363" s="41" t="s">
        <v>43</v>
      </c>
      <c r="I2363" s="41" t="s">
        <v>7413</v>
      </c>
      <c r="J2363" s="41" t="s">
        <v>32</v>
      </c>
      <c r="K2363" s="42"/>
      <c r="L2363" s="41" t="s">
        <v>2950</v>
      </c>
      <c r="M2363" s="41">
        <v>500</v>
      </c>
      <c r="N2363" s="41" t="s">
        <v>2395</v>
      </c>
      <c r="O2363" s="41" t="s">
        <v>77</v>
      </c>
      <c r="P2363" s="41" t="s">
        <v>98</v>
      </c>
      <c r="Q2363" s="41" t="s">
        <v>99</v>
      </c>
      <c r="R2363" s="41" t="s">
        <v>62</v>
      </c>
      <c r="S2363" s="41" t="s">
        <v>40</v>
      </c>
      <c r="T2363" s="41" t="s">
        <v>40</v>
      </c>
      <c r="U2363" s="41" t="s">
        <v>40</v>
      </c>
    </row>
    <row r="2364" spans="1:21">
      <c r="A2364" s="41">
        <v>344</v>
      </c>
      <c r="B2364" s="41" t="s">
        <v>7414</v>
      </c>
      <c r="D2364" s="41">
        <v>1486</v>
      </c>
      <c r="E2364" s="41" t="s">
        <v>2405</v>
      </c>
      <c r="F2364" s="41" t="s">
        <v>28</v>
      </c>
      <c r="G2364" s="41" t="s">
        <v>64</v>
      </c>
      <c r="I2364" s="41" t="s">
        <v>231</v>
      </c>
      <c r="J2364" s="41" t="s">
        <v>295</v>
      </c>
      <c r="K2364" s="42"/>
      <c r="L2364" s="41" t="s">
        <v>7415</v>
      </c>
      <c r="M2364" s="41">
        <v>110</v>
      </c>
      <c r="N2364" s="41" t="s">
        <v>59</v>
      </c>
      <c r="O2364" s="41" t="s">
        <v>741</v>
      </c>
      <c r="P2364" s="41" t="s">
        <v>78</v>
      </c>
      <c r="Q2364" s="41" t="s">
        <v>2407</v>
      </c>
      <c r="R2364" s="41" t="s">
        <v>39</v>
      </c>
      <c r="S2364" s="41" t="s">
        <v>40</v>
      </c>
      <c r="T2364" s="41" t="s">
        <v>40</v>
      </c>
      <c r="U2364" s="41" t="s">
        <v>40</v>
      </c>
    </row>
    <row r="2365" spans="1:21">
      <c r="A2365" s="41">
        <v>389</v>
      </c>
      <c r="B2365" s="41" t="s">
        <v>7416</v>
      </c>
      <c r="D2365" s="41">
        <v>1515</v>
      </c>
      <c r="E2365" s="41" t="s">
        <v>7417</v>
      </c>
      <c r="F2365" s="41" t="s">
        <v>53</v>
      </c>
      <c r="G2365" s="41" t="s">
        <v>307</v>
      </c>
      <c r="I2365" s="41" t="s">
        <v>1024</v>
      </c>
      <c r="J2365" s="41" t="s">
        <v>295</v>
      </c>
      <c r="K2365" s="42"/>
      <c r="L2365" s="41" t="s">
        <v>3597</v>
      </c>
      <c r="M2365" s="41">
        <v>220</v>
      </c>
      <c r="N2365" s="41" t="s">
        <v>7418</v>
      </c>
      <c r="O2365" s="41" t="s">
        <v>7419</v>
      </c>
      <c r="P2365" s="41" t="s">
        <v>98</v>
      </c>
      <c r="Q2365" s="41" t="s">
        <v>116</v>
      </c>
      <c r="R2365" s="41" t="s">
        <v>62</v>
      </c>
      <c r="S2365" s="41" t="s">
        <v>7420</v>
      </c>
      <c r="T2365" s="41" t="s">
        <v>4720</v>
      </c>
      <c r="U2365" s="41" t="s">
        <v>2145</v>
      </c>
    </row>
    <row r="2366" spans="1:21">
      <c r="A2366" s="41">
        <v>46</v>
      </c>
      <c r="B2366" s="41" t="s">
        <v>7421</v>
      </c>
      <c r="D2366" s="41">
        <v>1607</v>
      </c>
      <c r="E2366" s="41" t="s">
        <v>7422</v>
      </c>
      <c r="F2366" s="41" t="s">
        <v>28</v>
      </c>
      <c r="G2366" s="41" t="s">
        <v>64</v>
      </c>
      <c r="I2366" s="41" t="s">
        <v>7423</v>
      </c>
      <c r="J2366" s="41" t="s">
        <v>672</v>
      </c>
      <c r="K2366" s="42"/>
      <c r="L2366" s="41" t="s">
        <v>7424</v>
      </c>
      <c r="M2366" s="41">
        <v>23</v>
      </c>
      <c r="N2366" s="41" t="s">
        <v>488</v>
      </c>
      <c r="O2366" s="41" t="s">
        <v>488</v>
      </c>
      <c r="P2366" s="41" t="s">
        <v>179</v>
      </c>
      <c r="Q2366" s="41" t="s">
        <v>524</v>
      </c>
      <c r="R2366" s="41" t="s">
        <v>39</v>
      </c>
      <c r="S2366" s="41" t="s">
        <v>40</v>
      </c>
      <c r="T2366" s="41" t="s">
        <v>40</v>
      </c>
      <c r="U2366" s="41" t="s">
        <v>40</v>
      </c>
    </row>
    <row r="2367" spans="1:21">
      <c r="A2367" s="41">
        <v>122</v>
      </c>
      <c r="B2367" s="41" t="s">
        <v>7425</v>
      </c>
      <c r="D2367" s="41">
        <v>1560</v>
      </c>
      <c r="E2367" s="41" t="s">
        <v>7426</v>
      </c>
      <c r="F2367" s="41" t="s">
        <v>53</v>
      </c>
      <c r="G2367" s="41" t="s">
        <v>1071</v>
      </c>
      <c r="I2367" s="41" t="s">
        <v>999</v>
      </c>
      <c r="J2367" s="41" t="s">
        <v>672</v>
      </c>
      <c r="K2367" s="42"/>
      <c r="L2367" s="41" t="s">
        <v>7034</v>
      </c>
      <c r="M2367" s="41">
        <v>23</v>
      </c>
      <c r="N2367" s="41" t="s">
        <v>7427</v>
      </c>
      <c r="O2367" s="41" t="s">
        <v>565</v>
      </c>
      <c r="P2367" s="41" t="s">
        <v>37</v>
      </c>
      <c r="Q2367" s="41" t="s">
        <v>1661</v>
      </c>
      <c r="R2367" s="41" t="s">
        <v>132</v>
      </c>
      <c r="S2367" s="41" t="s">
        <v>40</v>
      </c>
      <c r="T2367" s="41" t="s">
        <v>40</v>
      </c>
      <c r="U2367" s="41" t="s">
        <v>40</v>
      </c>
    </row>
    <row r="2368" spans="1:21">
      <c r="A2368" s="41">
        <v>44</v>
      </c>
      <c r="B2368" s="41" t="s">
        <v>7428</v>
      </c>
      <c r="D2368" s="41">
        <v>1563</v>
      </c>
      <c r="E2368" s="41" t="s">
        <v>1076</v>
      </c>
      <c r="F2368" s="41" t="s">
        <v>28</v>
      </c>
      <c r="G2368" s="41" t="s">
        <v>64</v>
      </c>
      <c r="I2368" s="41" t="s">
        <v>194</v>
      </c>
      <c r="J2368" s="41" t="s">
        <v>295</v>
      </c>
      <c r="K2368" s="42"/>
      <c r="L2368" s="41" t="s">
        <v>7429</v>
      </c>
      <c r="M2368" s="41">
        <v>132</v>
      </c>
      <c r="N2368" s="41" t="s">
        <v>488</v>
      </c>
      <c r="O2368" s="41" t="s">
        <v>488</v>
      </c>
      <c r="P2368" s="41" t="s">
        <v>37</v>
      </c>
      <c r="Q2368" s="41" t="s">
        <v>38</v>
      </c>
      <c r="R2368" s="41" t="s">
        <v>39</v>
      </c>
      <c r="S2368" s="41" t="s">
        <v>40</v>
      </c>
      <c r="T2368" s="41" t="s">
        <v>40</v>
      </c>
      <c r="U2368" s="41" t="s">
        <v>40</v>
      </c>
    </row>
    <row r="2369" spans="1:21">
      <c r="A2369" s="41">
        <v>308</v>
      </c>
      <c r="B2369" s="41" t="s">
        <v>7430</v>
      </c>
      <c r="D2369" s="41">
        <v>1697</v>
      </c>
      <c r="E2369" s="41" t="s">
        <v>7431</v>
      </c>
      <c r="F2369" s="41" t="s">
        <v>53</v>
      </c>
      <c r="G2369" s="41" t="s">
        <v>307</v>
      </c>
      <c r="I2369" s="41" t="s">
        <v>194</v>
      </c>
      <c r="J2369" s="41" t="s">
        <v>295</v>
      </c>
      <c r="K2369" s="42"/>
      <c r="L2369" s="41" t="s">
        <v>7432</v>
      </c>
      <c r="M2369" s="41">
        <v>132</v>
      </c>
      <c r="N2369" s="41" t="s">
        <v>395</v>
      </c>
      <c r="O2369" s="41" t="s">
        <v>488</v>
      </c>
      <c r="P2369" s="41" t="s">
        <v>98</v>
      </c>
      <c r="Q2369" s="41" t="s">
        <v>98</v>
      </c>
      <c r="R2369" s="41" t="s">
        <v>132</v>
      </c>
      <c r="S2369" s="41" t="s">
        <v>7433</v>
      </c>
      <c r="T2369" s="41" t="s">
        <v>5821</v>
      </c>
      <c r="U2369" s="41" t="s">
        <v>40</v>
      </c>
    </row>
    <row r="2370" spans="1:21">
      <c r="A2370" s="41">
        <v>225</v>
      </c>
      <c r="B2370" s="41" t="s">
        <v>554</v>
      </c>
      <c r="D2370" s="41">
        <v>1686</v>
      </c>
      <c r="E2370" s="41" t="s">
        <v>27</v>
      </c>
      <c r="F2370" s="41" t="s">
        <v>28</v>
      </c>
      <c r="G2370" s="41" t="s">
        <v>43</v>
      </c>
      <c r="I2370" s="41" t="s">
        <v>194</v>
      </c>
      <c r="J2370" s="41" t="s">
        <v>295</v>
      </c>
      <c r="K2370" s="42"/>
      <c r="L2370" s="41" t="s">
        <v>556</v>
      </c>
      <c r="M2370" s="41">
        <v>132</v>
      </c>
      <c r="N2370" s="41" t="s">
        <v>488</v>
      </c>
      <c r="O2370" s="41" t="s">
        <v>488</v>
      </c>
      <c r="P2370" s="41" t="s">
        <v>179</v>
      </c>
      <c r="Q2370" s="41" t="s">
        <v>557</v>
      </c>
      <c r="R2370" s="41" t="s">
        <v>39</v>
      </c>
      <c r="S2370" s="41" t="s">
        <v>40</v>
      </c>
      <c r="T2370" s="41" t="s">
        <v>40</v>
      </c>
      <c r="U2370" s="41" t="s">
        <v>40</v>
      </c>
    </row>
    <row r="2371" spans="1:21">
      <c r="A2371" s="41">
        <v>226</v>
      </c>
      <c r="B2371" s="41" t="s">
        <v>558</v>
      </c>
      <c r="D2371" s="41">
        <v>1687</v>
      </c>
      <c r="E2371" s="41" t="s">
        <v>27</v>
      </c>
      <c r="F2371" s="41" t="s">
        <v>28</v>
      </c>
      <c r="G2371" s="41" t="s">
        <v>64</v>
      </c>
      <c r="I2371" s="41" t="s">
        <v>194</v>
      </c>
      <c r="J2371" s="41" t="s">
        <v>295</v>
      </c>
      <c r="K2371" s="42"/>
      <c r="L2371" s="41" t="s">
        <v>297</v>
      </c>
      <c r="M2371" s="41">
        <v>23</v>
      </c>
      <c r="N2371" s="41" t="s">
        <v>488</v>
      </c>
      <c r="O2371" s="41" t="s">
        <v>488</v>
      </c>
      <c r="P2371" s="41" t="s">
        <v>98</v>
      </c>
      <c r="Q2371" s="41" t="s">
        <v>99</v>
      </c>
      <c r="R2371" s="41" t="s">
        <v>39</v>
      </c>
      <c r="S2371" s="41" t="s">
        <v>40</v>
      </c>
      <c r="T2371" s="41" t="s">
        <v>508</v>
      </c>
      <c r="U2371" s="41" t="s">
        <v>509</v>
      </c>
    </row>
    <row r="2372" spans="1:21">
      <c r="A2372" s="41">
        <v>42</v>
      </c>
      <c r="B2372" s="41" t="s">
        <v>7434</v>
      </c>
      <c r="D2372" s="41">
        <v>1562</v>
      </c>
      <c r="E2372" s="41" t="s">
        <v>7422</v>
      </c>
      <c r="F2372" s="41" t="s">
        <v>28</v>
      </c>
      <c r="G2372" s="41" t="s">
        <v>64</v>
      </c>
      <c r="I2372" s="41" t="s">
        <v>1107</v>
      </c>
      <c r="J2372" s="41" t="s">
        <v>672</v>
      </c>
      <c r="K2372" s="42"/>
      <c r="L2372" s="41" t="s">
        <v>7424</v>
      </c>
      <c r="M2372" s="41">
        <v>23</v>
      </c>
      <c r="N2372" s="41" t="s">
        <v>488</v>
      </c>
      <c r="O2372" s="41" t="s">
        <v>488</v>
      </c>
      <c r="P2372" s="41" t="s">
        <v>179</v>
      </c>
      <c r="Q2372" s="41" t="s">
        <v>524</v>
      </c>
      <c r="R2372" s="41" t="s">
        <v>39</v>
      </c>
      <c r="S2372" s="41" t="s">
        <v>40</v>
      </c>
      <c r="T2372" s="41" t="s">
        <v>40</v>
      </c>
      <c r="U2372" s="41" t="s">
        <v>40</v>
      </c>
    </row>
    <row r="2373" spans="1:21">
      <c r="A2373" s="41">
        <v>43</v>
      </c>
      <c r="B2373" s="41" t="s">
        <v>7435</v>
      </c>
      <c r="D2373" s="41">
        <v>1561</v>
      </c>
      <c r="E2373" s="41" t="s">
        <v>7436</v>
      </c>
      <c r="F2373" s="41" t="s">
        <v>28</v>
      </c>
      <c r="G2373" s="41" t="s">
        <v>43</v>
      </c>
      <c r="I2373" s="41" t="s">
        <v>194</v>
      </c>
      <c r="J2373" s="41" t="s">
        <v>295</v>
      </c>
      <c r="K2373" s="42"/>
      <c r="L2373" s="41" t="s">
        <v>7208</v>
      </c>
      <c r="M2373" s="41">
        <v>132</v>
      </c>
      <c r="N2373" s="41" t="s">
        <v>488</v>
      </c>
      <c r="O2373" s="41" t="s">
        <v>488</v>
      </c>
      <c r="P2373" s="41" t="s">
        <v>37</v>
      </c>
      <c r="Q2373" s="41" t="s">
        <v>38</v>
      </c>
      <c r="R2373" s="41" t="s">
        <v>39</v>
      </c>
      <c r="S2373" s="41" t="s">
        <v>40</v>
      </c>
      <c r="T2373" s="41" t="s">
        <v>40</v>
      </c>
      <c r="U2373" s="41" t="s">
        <v>40</v>
      </c>
    </row>
    <row r="2374" spans="1:21">
      <c r="A2374" s="41">
        <v>17</v>
      </c>
      <c r="B2374" s="41" t="s">
        <v>559</v>
      </c>
      <c r="D2374" s="41">
        <v>1230</v>
      </c>
      <c r="E2374" s="41" t="s">
        <v>27</v>
      </c>
      <c r="F2374" s="41" t="s">
        <v>28</v>
      </c>
      <c r="G2374" s="41" t="s">
        <v>64</v>
      </c>
      <c r="I2374" s="41" t="s">
        <v>201</v>
      </c>
      <c r="J2374" s="41" t="s">
        <v>295</v>
      </c>
      <c r="K2374" s="42"/>
      <c r="L2374" s="41" t="s">
        <v>561</v>
      </c>
      <c r="M2374" s="41">
        <v>220</v>
      </c>
      <c r="N2374" s="41" t="s">
        <v>488</v>
      </c>
      <c r="O2374" s="41" t="s">
        <v>488</v>
      </c>
      <c r="P2374" s="41" t="s">
        <v>98</v>
      </c>
      <c r="Q2374" s="41" t="s">
        <v>204</v>
      </c>
      <c r="R2374" s="41" t="s">
        <v>39</v>
      </c>
      <c r="S2374" s="41" t="s">
        <v>40</v>
      </c>
      <c r="T2374" s="41" t="s">
        <v>40</v>
      </c>
      <c r="U2374" s="41" t="s">
        <v>40</v>
      </c>
    </row>
    <row r="2375" spans="1:21">
      <c r="A2375" s="41">
        <v>263</v>
      </c>
      <c r="B2375" s="41" t="s">
        <v>7437</v>
      </c>
      <c r="D2375" s="41">
        <v>923</v>
      </c>
      <c r="E2375" s="41" t="s">
        <v>7438</v>
      </c>
      <c r="F2375" s="41" t="s">
        <v>53</v>
      </c>
      <c r="G2375" s="41" t="s">
        <v>307</v>
      </c>
      <c r="I2375" s="41" t="s">
        <v>7439</v>
      </c>
      <c r="J2375" s="41" t="s">
        <v>7440</v>
      </c>
      <c r="K2375" s="42"/>
      <c r="L2375" s="41" t="s">
        <v>261</v>
      </c>
      <c r="M2375" s="41">
        <v>220</v>
      </c>
      <c r="N2375" s="41" t="s">
        <v>6177</v>
      </c>
      <c r="O2375" s="41" t="s">
        <v>7441</v>
      </c>
      <c r="P2375" s="41" t="s">
        <v>37</v>
      </c>
      <c r="Q2375" s="41" t="s">
        <v>264</v>
      </c>
      <c r="R2375" s="41" t="s">
        <v>62</v>
      </c>
      <c r="S2375" s="41" t="s">
        <v>7442</v>
      </c>
      <c r="T2375" s="41" t="s">
        <v>40</v>
      </c>
      <c r="U2375" s="41" t="s">
        <v>40</v>
      </c>
    </row>
    <row r="2376" spans="1:21">
      <c r="A2376" s="41">
        <v>6</v>
      </c>
      <c r="B2376" s="41" t="s">
        <v>7443</v>
      </c>
      <c r="D2376" s="41">
        <v>1505</v>
      </c>
      <c r="E2376" s="41" t="s">
        <v>7234</v>
      </c>
      <c r="F2376" s="41" t="s">
        <v>28</v>
      </c>
      <c r="G2376" s="41" t="s">
        <v>64</v>
      </c>
      <c r="I2376" s="41" t="s">
        <v>194</v>
      </c>
      <c r="J2376" s="41" t="s">
        <v>295</v>
      </c>
      <c r="K2376" s="42"/>
      <c r="L2376" s="41" t="s">
        <v>3573</v>
      </c>
      <c r="M2376" s="41">
        <v>23</v>
      </c>
      <c r="N2376" s="41" t="s">
        <v>488</v>
      </c>
      <c r="O2376" s="41" t="s">
        <v>488</v>
      </c>
      <c r="P2376" s="41" t="s">
        <v>78</v>
      </c>
      <c r="Q2376" s="41" t="s">
        <v>1065</v>
      </c>
      <c r="R2376" s="41" t="s">
        <v>39</v>
      </c>
      <c r="S2376" s="41" t="s">
        <v>40</v>
      </c>
      <c r="T2376" s="41" t="s">
        <v>40</v>
      </c>
      <c r="U2376" s="41" t="s">
        <v>40</v>
      </c>
    </row>
    <row r="2377" spans="1:21">
      <c r="A2377" s="41">
        <v>7</v>
      </c>
      <c r="B2377" s="41" t="s">
        <v>7444</v>
      </c>
      <c r="D2377" s="41">
        <v>1504</v>
      </c>
      <c r="E2377" s="41" t="s">
        <v>7234</v>
      </c>
      <c r="F2377" s="41" t="s">
        <v>28</v>
      </c>
      <c r="G2377" s="41" t="s">
        <v>64</v>
      </c>
      <c r="I2377" s="41" t="s">
        <v>194</v>
      </c>
      <c r="J2377" s="41" t="s">
        <v>295</v>
      </c>
      <c r="K2377" s="42"/>
      <c r="L2377" s="41" t="s">
        <v>3573</v>
      </c>
      <c r="M2377" s="41">
        <v>23</v>
      </c>
      <c r="N2377" s="41" t="s">
        <v>488</v>
      </c>
      <c r="O2377" s="41" t="s">
        <v>488</v>
      </c>
      <c r="P2377" s="41" t="s">
        <v>78</v>
      </c>
      <c r="Q2377" s="41" t="s">
        <v>1065</v>
      </c>
      <c r="R2377" s="41" t="s">
        <v>39</v>
      </c>
      <c r="S2377" s="41" t="s">
        <v>40</v>
      </c>
      <c r="T2377" s="41" t="s">
        <v>40</v>
      </c>
      <c r="U2377" s="41" t="s">
        <v>40</v>
      </c>
    </row>
    <row r="2378" spans="1:21">
      <c r="A2378" s="41">
        <v>8</v>
      </c>
      <c r="B2378" s="41" t="s">
        <v>7445</v>
      </c>
      <c r="D2378" s="41">
        <v>1506</v>
      </c>
      <c r="E2378" s="41" t="s">
        <v>7234</v>
      </c>
      <c r="F2378" s="41" t="s">
        <v>28</v>
      </c>
      <c r="G2378" s="41" t="s">
        <v>64</v>
      </c>
      <c r="I2378" s="41" t="s">
        <v>194</v>
      </c>
      <c r="J2378" s="41" t="s">
        <v>295</v>
      </c>
      <c r="K2378" s="42"/>
      <c r="L2378" s="41" t="s">
        <v>3573</v>
      </c>
      <c r="M2378" s="41">
        <v>23</v>
      </c>
      <c r="N2378" s="41" t="s">
        <v>488</v>
      </c>
      <c r="O2378" s="41" t="s">
        <v>488</v>
      </c>
      <c r="P2378" s="41" t="s">
        <v>78</v>
      </c>
      <c r="Q2378" s="41" t="s">
        <v>1065</v>
      </c>
      <c r="R2378" s="41" t="s">
        <v>39</v>
      </c>
      <c r="S2378" s="41" t="s">
        <v>40</v>
      </c>
      <c r="T2378" s="41" t="s">
        <v>40</v>
      </c>
      <c r="U2378" s="41" t="s">
        <v>40</v>
      </c>
    </row>
    <row r="2379" spans="1:21">
      <c r="A2379" s="41">
        <v>209</v>
      </c>
      <c r="B2379" s="41" t="s">
        <v>7446</v>
      </c>
      <c r="D2379" s="41">
        <v>1503</v>
      </c>
      <c r="E2379" s="41" t="s">
        <v>7234</v>
      </c>
      <c r="F2379" s="41" t="s">
        <v>28</v>
      </c>
      <c r="G2379" s="41" t="s">
        <v>64</v>
      </c>
      <c r="I2379" s="41" t="s">
        <v>194</v>
      </c>
      <c r="J2379" s="41" t="s">
        <v>295</v>
      </c>
      <c r="K2379" s="42"/>
      <c r="L2379" s="41" t="s">
        <v>3573</v>
      </c>
      <c r="M2379" s="41">
        <v>23</v>
      </c>
      <c r="N2379" s="41" t="s">
        <v>488</v>
      </c>
      <c r="O2379" s="41" t="s">
        <v>488</v>
      </c>
      <c r="P2379" s="41" t="s">
        <v>78</v>
      </c>
      <c r="Q2379" s="41" t="s">
        <v>1065</v>
      </c>
      <c r="R2379" s="41" t="s">
        <v>39</v>
      </c>
      <c r="S2379" s="41" t="s">
        <v>40</v>
      </c>
      <c r="T2379" s="41" t="s">
        <v>40</v>
      </c>
      <c r="U2379" s="41" t="s">
        <v>40</v>
      </c>
    </row>
    <row r="2380" spans="1:21">
      <c r="A2380" s="41">
        <v>287</v>
      </c>
      <c r="B2380" s="41" t="s">
        <v>7447</v>
      </c>
      <c r="D2380" s="41">
        <v>1509</v>
      </c>
      <c r="E2380" s="41" t="s">
        <v>6313</v>
      </c>
      <c r="F2380" s="41" t="s">
        <v>53</v>
      </c>
      <c r="G2380" s="41" t="s">
        <v>64</v>
      </c>
      <c r="I2380" s="41" t="s">
        <v>325</v>
      </c>
      <c r="J2380" s="41" t="s">
        <v>380</v>
      </c>
      <c r="K2380" s="42"/>
      <c r="L2380" s="41" t="s">
        <v>7448</v>
      </c>
      <c r="M2380" s="41">
        <v>220</v>
      </c>
      <c r="N2380" s="41" t="s">
        <v>2395</v>
      </c>
      <c r="O2380" s="41" t="s">
        <v>77</v>
      </c>
      <c r="P2380" s="41" t="s">
        <v>1046</v>
      </c>
      <c r="Q2380" s="41" t="s">
        <v>3136</v>
      </c>
      <c r="R2380" s="41" t="s">
        <v>62</v>
      </c>
      <c r="S2380" s="41" t="s">
        <v>40</v>
      </c>
      <c r="T2380" s="41" t="s">
        <v>40</v>
      </c>
      <c r="U2380" s="41" t="s">
        <v>40</v>
      </c>
    </row>
    <row r="2381" spans="1:21">
      <c r="A2381" s="41">
        <v>119</v>
      </c>
      <c r="B2381" s="41" t="s">
        <v>7449</v>
      </c>
      <c r="D2381" s="41">
        <v>1510</v>
      </c>
      <c r="E2381" s="41" t="s">
        <v>7450</v>
      </c>
      <c r="F2381" s="41" t="s">
        <v>53</v>
      </c>
      <c r="G2381" s="41" t="s">
        <v>307</v>
      </c>
      <c r="I2381" s="41" t="s">
        <v>2820</v>
      </c>
      <c r="J2381" s="41" t="s">
        <v>672</v>
      </c>
      <c r="K2381" s="42"/>
      <c r="L2381" s="41" t="s">
        <v>7451</v>
      </c>
      <c r="M2381" s="41">
        <v>23</v>
      </c>
      <c r="N2381" s="41" t="s">
        <v>488</v>
      </c>
      <c r="O2381" s="41" t="s">
        <v>7452</v>
      </c>
      <c r="P2381" s="41" t="s">
        <v>83</v>
      </c>
      <c r="Q2381" s="41" t="s">
        <v>467</v>
      </c>
      <c r="R2381" s="41" t="s">
        <v>132</v>
      </c>
      <c r="S2381" s="41" t="s">
        <v>7453</v>
      </c>
      <c r="T2381" s="41" t="s">
        <v>7454</v>
      </c>
      <c r="U2381" s="41" t="s">
        <v>40</v>
      </c>
    </row>
    <row r="2382" spans="1:21">
      <c r="A2382" s="41">
        <v>338</v>
      </c>
      <c r="B2382" s="41" t="s">
        <v>7455</v>
      </c>
      <c r="D2382" s="41">
        <v>1508</v>
      </c>
      <c r="E2382" s="41" t="s">
        <v>3997</v>
      </c>
      <c r="F2382" s="41" t="s">
        <v>53</v>
      </c>
      <c r="G2382" s="41" t="s">
        <v>141</v>
      </c>
      <c r="I2382" s="41" t="s">
        <v>162</v>
      </c>
      <c r="J2382" s="41" t="s">
        <v>32</v>
      </c>
      <c r="K2382" s="42"/>
      <c r="L2382" s="41" t="s">
        <v>2950</v>
      </c>
      <c r="M2382" s="41">
        <v>500</v>
      </c>
      <c r="N2382" s="41" t="s">
        <v>6611</v>
      </c>
      <c r="O2382" s="41" t="s">
        <v>77</v>
      </c>
      <c r="P2382" s="41" t="s">
        <v>98</v>
      </c>
      <c r="Q2382" s="41" t="s">
        <v>99</v>
      </c>
      <c r="R2382" s="41" t="s">
        <v>62</v>
      </c>
      <c r="S2382" s="41" t="s">
        <v>7456</v>
      </c>
      <c r="T2382" s="41" t="s">
        <v>604</v>
      </c>
      <c r="U2382" s="41" t="s">
        <v>2169</v>
      </c>
    </row>
    <row r="2383" spans="1:21">
      <c r="A2383" s="41">
        <v>118</v>
      </c>
      <c r="B2383" s="41" t="s">
        <v>7457</v>
      </c>
      <c r="D2383" s="41">
        <v>1432</v>
      </c>
      <c r="E2383" s="41" t="s">
        <v>1613</v>
      </c>
      <c r="F2383" s="41" t="s">
        <v>53</v>
      </c>
      <c r="G2383" s="41" t="s">
        <v>64</v>
      </c>
      <c r="I2383" s="41" t="s">
        <v>966</v>
      </c>
      <c r="J2383" s="41" t="s">
        <v>295</v>
      </c>
      <c r="K2383" s="42"/>
      <c r="L2383" s="41" t="s">
        <v>5036</v>
      </c>
      <c r="M2383" s="41">
        <v>220</v>
      </c>
      <c r="N2383" s="41" t="s">
        <v>59</v>
      </c>
      <c r="O2383" s="41" t="s">
        <v>77</v>
      </c>
      <c r="P2383" s="41" t="s">
        <v>172</v>
      </c>
      <c r="Q2383" s="41" t="s">
        <v>253</v>
      </c>
      <c r="R2383" s="41" t="s">
        <v>132</v>
      </c>
      <c r="S2383" s="41" t="s">
        <v>7458</v>
      </c>
      <c r="T2383" s="41" t="s">
        <v>1773</v>
      </c>
      <c r="U2383" s="41" t="s">
        <v>40</v>
      </c>
    </row>
    <row r="2384" spans="1:21">
      <c r="A2384" s="41">
        <v>286</v>
      </c>
      <c r="B2384" s="41" t="s">
        <v>6982</v>
      </c>
      <c r="D2384" s="41">
        <v>1500</v>
      </c>
      <c r="E2384" s="41" t="s">
        <v>6313</v>
      </c>
      <c r="F2384" s="41" t="s">
        <v>53</v>
      </c>
      <c r="G2384" s="41" t="s">
        <v>64</v>
      </c>
      <c r="I2384" s="41" t="s">
        <v>7459</v>
      </c>
      <c r="J2384" s="41" t="s">
        <v>380</v>
      </c>
      <c r="K2384" s="42"/>
      <c r="L2384" s="41" t="s">
        <v>6942</v>
      </c>
      <c r="M2384" s="41">
        <v>110</v>
      </c>
      <c r="N2384" s="41" t="s">
        <v>59</v>
      </c>
      <c r="O2384" s="41" t="s">
        <v>77</v>
      </c>
      <c r="P2384" s="41" t="s">
        <v>172</v>
      </c>
      <c r="Q2384" s="41" t="s">
        <v>253</v>
      </c>
      <c r="R2384" s="41" t="s">
        <v>132</v>
      </c>
      <c r="S2384" s="41" t="s">
        <v>40</v>
      </c>
      <c r="T2384" s="41" t="s">
        <v>40</v>
      </c>
      <c r="U2384" s="41" t="s">
        <v>40</v>
      </c>
    </row>
    <row r="2385" spans="1:21">
      <c r="A2385" s="41">
        <v>115</v>
      </c>
      <c r="B2385" s="41" t="s">
        <v>7111</v>
      </c>
      <c r="D2385" s="41">
        <v>1480</v>
      </c>
      <c r="E2385" s="41" t="s">
        <v>7112</v>
      </c>
      <c r="F2385" s="41" t="s">
        <v>53</v>
      </c>
      <c r="G2385" s="41" t="s">
        <v>64</v>
      </c>
      <c r="I2385" s="41" t="s">
        <v>194</v>
      </c>
      <c r="J2385" s="41" t="s">
        <v>295</v>
      </c>
      <c r="K2385" s="42"/>
      <c r="L2385" s="41" t="s">
        <v>7460</v>
      </c>
      <c r="M2385" s="41">
        <v>138</v>
      </c>
      <c r="N2385" s="41" t="s">
        <v>4049</v>
      </c>
      <c r="O2385" s="41" t="s">
        <v>7461</v>
      </c>
      <c r="P2385" s="41" t="s">
        <v>60</v>
      </c>
      <c r="Q2385" s="41" t="s">
        <v>419</v>
      </c>
      <c r="R2385" s="41" t="s">
        <v>132</v>
      </c>
      <c r="S2385" s="41" t="s">
        <v>40</v>
      </c>
      <c r="T2385" s="41" t="s">
        <v>40</v>
      </c>
      <c r="U2385" s="41" t="s">
        <v>40</v>
      </c>
    </row>
    <row r="2386" spans="1:21">
      <c r="A2386" s="41">
        <v>116</v>
      </c>
      <c r="B2386" s="41" t="s">
        <v>7462</v>
      </c>
      <c r="D2386" s="41">
        <v>1484</v>
      </c>
      <c r="E2386" s="41" t="s">
        <v>2405</v>
      </c>
      <c r="F2386" s="41" t="s">
        <v>53</v>
      </c>
      <c r="G2386" s="41" t="s">
        <v>64</v>
      </c>
      <c r="I2386" s="41" t="s">
        <v>231</v>
      </c>
      <c r="J2386" s="41" t="s">
        <v>295</v>
      </c>
      <c r="K2386" s="42"/>
      <c r="L2386" s="41" t="s">
        <v>374</v>
      </c>
      <c r="M2386" s="41">
        <v>66</v>
      </c>
      <c r="N2386" s="41" t="s">
        <v>59</v>
      </c>
      <c r="O2386" s="41" t="s">
        <v>445</v>
      </c>
      <c r="P2386" s="41" t="s">
        <v>334</v>
      </c>
      <c r="Q2386" s="41" t="s">
        <v>335</v>
      </c>
      <c r="R2386" s="41" t="s">
        <v>132</v>
      </c>
      <c r="S2386" s="41" t="s">
        <v>40</v>
      </c>
      <c r="T2386" s="41" t="s">
        <v>40</v>
      </c>
      <c r="U2386" s="41" t="s">
        <v>40</v>
      </c>
    </row>
    <row r="2387" spans="1:21">
      <c r="A2387" s="41">
        <v>117</v>
      </c>
      <c r="B2387" s="41" t="s">
        <v>7463</v>
      </c>
      <c r="D2387" s="41">
        <v>1481</v>
      </c>
      <c r="E2387" s="41" t="s">
        <v>1076</v>
      </c>
      <c r="F2387" s="41" t="s">
        <v>53</v>
      </c>
      <c r="G2387" s="41" t="s">
        <v>64</v>
      </c>
      <c r="I2387" s="41" t="s">
        <v>411</v>
      </c>
      <c r="J2387" s="41" t="s">
        <v>295</v>
      </c>
      <c r="K2387" s="42"/>
      <c r="L2387" s="41" t="s">
        <v>7133</v>
      </c>
      <c r="M2387" s="41">
        <v>66</v>
      </c>
      <c r="N2387" s="41" t="s">
        <v>59</v>
      </c>
      <c r="O2387" s="41" t="s">
        <v>2721</v>
      </c>
      <c r="P2387" s="41" t="s">
        <v>60</v>
      </c>
      <c r="Q2387" s="41" t="s">
        <v>61</v>
      </c>
      <c r="R2387" s="41" t="s">
        <v>132</v>
      </c>
      <c r="S2387" s="41" t="s">
        <v>40</v>
      </c>
      <c r="T2387" s="41" t="s">
        <v>40</v>
      </c>
      <c r="U2387" s="41" t="s">
        <v>40</v>
      </c>
    </row>
    <row r="2388" spans="1:21">
      <c r="A2388" s="41">
        <v>140</v>
      </c>
      <c r="B2388" s="41" t="s">
        <v>7464</v>
      </c>
      <c r="D2388" s="41">
        <v>1482</v>
      </c>
      <c r="E2388" s="41" t="s">
        <v>1076</v>
      </c>
      <c r="F2388" s="41" t="s">
        <v>53</v>
      </c>
      <c r="G2388" s="41" t="s">
        <v>141</v>
      </c>
      <c r="I2388" s="41" t="s">
        <v>231</v>
      </c>
      <c r="J2388" s="41" t="s">
        <v>295</v>
      </c>
      <c r="K2388" s="42"/>
      <c r="L2388" s="41" t="s">
        <v>7465</v>
      </c>
      <c r="M2388" s="41">
        <v>66</v>
      </c>
      <c r="N2388" s="41" t="s">
        <v>59</v>
      </c>
      <c r="O2388" s="41" t="s">
        <v>466</v>
      </c>
      <c r="P2388" s="41" t="s">
        <v>334</v>
      </c>
      <c r="Q2388" s="41" t="s">
        <v>2815</v>
      </c>
      <c r="R2388" s="41" t="s">
        <v>132</v>
      </c>
      <c r="S2388" s="41" t="s">
        <v>7466</v>
      </c>
      <c r="T2388" s="41" t="s">
        <v>770</v>
      </c>
      <c r="U2388" s="41" t="s">
        <v>1433</v>
      </c>
    </row>
    <row r="2389" spans="1:21">
      <c r="A2389" s="41">
        <v>141</v>
      </c>
      <c r="B2389" s="41" t="s">
        <v>7467</v>
      </c>
      <c r="D2389" s="41">
        <v>1485</v>
      </c>
      <c r="E2389" s="41" t="s">
        <v>1076</v>
      </c>
      <c r="F2389" s="41" t="s">
        <v>53</v>
      </c>
      <c r="G2389" s="41" t="s">
        <v>64</v>
      </c>
      <c r="I2389" s="41" t="s">
        <v>411</v>
      </c>
      <c r="J2389" s="41" t="s">
        <v>295</v>
      </c>
      <c r="K2389" s="42"/>
      <c r="L2389" s="41" t="s">
        <v>7468</v>
      </c>
      <c r="M2389" s="41">
        <v>66</v>
      </c>
      <c r="N2389" s="41" t="s">
        <v>59</v>
      </c>
      <c r="O2389" s="41" t="s">
        <v>466</v>
      </c>
      <c r="P2389" s="41" t="s">
        <v>334</v>
      </c>
      <c r="Q2389" s="41" t="s">
        <v>2815</v>
      </c>
      <c r="R2389" s="41" t="s">
        <v>132</v>
      </c>
      <c r="S2389" s="41" t="s">
        <v>40</v>
      </c>
      <c r="T2389" s="41" t="s">
        <v>40</v>
      </c>
      <c r="U2389" s="41" t="s">
        <v>40</v>
      </c>
    </row>
    <row r="2390" spans="1:21">
      <c r="A2390" s="41">
        <v>284</v>
      </c>
      <c r="B2390" s="41" t="s">
        <v>7469</v>
      </c>
      <c r="D2390" s="41">
        <v>1483</v>
      </c>
      <c r="E2390" s="41" t="s">
        <v>1076</v>
      </c>
      <c r="F2390" s="41" t="s">
        <v>53</v>
      </c>
      <c r="G2390" s="41" t="s">
        <v>64</v>
      </c>
      <c r="I2390" s="41" t="s">
        <v>231</v>
      </c>
      <c r="J2390" s="41" t="s">
        <v>295</v>
      </c>
      <c r="K2390" s="42"/>
      <c r="L2390" s="41" t="s">
        <v>7470</v>
      </c>
      <c r="M2390" s="41">
        <v>66</v>
      </c>
      <c r="N2390" s="41" t="s">
        <v>59</v>
      </c>
      <c r="O2390" s="41" t="s">
        <v>482</v>
      </c>
      <c r="P2390" s="41" t="s">
        <v>37</v>
      </c>
      <c r="Q2390" s="41" t="s">
        <v>969</v>
      </c>
      <c r="R2390" s="41" t="s">
        <v>132</v>
      </c>
      <c r="S2390" s="41" t="s">
        <v>40</v>
      </c>
      <c r="T2390" s="41" t="s">
        <v>40</v>
      </c>
      <c r="U2390" s="41" t="s">
        <v>40</v>
      </c>
    </row>
    <row r="2391" spans="1:21">
      <c r="A2391" s="41">
        <v>285</v>
      </c>
      <c r="B2391" s="41" t="s">
        <v>7471</v>
      </c>
      <c r="D2391" s="41">
        <v>1486</v>
      </c>
      <c r="E2391" s="41" t="s">
        <v>1076</v>
      </c>
      <c r="F2391" s="41" t="s">
        <v>53</v>
      </c>
      <c r="G2391" s="41" t="s">
        <v>64</v>
      </c>
      <c r="I2391" s="41" t="s">
        <v>231</v>
      </c>
      <c r="J2391" s="41" t="s">
        <v>295</v>
      </c>
      <c r="K2391" s="42"/>
      <c r="L2391" s="41" t="s">
        <v>7415</v>
      </c>
      <c r="M2391" s="41">
        <v>110</v>
      </c>
      <c r="N2391" s="41" t="s">
        <v>488</v>
      </c>
      <c r="O2391" s="41" t="s">
        <v>488</v>
      </c>
      <c r="P2391" s="41" t="s">
        <v>78</v>
      </c>
      <c r="Q2391" s="41" t="s">
        <v>2407</v>
      </c>
      <c r="R2391" s="41" t="s">
        <v>39</v>
      </c>
      <c r="S2391" s="41" t="s">
        <v>40</v>
      </c>
      <c r="T2391" s="41" t="s">
        <v>40</v>
      </c>
      <c r="U2391" s="41" t="s">
        <v>40</v>
      </c>
    </row>
    <row r="2392" spans="1:21">
      <c r="A2392" s="41">
        <v>114</v>
      </c>
      <c r="B2392" s="41" t="s">
        <v>7472</v>
      </c>
      <c r="D2392" s="41">
        <v>1478</v>
      </c>
      <c r="E2392" s="41" t="s">
        <v>6313</v>
      </c>
      <c r="F2392" s="41" t="s">
        <v>53</v>
      </c>
      <c r="G2392" s="41" t="s">
        <v>64</v>
      </c>
      <c r="I2392" s="41" t="s">
        <v>338</v>
      </c>
      <c r="J2392" s="41" t="s">
        <v>295</v>
      </c>
      <c r="K2392" s="42"/>
      <c r="L2392" s="41" t="s">
        <v>7473</v>
      </c>
      <c r="M2392" s="41">
        <v>220</v>
      </c>
      <c r="N2392" s="41" t="s">
        <v>77</v>
      </c>
      <c r="O2392" s="41" t="s">
        <v>77</v>
      </c>
      <c r="P2392" s="41" t="s">
        <v>98</v>
      </c>
      <c r="Q2392" s="41" t="s">
        <v>98</v>
      </c>
      <c r="R2392" s="41" t="s">
        <v>62</v>
      </c>
      <c r="S2392" s="41" t="s">
        <v>40</v>
      </c>
      <c r="T2392" s="41" t="s">
        <v>40</v>
      </c>
      <c r="U2392" s="41" t="s">
        <v>40</v>
      </c>
    </row>
    <row r="2393" spans="1:21">
      <c r="A2393" s="41">
        <v>113</v>
      </c>
      <c r="B2393" s="41" t="s">
        <v>7474</v>
      </c>
      <c r="D2393" s="41">
        <v>1463</v>
      </c>
      <c r="E2393" s="41" t="s">
        <v>3714</v>
      </c>
      <c r="F2393" s="41" t="s">
        <v>53</v>
      </c>
      <c r="G2393" s="41" t="s">
        <v>43</v>
      </c>
      <c r="I2393" s="41" t="s">
        <v>4690</v>
      </c>
      <c r="J2393" s="41" t="s">
        <v>295</v>
      </c>
      <c r="K2393" s="42"/>
      <c r="L2393" s="41" t="s">
        <v>574</v>
      </c>
      <c r="M2393" s="41">
        <v>220</v>
      </c>
      <c r="N2393" s="41" t="s">
        <v>6611</v>
      </c>
      <c r="O2393" s="41" t="s">
        <v>791</v>
      </c>
      <c r="P2393" s="41" t="s">
        <v>179</v>
      </c>
      <c r="Q2393" s="41" t="s">
        <v>284</v>
      </c>
      <c r="R2393" s="41" t="s">
        <v>62</v>
      </c>
      <c r="S2393" s="41" t="s">
        <v>3891</v>
      </c>
      <c r="T2393" s="41" t="s">
        <v>198</v>
      </c>
      <c r="U2393" s="41" t="s">
        <v>146</v>
      </c>
    </row>
    <row r="2394" spans="1:21">
      <c r="A2394" s="41">
        <v>283</v>
      </c>
      <c r="B2394" s="41" t="s">
        <v>571</v>
      </c>
      <c r="D2394" s="41">
        <v>1462</v>
      </c>
      <c r="E2394" s="41" t="s">
        <v>3714</v>
      </c>
      <c r="F2394" s="41" t="s">
        <v>53</v>
      </c>
      <c r="G2394" s="41" t="s">
        <v>64</v>
      </c>
      <c r="I2394" s="41" t="s">
        <v>338</v>
      </c>
      <c r="J2394" s="41" t="s">
        <v>295</v>
      </c>
      <c r="K2394" s="42"/>
      <c r="L2394" s="41" t="s">
        <v>574</v>
      </c>
      <c r="M2394" s="41">
        <v>220</v>
      </c>
      <c r="N2394" s="41" t="s">
        <v>6611</v>
      </c>
      <c r="O2394" s="41" t="s">
        <v>2919</v>
      </c>
      <c r="P2394" s="41" t="s">
        <v>179</v>
      </c>
      <c r="Q2394" s="41" t="s">
        <v>284</v>
      </c>
      <c r="R2394" s="41" t="s">
        <v>62</v>
      </c>
      <c r="S2394" s="41" t="s">
        <v>40</v>
      </c>
      <c r="T2394" s="41" t="s">
        <v>40</v>
      </c>
      <c r="U2394" s="41" t="s">
        <v>40</v>
      </c>
    </row>
    <row r="2395" spans="1:21">
      <c r="A2395" s="41">
        <v>112</v>
      </c>
      <c r="B2395" s="41" t="s">
        <v>7475</v>
      </c>
      <c r="D2395" s="41">
        <v>1461</v>
      </c>
      <c r="E2395" s="41" t="s">
        <v>3714</v>
      </c>
      <c r="F2395" s="41" t="s">
        <v>53</v>
      </c>
      <c r="G2395" s="41" t="s">
        <v>43</v>
      </c>
      <c r="I2395" s="41" t="s">
        <v>45</v>
      </c>
      <c r="J2395" s="41" t="s">
        <v>380</v>
      </c>
      <c r="K2395" s="42"/>
      <c r="L2395" s="41" t="s">
        <v>269</v>
      </c>
      <c r="M2395" s="41">
        <v>220</v>
      </c>
      <c r="N2395" s="41" t="s">
        <v>7476</v>
      </c>
      <c r="O2395" s="41" t="s">
        <v>396</v>
      </c>
      <c r="P2395" s="41" t="s">
        <v>37</v>
      </c>
      <c r="Q2395" s="41" t="s">
        <v>272</v>
      </c>
      <c r="R2395" s="41" t="s">
        <v>132</v>
      </c>
      <c r="S2395" s="41" t="s">
        <v>7477</v>
      </c>
      <c r="T2395" s="41" t="s">
        <v>3429</v>
      </c>
      <c r="U2395" s="41" t="s">
        <v>40</v>
      </c>
    </row>
    <row r="2396" spans="1:21">
      <c r="A2396" s="41">
        <v>99</v>
      </c>
      <c r="B2396" s="41" t="s">
        <v>562</v>
      </c>
      <c r="D2396" s="41">
        <v>1388</v>
      </c>
      <c r="E2396" s="41" t="s">
        <v>27</v>
      </c>
      <c r="F2396" s="41" t="s">
        <v>53</v>
      </c>
      <c r="G2396" s="41" t="s">
        <v>64</v>
      </c>
      <c r="I2396" s="41" t="s">
        <v>194</v>
      </c>
      <c r="J2396" s="41" t="s">
        <v>295</v>
      </c>
      <c r="K2396" s="42"/>
      <c r="L2396" s="41" t="s">
        <v>564</v>
      </c>
      <c r="M2396" s="41">
        <v>23</v>
      </c>
      <c r="N2396" s="41" t="s">
        <v>395</v>
      </c>
      <c r="O2396" s="41" t="s">
        <v>565</v>
      </c>
      <c r="P2396" s="41" t="s">
        <v>172</v>
      </c>
      <c r="Q2396" s="41" t="s">
        <v>197</v>
      </c>
      <c r="R2396" s="41" t="s">
        <v>132</v>
      </c>
      <c r="S2396" s="41" t="s">
        <v>40</v>
      </c>
      <c r="T2396" s="41" t="s">
        <v>40</v>
      </c>
      <c r="U2396" s="41" t="s">
        <v>40</v>
      </c>
    </row>
    <row r="2397" spans="1:21">
      <c r="A2397" s="41">
        <v>100</v>
      </c>
      <c r="B2397" s="41" t="s">
        <v>7478</v>
      </c>
      <c r="D2397" s="41">
        <v>1385</v>
      </c>
      <c r="E2397" s="41" t="s">
        <v>6216</v>
      </c>
      <c r="F2397" s="41" t="s">
        <v>53</v>
      </c>
      <c r="G2397" s="41" t="s">
        <v>64</v>
      </c>
      <c r="I2397" s="41" t="s">
        <v>194</v>
      </c>
      <c r="J2397" s="41" t="s">
        <v>295</v>
      </c>
      <c r="K2397" s="42"/>
      <c r="L2397" s="41" t="s">
        <v>4358</v>
      </c>
      <c r="M2397" s="41">
        <v>66</v>
      </c>
      <c r="N2397" s="41" t="s">
        <v>7479</v>
      </c>
      <c r="O2397" s="41" t="s">
        <v>619</v>
      </c>
      <c r="P2397" s="41" t="s">
        <v>172</v>
      </c>
      <c r="Q2397" s="41" t="s">
        <v>197</v>
      </c>
      <c r="R2397" s="41" t="s">
        <v>132</v>
      </c>
      <c r="S2397" s="41" t="s">
        <v>7480</v>
      </c>
      <c r="T2397" s="41" t="s">
        <v>40</v>
      </c>
      <c r="U2397" s="41" t="s">
        <v>40</v>
      </c>
    </row>
    <row r="2398" spans="1:21">
      <c r="A2398" s="41">
        <v>101</v>
      </c>
      <c r="B2398" s="41" t="s">
        <v>566</v>
      </c>
      <c r="D2398" s="41">
        <v>1389</v>
      </c>
      <c r="E2398" s="41" t="s">
        <v>27</v>
      </c>
      <c r="F2398" s="41" t="s">
        <v>53</v>
      </c>
      <c r="G2398" s="41" t="s">
        <v>43</v>
      </c>
      <c r="I2398" s="41" t="s">
        <v>194</v>
      </c>
      <c r="J2398" s="41" t="s">
        <v>295</v>
      </c>
      <c r="K2398" s="42"/>
      <c r="L2398" s="41" t="s">
        <v>568</v>
      </c>
      <c r="M2398" s="41">
        <v>23</v>
      </c>
      <c r="N2398" s="41" t="s">
        <v>340</v>
      </c>
      <c r="O2398" s="41" t="s">
        <v>77</v>
      </c>
      <c r="P2398" s="41" t="s">
        <v>98</v>
      </c>
      <c r="Q2398" s="41" t="s">
        <v>569</v>
      </c>
      <c r="R2398" s="41" t="s">
        <v>132</v>
      </c>
      <c r="S2398" s="41" t="s">
        <v>40</v>
      </c>
      <c r="T2398" s="41" t="s">
        <v>40</v>
      </c>
      <c r="U2398" s="41" t="s">
        <v>40</v>
      </c>
    </row>
    <row r="2399" spans="1:21">
      <c r="A2399" s="41">
        <v>102</v>
      </c>
      <c r="B2399" s="41" t="s">
        <v>570</v>
      </c>
      <c r="D2399" s="41">
        <v>1387</v>
      </c>
      <c r="E2399" s="41" t="s">
        <v>27</v>
      </c>
      <c r="F2399" s="41" t="s">
        <v>53</v>
      </c>
      <c r="G2399" s="41" t="s">
        <v>43</v>
      </c>
      <c r="I2399" s="41" t="s">
        <v>194</v>
      </c>
      <c r="J2399" s="41" t="s">
        <v>295</v>
      </c>
      <c r="K2399" s="42"/>
      <c r="L2399" s="41" t="s">
        <v>568</v>
      </c>
      <c r="M2399" s="41">
        <v>23</v>
      </c>
      <c r="N2399" s="41" t="s">
        <v>340</v>
      </c>
      <c r="O2399" s="41" t="s">
        <v>77</v>
      </c>
      <c r="P2399" s="41" t="s">
        <v>98</v>
      </c>
      <c r="Q2399" s="41" t="s">
        <v>569</v>
      </c>
      <c r="R2399" s="41" t="s">
        <v>132</v>
      </c>
      <c r="S2399" s="41" t="s">
        <v>40</v>
      </c>
      <c r="T2399" s="41" t="s">
        <v>40</v>
      </c>
      <c r="U2399" s="41" t="s">
        <v>40</v>
      </c>
    </row>
    <row r="2400" spans="1:21">
      <c r="A2400" s="41">
        <v>103</v>
      </c>
      <c r="B2400" s="41" t="s">
        <v>7481</v>
      </c>
      <c r="D2400" s="41">
        <v>1386</v>
      </c>
      <c r="E2400" s="41" t="s">
        <v>7482</v>
      </c>
      <c r="F2400" s="41" t="s">
        <v>53</v>
      </c>
      <c r="G2400" s="41" t="s">
        <v>64</v>
      </c>
      <c r="I2400" s="41" t="s">
        <v>162</v>
      </c>
      <c r="J2400" s="41" t="s">
        <v>1652</v>
      </c>
      <c r="K2400" s="42"/>
      <c r="L2400" s="41" t="s">
        <v>7483</v>
      </c>
      <c r="M2400" s="41">
        <v>154</v>
      </c>
      <c r="N2400" s="41" t="s">
        <v>619</v>
      </c>
      <c r="O2400" s="41" t="s">
        <v>77</v>
      </c>
      <c r="P2400" s="41" t="s">
        <v>37</v>
      </c>
      <c r="Q2400" s="41" t="s">
        <v>38</v>
      </c>
      <c r="R2400" s="41" t="s">
        <v>132</v>
      </c>
      <c r="S2400" s="41" t="s">
        <v>40</v>
      </c>
      <c r="T2400" s="41" t="s">
        <v>40</v>
      </c>
      <c r="U2400" s="41" t="s">
        <v>40</v>
      </c>
    </row>
    <row r="2401" spans="1:21">
      <c r="A2401" s="41">
        <v>45</v>
      </c>
      <c r="B2401" s="41" t="s">
        <v>7484</v>
      </c>
      <c r="D2401" s="41">
        <v>1465</v>
      </c>
      <c r="E2401" s="41" t="s">
        <v>5340</v>
      </c>
      <c r="F2401" s="41" t="s">
        <v>28</v>
      </c>
      <c r="G2401" s="41" t="s">
        <v>43</v>
      </c>
      <c r="I2401" s="41" t="s">
        <v>194</v>
      </c>
      <c r="J2401" s="41" t="s">
        <v>295</v>
      </c>
      <c r="K2401" s="42"/>
      <c r="L2401" s="41" t="s">
        <v>7485</v>
      </c>
      <c r="M2401" s="41">
        <v>23</v>
      </c>
      <c r="N2401" s="41" t="s">
        <v>488</v>
      </c>
      <c r="O2401" s="41" t="s">
        <v>488</v>
      </c>
      <c r="P2401" s="41" t="s">
        <v>98</v>
      </c>
      <c r="Q2401" s="41" t="s">
        <v>491</v>
      </c>
      <c r="R2401" s="41" t="s">
        <v>39</v>
      </c>
      <c r="S2401" s="41" t="s">
        <v>40</v>
      </c>
      <c r="T2401" s="41" t="s">
        <v>40</v>
      </c>
      <c r="U2401" s="41" t="s">
        <v>40</v>
      </c>
    </row>
    <row r="2402" spans="1:21">
      <c r="A2402" s="41">
        <v>364</v>
      </c>
      <c r="B2402" s="41" t="s">
        <v>7486</v>
      </c>
      <c r="D2402" s="41">
        <v>1464</v>
      </c>
      <c r="E2402" s="41" t="s">
        <v>5340</v>
      </c>
      <c r="F2402" s="41" t="s">
        <v>28</v>
      </c>
      <c r="G2402" s="41" t="s">
        <v>43</v>
      </c>
      <c r="I2402" s="41" t="s">
        <v>194</v>
      </c>
      <c r="J2402" s="41" t="s">
        <v>295</v>
      </c>
      <c r="K2402" s="42"/>
      <c r="L2402" s="41" t="s">
        <v>7487</v>
      </c>
      <c r="M2402" s="41">
        <v>23</v>
      </c>
      <c r="N2402" s="41" t="s">
        <v>488</v>
      </c>
      <c r="O2402" s="41" t="s">
        <v>488</v>
      </c>
      <c r="P2402" s="41" t="s">
        <v>98</v>
      </c>
      <c r="Q2402" s="41" t="s">
        <v>99</v>
      </c>
      <c r="R2402" s="41" t="s">
        <v>39</v>
      </c>
      <c r="S2402" s="41" t="s">
        <v>40</v>
      </c>
      <c r="T2402" s="41" t="s">
        <v>40</v>
      </c>
      <c r="U2402" s="41" t="s">
        <v>40</v>
      </c>
    </row>
    <row r="2403" spans="1:21">
      <c r="A2403" s="41">
        <v>70</v>
      </c>
      <c r="B2403" s="41" t="s">
        <v>7488</v>
      </c>
      <c r="D2403" s="41">
        <v>993</v>
      </c>
      <c r="E2403" s="41" t="s">
        <v>7489</v>
      </c>
      <c r="F2403" s="41" t="s">
        <v>53</v>
      </c>
      <c r="G2403" s="41" t="s">
        <v>307</v>
      </c>
      <c r="I2403" s="41" t="s">
        <v>7490</v>
      </c>
      <c r="J2403" s="41" t="s">
        <v>380</v>
      </c>
      <c r="K2403" s="42"/>
      <c r="L2403" s="41" t="s">
        <v>7364</v>
      </c>
      <c r="M2403" s="41">
        <v>110</v>
      </c>
      <c r="N2403" s="41" t="s">
        <v>4118</v>
      </c>
      <c r="O2403" s="41" t="s">
        <v>747</v>
      </c>
      <c r="P2403" s="41" t="s">
        <v>172</v>
      </c>
      <c r="Q2403" s="41" t="s">
        <v>253</v>
      </c>
      <c r="R2403" s="41" t="s">
        <v>132</v>
      </c>
      <c r="S2403" s="41" t="s">
        <v>7491</v>
      </c>
      <c r="T2403" s="41" t="s">
        <v>40</v>
      </c>
      <c r="U2403" s="41" t="s">
        <v>40</v>
      </c>
    </row>
    <row r="2404" spans="1:21">
      <c r="A2404" s="41">
        <v>107</v>
      </c>
      <c r="B2404" s="41" t="s">
        <v>7492</v>
      </c>
      <c r="D2404" s="41">
        <v>1433</v>
      </c>
      <c r="E2404" s="41" t="s">
        <v>5629</v>
      </c>
      <c r="F2404" s="41" t="s">
        <v>53</v>
      </c>
      <c r="G2404" s="41" t="s">
        <v>141</v>
      </c>
      <c r="I2404" s="41" t="s">
        <v>7493</v>
      </c>
      <c r="J2404" s="41" t="s">
        <v>380</v>
      </c>
      <c r="K2404" s="42"/>
      <c r="L2404" s="41" t="s">
        <v>3895</v>
      </c>
      <c r="M2404" s="41">
        <v>220</v>
      </c>
      <c r="N2404" s="41" t="s">
        <v>77</v>
      </c>
      <c r="O2404" s="41" t="s">
        <v>77</v>
      </c>
      <c r="P2404" s="41" t="s">
        <v>60</v>
      </c>
      <c r="Q2404" s="41" t="s">
        <v>963</v>
      </c>
      <c r="R2404" s="41" t="s">
        <v>132</v>
      </c>
      <c r="S2404" s="41" t="s">
        <v>3891</v>
      </c>
      <c r="T2404" s="41" t="s">
        <v>205</v>
      </c>
      <c r="U2404" s="41" t="s">
        <v>266</v>
      </c>
    </row>
    <row r="2405" spans="1:21">
      <c r="A2405" s="41">
        <v>108</v>
      </c>
      <c r="B2405" s="41" t="s">
        <v>7494</v>
      </c>
      <c r="D2405" s="41">
        <v>1434</v>
      </c>
      <c r="E2405" s="41" t="s">
        <v>1613</v>
      </c>
      <c r="F2405" s="41" t="s">
        <v>53</v>
      </c>
      <c r="G2405" s="41" t="s">
        <v>141</v>
      </c>
      <c r="I2405" s="41" t="s">
        <v>966</v>
      </c>
      <c r="J2405" s="41" t="s">
        <v>295</v>
      </c>
      <c r="K2405" s="42"/>
      <c r="L2405" s="41" t="s">
        <v>5102</v>
      </c>
      <c r="M2405" s="41">
        <v>220</v>
      </c>
      <c r="N2405" s="41" t="s">
        <v>67</v>
      </c>
      <c r="O2405" s="41" t="s">
        <v>77</v>
      </c>
      <c r="P2405" s="41" t="s">
        <v>172</v>
      </c>
      <c r="Q2405" s="41" t="s">
        <v>197</v>
      </c>
      <c r="R2405" s="41" t="s">
        <v>132</v>
      </c>
      <c r="S2405" s="41" t="s">
        <v>7495</v>
      </c>
      <c r="T2405" s="41" t="s">
        <v>604</v>
      </c>
      <c r="U2405" s="41" t="s">
        <v>2169</v>
      </c>
    </row>
    <row r="2406" spans="1:21">
      <c r="A2406" s="41">
        <v>31</v>
      </c>
      <c r="B2406" s="41" t="s">
        <v>7496</v>
      </c>
      <c r="D2406" s="41">
        <v>1430</v>
      </c>
      <c r="E2406" s="41" t="s">
        <v>7234</v>
      </c>
      <c r="F2406" s="41" t="s">
        <v>28</v>
      </c>
      <c r="G2406" s="41" t="s">
        <v>64</v>
      </c>
      <c r="I2406" s="41" t="s">
        <v>194</v>
      </c>
      <c r="J2406" s="41" t="s">
        <v>295</v>
      </c>
      <c r="K2406" s="42"/>
      <c r="L2406" s="41" t="s">
        <v>7497</v>
      </c>
      <c r="M2406" s="41">
        <v>23</v>
      </c>
      <c r="N2406" s="41" t="s">
        <v>488</v>
      </c>
      <c r="O2406" s="41" t="s">
        <v>488</v>
      </c>
      <c r="P2406" s="41" t="s">
        <v>153</v>
      </c>
      <c r="Q2406" s="41" t="s">
        <v>1567</v>
      </c>
      <c r="R2406" s="41" t="s">
        <v>39</v>
      </c>
      <c r="S2406" s="41" t="s">
        <v>40</v>
      </c>
      <c r="T2406" s="41" t="s">
        <v>40</v>
      </c>
      <c r="U2406" s="41" t="s">
        <v>40</v>
      </c>
    </row>
    <row r="2407" spans="1:21">
      <c r="A2407" s="41">
        <v>32</v>
      </c>
      <c r="B2407" s="41" t="s">
        <v>7498</v>
      </c>
      <c r="D2407" s="41">
        <v>1428</v>
      </c>
      <c r="E2407" s="41" t="s">
        <v>7234</v>
      </c>
      <c r="F2407" s="41" t="s">
        <v>28</v>
      </c>
      <c r="G2407" s="41" t="s">
        <v>307</v>
      </c>
      <c r="I2407" s="41" t="s">
        <v>1243</v>
      </c>
      <c r="J2407" s="41" t="s">
        <v>295</v>
      </c>
      <c r="K2407" s="42"/>
      <c r="L2407" s="41" t="s">
        <v>7499</v>
      </c>
      <c r="M2407" s="41">
        <v>23</v>
      </c>
      <c r="N2407" s="41" t="s">
        <v>488</v>
      </c>
      <c r="O2407" s="41" t="s">
        <v>488</v>
      </c>
      <c r="P2407" s="41" t="s">
        <v>153</v>
      </c>
      <c r="Q2407" s="41" t="s">
        <v>7500</v>
      </c>
      <c r="R2407" s="41" t="s">
        <v>39</v>
      </c>
      <c r="S2407" s="41" t="s">
        <v>40</v>
      </c>
      <c r="T2407" s="41" t="s">
        <v>6813</v>
      </c>
      <c r="U2407" s="41" t="s">
        <v>40</v>
      </c>
    </row>
    <row r="2408" spans="1:21">
      <c r="A2408" s="41">
        <v>33</v>
      </c>
      <c r="B2408" s="41" t="s">
        <v>7501</v>
      </c>
      <c r="D2408" s="41">
        <v>1429</v>
      </c>
      <c r="E2408" s="41" t="s">
        <v>7234</v>
      </c>
      <c r="F2408" s="41" t="s">
        <v>28</v>
      </c>
      <c r="G2408" s="41" t="s">
        <v>307</v>
      </c>
      <c r="I2408" s="41" t="s">
        <v>194</v>
      </c>
      <c r="J2408" s="41" t="s">
        <v>295</v>
      </c>
      <c r="K2408" s="42"/>
      <c r="L2408" s="41" t="s">
        <v>7502</v>
      </c>
      <c r="M2408" s="41">
        <v>23</v>
      </c>
      <c r="N2408" s="41" t="s">
        <v>488</v>
      </c>
      <c r="O2408" s="41" t="s">
        <v>488</v>
      </c>
      <c r="P2408" s="41" t="s">
        <v>153</v>
      </c>
      <c r="Q2408" s="41" t="s">
        <v>153</v>
      </c>
      <c r="R2408" s="41" t="s">
        <v>39</v>
      </c>
      <c r="S2408" s="41" t="s">
        <v>40</v>
      </c>
      <c r="T2408" s="41" t="s">
        <v>7503</v>
      </c>
      <c r="U2408" s="41" t="s">
        <v>7504</v>
      </c>
    </row>
    <row r="2409" spans="1:21">
      <c r="A2409" s="41">
        <v>34</v>
      </c>
      <c r="B2409" s="41" t="s">
        <v>7505</v>
      </c>
      <c r="D2409" s="41">
        <v>1431</v>
      </c>
      <c r="E2409" s="41" t="s">
        <v>7234</v>
      </c>
      <c r="F2409" s="41" t="s">
        <v>28</v>
      </c>
      <c r="G2409" s="41" t="s">
        <v>307</v>
      </c>
      <c r="I2409" s="41" t="s">
        <v>194</v>
      </c>
      <c r="J2409" s="41" t="s">
        <v>295</v>
      </c>
      <c r="K2409" s="42"/>
      <c r="L2409" s="41" t="s">
        <v>7506</v>
      </c>
      <c r="M2409" s="41">
        <v>23</v>
      </c>
      <c r="N2409" s="41" t="s">
        <v>488</v>
      </c>
      <c r="O2409" s="41" t="s">
        <v>488</v>
      </c>
      <c r="P2409" s="41" t="s">
        <v>179</v>
      </c>
      <c r="Q2409" s="41" t="s">
        <v>284</v>
      </c>
      <c r="R2409" s="41" t="s">
        <v>39</v>
      </c>
      <c r="S2409" s="41" t="s">
        <v>40</v>
      </c>
      <c r="T2409" s="41" t="s">
        <v>7507</v>
      </c>
      <c r="U2409" s="41" t="s">
        <v>6282</v>
      </c>
    </row>
    <row r="2410" spans="1:21">
      <c r="A2410" s="41">
        <v>106</v>
      </c>
      <c r="B2410" s="41" t="s">
        <v>7508</v>
      </c>
      <c r="D2410" s="41">
        <v>1422</v>
      </c>
      <c r="E2410" s="41" t="s">
        <v>4533</v>
      </c>
      <c r="F2410" s="41" t="s">
        <v>53</v>
      </c>
      <c r="G2410" s="41" t="s">
        <v>307</v>
      </c>
      <c r="I2410" s="41" t="s">
        <v>194</v>
      </c>
      <c r="J2410" s="41" t="s">
        <v>295</v>
      </c>
      <c r="K2410" s="42"/>
      <c r="L2410" s="41" t="s">
        <v>7509</v>
      </c>
      <c r="M2410" s="41">
        <v>15</v>
      </c>
      <c r="N2410" s="41" t="s">
        <v>4049</v>
      </c>
      <c r="O2410" s="41" t="s">
        <v>7510</v>
      </c>
      <c r="P2410" s="41" t="s">
        <v>60</v>
      </c>
      <c r="Q2410" s="41" t="s">
        <v>419</v>
      </c>
      <c r="R2410" s="41" t="s">
        <v>132</v>
      </c>
      <c r="S2410" s="41" t="s">
        <v>7511</v>
      </c>
      <c r="T2410" s="41" t="s">
        <v>6512</v>
      </c>
      <c r="U2410" s="41" t="s">
        <v>40</v>
      </c>
    </row>
    <row r="2411" spans="1:21">
      <c r="A2411" s="41">
        <v>282</v>
      </c>
      <c r="B2411" s="41" t="s">
        <v>7512</v>
      </c>
      <c r="D2411" s="41">
        <v>1423</v>
      </c>
      <c r="E2411" s="41" t="s">
        <v>7513</v>
      </c>
      <c r="F2411" s="41" t="s">
        <v>53</v>
      </c>
      <c r="G2411" s="41" t="s">
        <v>64</v>
      </c>
      <c r="I2411" s="41" t="s">
        <v>194</v>
      </c>
      <c r="J2411" s="41" t="s">
        <v>295</v>
      </c>
      <c r="K2411" s="42"/>
      <c r="L2411" s="41" t="s">
        <v>7509</v>
      </c>
      <c r="M2411" s="41">
        <v>15</v>
      </c>
      <c r="N2411" s="41" t="s">
        <v>7514</v>
      </c>
      <c r="O2411" s="41" t="s">
        <v>1261</v>
      </c>
      <c r="P2411" s="41" t="s">
        <v>60</v>
      </c>
      <c r="Q2411" s="41" t="s">
        <v>419</v>
      </c>
      <c r="R2411" s="41" t="s">
        <v>132</v>
      </c>
      <c r="S2411" s="41" t="s">
        <v>40</v>
      </c>
      <c r="T2411" s="41" t="s">
        <v>40</v>
      </c>
      <c r="U2411" s="41" t="s">
        <v>40</v>
      </c>
    </row>
    <row r="2412" spans="1:21">
      <c r="A2412" s="41">
        <v>104</v>
      </c>
      <c r="B2412" s="41" t="s">
        <v>571</v>
      </c>
      <c r="D2412" s="41">
        <v>1409</v>
      </c>
      <c r="E2412" s="41" t="s">
        <v>1892</v>
      </c>
      <c r="F2412" s="41" t="s">
        <v>53</v>
      </c>
      <c r="G2412" s="41" t="s">
        <v>141</v>
      </c>
      <c r="I2412" s="41" t="s">
        <v>45</v>
      </c>
      <c r="J2412" s="41" t="s">
        <v>295</v>
      </c>
      <c r="K2412" s="42"/>
      <c r="L2412" s="41" t="s">
        <v>574</v>
      </c>
      <c r="M2412" s="41">
        <v>220</v>
      </c>
      <c r="N2412" s="41" t="s">
        <v>575</v>
      </c>
      <c r="O2412" s="41" t="s">
        <v>77</v>
      </c>
      <c r="P2412" s="41" t="s">
        <v>179</v>
      </c>
      <c r="Q2412" s="41" t="s">
        <v>284</v>
      </c>
      <c r="R2412" s="41" t="s">
        <v>62</v>
      </c>
      <c r="S2412" s="41" t="s">
        <v>576</v>
      </c>
      <c r="T2412" s="41" t="s">
        <v>198</v>
      </c>
      <c r="U2412" s="41" t="s">
        <v>146</v>
      </c>
    </row>
    <row r="2413" spans="1:21">
      <c r="A2413" s="41">
        <v>105</v>
      </c>
      <c r="B2413" s="41" t="s">
        <v>577</v>
      </c>
      <c r="D2413" s="41">
        <v>1410</v>
      </c>
      <c r="E2413" s="41" t="s">
        <v>27</v>
      </c>
      <c r="F2413" s="41" t="s">
        <v>53</v>
      </c>
      <c r="G2413" s="41" t="s">
        <v>43</v>
      </c>
      <c r="I2413" s="41" t="s">
        <v>45</v>
      </c>
      <c r="J2413" s="41" t="s">
        <v>295</v>
      </c>
      <c r="K2413" s="42"/>
      <c r="L2413" s="41" t="s">
        <v>578</v>
      </c>
      <c r="M2413" s="41">
        <v>220</v>
      </c>
      <c r="N2413" s="41" t="s">
        <v>579</v>
      </c>
      <c r="O2413" s="41" t="s">
        <v>77</v>
      </c>
      <c r="P2413" s="41" t="s">
        <v>179</v>
      </c>
      <c r="Q2413" s="41" t="s">
        <v>524</v>
      </c>
      <c r="R2413" s="41" t="s">
        <v>62</v>
      </c>
      <c r="S2413" s="41" t="s">
        <v>40</v>
      </c>
      <c r="T2413" s="41" t="s">
        <v>40</v>
      </c>
      <c r="U2413" s="41" t="s">
        <v>40</v>
      </c>
    </row>
    <row r="2414" spans="1:21">
      <c r="A2414" s="41">
        <v>125</v>
      </c>
      <c r="B2414" s="41" t="s">
        <v>7515</v>
      </c>
      <c r="D2414" s="41">
        <v>1616</v>
      </c>
      <c r="E2414" s="41" t="s">
        <v>6216</v>
      </c>
      <c r="F2414" s="41" t="s">
        <v>53</v>
      </c>
      <c r="G2414" s="41" t="s">
        <v>64</v>
      </c>
      <c r="I2414" s="41" t="s">
        <v>2649</v>
      </c>
      <c r="J2414" s="41" t="s">
        <v>380</v>
      </c>
      <c r="K2414" s="42"/>
      <c r="L2414" s="41" t="s">
        <v>5630</v>
      </c>
      <c r="M2414" s="41">
        <v>110</v>
      </c>
      <c r="N2414" s="41" t="s">
        <v>7516</v>
      </c>
      <c r="O2414" s="41" t="s">
        <v>741</v>
      </c>
      <c r="P2414" s="41" t="s">
        <v>83</v>
      </c>
      <c r="Q2414" s="41" t="s">
        <v>1206</v>
      </c>
      <c r="R2414" s="41" t="s">
        <v>132</v>
      </c>
      <c r="S2414" s="41" t="s">
        <v>40</v>
      </c>
      <c r="T2414" s="41" t="s">
        <v>40</v>
      </c>
      <c r="U2414" s="41" t="s">
        <v>40</v>
      </c>
    </row>
    <row r="2415" spans="1:21">
      <c r="A2415" s="41">
        <v>121</v>
      </c>
      <c r="B2415" s="41" t="s">
        <v>7517</v>
      </c>
      <c r="D2415" s="41">
        <v>1520</v>
      </c>
      <c r="E2415" s="41" t="s">
        <v>5340</v>
      </c>
      <c r="F2415" s="41" t="s">
        <v>53</v>
      </c>
      <c r="G2415" s="41" t="s">
        <v>64</v>
      </c>
      <c r="I2415" s="41" t="s">
        <v>194</v>
      </c>
      <c r="J2415" s="41" t="s">
        <v>295</v>
      </c>
      <c r="K2415" s="42"/>
      <c r="L2415" s="41" t="s">
        <v>7518</v>
      </c>
      <c r="M2415" s="41">
        <v>23</v>
      </c>
      <c r="N2415" s="41" t="s">
        <v>488</v>
      </c>
      <c r="O2415" s="41" t="s">
        <v>488</v>
      </c>
      <c r="P2415" s="41" t="s">
        <v>98</v>
      </c>
      <c r="Q2415" s="41" t="s">
        <v>98</v>
      </c>
      <c r="R2415" s="41" t="s">
        <v>132</v>
      </c>
      <c r="S2415" s="41" t="s">
        <v>40</v>
      </c>
      <c r="T2415" s="41" t="s">
        <v>40</v>
      </c>
      <c r="U2415" s="41" t="s">
        <v>40</v>
      </c>
    </row>
    <row r="2416" spans="1:21">
      <c r="A2416" s="41">
        <v>37</v>
      </c>
      <c r="B2416" s="41" t="s">
        <v>7519</v>
      </c>
      <c r="D2416" s="41">
        <v>1516</v>
      </c>
      <c r="E2416" s="41" t="s">
        <v>5340</v>
      </c>
      <c r="F2416" s="41" t="s">
        <v>28</v>
      </c>
      <c r="G2416" s="41" t="s">
        <v>64</v>
      </c>
      <c r="I2416" s="41" t="s">
        <v>194</v>
      </c>
      <c r="J2416" s="41" t="s">
        <v>295</v>
      </c>
      <c r="K2416" s="42"/>
      <c r="L2416" s="41" t="s">
        <v>7520</v>
      </c>
      <c r="M2416" s="41">
        <v>220</v>
      </c>
      <c r="N2416" s="41" t="s">
        <v>488</v>
      </c>
      <c r="O2416" s="41" t="s">
        <v>488</v>
      </c>
      <c r="P2416" s="41" t="s">
        <v>179</v>
      </c>
      <c r="Q2416" s="41" t="s">
        <v>538</v>
      </c>
      <c r="R2416" s="41" t="s">
        <v>39</v>
      </c>
      <c r="S2416" s="41" t="s">
        <v>40</v>
      </c>
      <c r="T2416" s="41" t="s">
        <v>40</v>
      </c>
      <c r="U2416" s="41" t="s">
        <v>40</v>
      </c>
    </row>
    <row r="2417" spans="1:21">
      <c r="A2417" s="41">
        <v>38</v>
      </c>
      <c r="B2417" s="41" t="s">
        <v>7521</v>
      </c>
      <c r="D2417" s="41">
        <v>1517</v>
      </c>
      <c r="E2417" s="41" t="s">
        <v>5340</v>
      </c>
      <c r="F2417" s="41" t="s">
        <v>28</v>
      </c>
      <c r="G2417" s="41" t="s">
        <v>43</v>
      </c>
      <c r="I2417" s="41" t="s">
        <v>194</v>
      </c>
      <c r="J2417" s="41" t="s">
        <v>295</v>
      </c>
      <c r="K2417" s="42"/>
      <c r="L2417" s="41" t="s">
        <v>7522</v>
      </c>
      <c r="M2417" s="41">
        <v>23</v>
      </c>
      <c r="N2417" s="41" t="s">
        <v>488</v>
      </c>
      <c r="O2417" s="41" t="s">
        <v>488</v>
      </c>
      <c r="P2417" s="41" t="s">
        <v>98</v>
      </c>
      <c r="Q2417" s="41" t="s">
        <v>116</v>
      </c>
      <c r="R2417" s="41" t="s">
        <v>39</v>
      </c>
      <c r="S2417" s="41" t="s">
        <v>40</v>
      </c>
      <c r="T2417" s="41" t="s">
        <v>40</v>
      </c>
      <c r="U2417" s="41" t="s">
        <v>40</v>
      </c>
    </row>
    <row r="2418" spans="1:21">
      <c r="A2418" s="41">
        <v>39</v>
      </c>
      <c r="B2418" s="41" t="s">
        <v>7523</v>
      </c>
      <c r="D2418" s="41">
        <v>1518</v>
      </c>
      <c r="E2418" s="41" t="s">
        <v>5340</v>
      </c>
      <c r="F2418" s="41" t="s">
        <v>28</v>
      </c>
      <c r="G2418" s="41" t="s">
        <v>43</v>
      </c>
      <c r="I2418" s="41" t="s">
        <v>194</v>
      </c>
      <c r="J2418" s="41" t="s">
        <v>295</v>
      </c>
      <c r="K2418" s="42"/>
      <c r="L2418" s="41" t="s">
        <v>7524</v>
      </c>
      <c r="M2418" s="41">
        <v>66</v>
      </c>
      <c r="N2418" s="41" t="s">
        <v>488</v>
      </c>
      <c r="O2418" s="41" t="s">
        <v>488</v>
      </c>
      <c r="P2418" s="41" t="s">
        <v>98</v>
      </c>
      <c r="Q2418" s="41" t="s">
        <v>98</v>
      </c>
      <c r="R2418" s="41" t="s">
        <v>39</v>
      </c>
      <c r="S2418" s="41" t="s">
        <v>40</v>
      </c>
      <c r="T2418" s="41" t="s">
        <v>40</v>
      </c>
      <c r="U2418" s="41" t="s">
        <v>40</v>
      </c>
    </row>
    <row r="2419" spans="1:21">
      <c r="A2419" s="41">
        <v>40</v>
      </c>
      <c r="B2419" s="41" t="s">
        <v>580</v>
      </c>
      <c r="D2419" s="41">
        <v>1519</v>
      </c>
      <c r="E2419" s="41" t="s">
        <v>27</v>
      </c>
      <c r="F2419" s="41" t="s">
        <v>28</v>
      </c>
      <c r="G2419" s="41" t="s">
        <v>64</v>
      </c>
      <c r="I2419" s="41" t="s">
        <v>194</v>
      </c>
      <c r="J2419" s="41" t="s">
        <v>295</v>
      </c>
      <c r="K2419" s="42"/>
      <c r="L2419" s="41" t="s">
        <v>582</v>
      </c>
      <c r="M2419" s="41">
        <v>66</v>
      </c>
      <c r="N2419" s="41" t="s">
        <v>488</v>
      </c>
      <c r="O2419" s="41" t="s">
        <v>488</v>
      </c>
      <c r="P2419" s="41" t="s">
        <v>50</v>
      </c>
      <c r="Q2419" s="41" t="s">
        <v>51</v>
      </c>
      <c r="R2419" s="41" t="s">
        <v>39</v>
      </c>
      <c r="S2419" s="41" t="s">
        <v>40</v>
      </c>
      <c r="T2419" s="41" t="s">
        <v>40</v>
      </c>
      <c r="U2419" s="41" t="s">
        <v>40</v>
      </c>
    </row>
    <row r="2420" spans="1:21">
      <c r="A2420" s="41">
        <v>41</v>
      </c>
      <c r="B2420" s="41" t="s">
        <v>7525</v>
      </c>
      <c r="D2420" s="41">
        <v>1521</v>
      </c>
      <c r="E2420" s="41" t="s">
        <v>7526</v>
      </c>
      <c r="F2420" s="41" t="s">
        <v>28</v>
      </c>
      <c r="G2420" s="41" t="s">
        <v>307</v>
      </c>
      <c r="I2420" s="41" t="s">
        <v>1107</v>
      </c>
      <c r="J2420" s="41" t="s">
        <v>1906</v>
      </c>
      <c r="K2420" s="42"/>
      <c r="L2420" s="41" t="s">
        <v>7527</v>
      </c>
      <c r="M2420" s="41">
        <v>23</v>
      </c>
      <c r="N2420" s="41" t="s">
        <v>488</v>
      </c>
      <c r="O2420" s="41" t="s">
        <v>488</v>
      </c>
      <c r="P2420" s="41" t="s">
        <v>172</v>
      </c>
      <c r="Q2420" s="41" t="s">
        <v>1104</v>
      </c>
      <c r="R2420" s="41" t="s">
        <v>39</v>
      </c>
      <c r="S2420" s="41" t="s">
        <v>40</v>
      </c>
      <c r="T2420" s="41" t="s">
        <v>7528</v>
      </c>
      <c r="U2420" s="41" t="s">
        <v>40</v>
      </c>
    </row>
    <row r="2421" spans="1:21">
      <c r="A2421" s="41">
        <v>365</v>
      </c>
      <c r="B2421" s="41" t="s">
        <v>7529</v>
      </c>
      <c r="D2421" s="41">
        <v>1465</v>
      </c>
      <c r="E2421" s="41" t="s">
        <v>5340</v>
      </c>
      <c r="F2421" s="41" t="s">
        <v>28</v>
      </c>
      <c r="G2421" s="41" t="s">
        <v>64</v>
      </c>
      <c r="I2421" s="41" t="s">
        <v>194</v>
      </c>
      <c r="J2421" s="41" t="s">
        <v>295</v>
      </c>
      <c r="K2421" s="42"/>
      <c r="L2421" s="41" t="s">
        <v>7530</v>
      </c>
      <c r="M2421" s="41">
        <v>110</v>
      </c>
      <c r="N2421" s="41" t="s">
        <v>488</v>
      </c>
      <c r="O2421" s="41" t="s">
        <v>488</v>
      </c>
      <c r="P2421" s="41" t="s">
        <v>98</v>
      </c>
      <c r="Q2421" s="41" t="s">
        <v>491</v>
      </c>
      <c r="R2421" s="41" t="s">
        <v>39</v>
      </c>
      <c r="S2421" s="41" t="s">
        <v>40</v>
      </c>
      <c r="T2421" s="41" t="s">
        <v>40</v>
      </c>
      <c r="U2421" s="41" t="s">
        <v>40</v>
      </c>
    </row>
    <row r="2422" spans="1:21">
      <c r="A2422" s="41">
        <v>98</v>
      </c>
      <c r="B2422" s="41" t="s">
        <v>7531</v>
      </c>
      <c r="D2422" s="41">
        <v>1384</v>
      </c>
      <c r="E2422" s="41" t="s">
        <v>7304</v>
      </c>
      <c r="F2422" s="41" t="s">
        <v>53</v>
      </c>
      <c r="G2422" s="41" t="s">
        <v>141</v>
      </c>
      <c r="I2422" s="41" t="s">
        <v>973</v>
      </c>
      <c r="J2422" s="41" t="s">
        <v>295</v>
      </c>
      <c r="K2422" s="42"/>
      <c r="L2422" s="41" t="s">
        <v>7532</v>
      </c>
      <c r="M2422" s="41">
        <v>220</v>
      </c>
      <c r="N2422" s="41" t="s">
        <v>7533</v>
      </c>
      <c r="O2422" s="41" t="s">
        <v>396</v>
      </c>
      <c r="P2422" s="41" t="s">
        <v>98</v>
      </c>
      <c r="Q2422" s="41" t="s">
        <v>116</v>
      </c>
      <c r="R2422" s="41" t="s">
        <v>62</v>
      </c>
      <c r="S2422" s="41" t="s">
        <v>7534</v>
      </c>
      <c r="T2422" s="41" t="s">
        <v>146</v>
      </c>
      <c r="U2422" s="41" t="s">
        <v>40</v>
      </c>
    </row>
    <row r="2423" spans="1:21">
      <c r="A2423" s="41">
        <v>281</v>
      </c>
      <c r="B2423" s="41" t="s">
        <v>7535</v>
      </c>
      <c r="D2423" s="41">
        <v>1383</v>
      </c>
      <c r="E2423" s="41" t="s">
        <v>7536</v>
      </c>
      <c r="F2423" s="41" t="s">
        <v>53</v>
      </c>
      <c r="G2423" s="41" t="s">
        <v>64</v>
      </c>
      <c r="I2423" s="41" t="s">
        <v>7537</v>
      </c>
      <c r="J2423" s="41" t="s">
        <v>295</v>
      </c>
      <c r="K2423" s="42"/>
      <c r="L2423" s="41" t="s">
        <v>4442</v>
      </c>
      <c r="M2423" s="41">
        <v>220</v>
      </c>
      <c r="N2423" s="41" t="s">
        <v>7538</v>
      </c>
      <c r="O2423" s="41" t="s">
        <v>1045</v>
      </c>
      <c r="P2423" s="41" t="s">
        <v>50</v>
      </c>
      <c r="Q2423" s="41" t="s">
        <v>3801</v>
      </c>
      <c r="R2423" s="41" t="s">
        <v>62</v>
      </c>
      <c r="S2423" s="41" t="s">
        <v>40</v>
      </c>
      <c r="T2423" s="41" t="s">
        <v>40</v>
      </c>
      <c r="U2423" s="41" t="s">
        <v>40</v>
      </c>
    </row>
    <row r="2424" spans="1:21">
      <c r="A2424" s="41">
        <v>71</v>
      </c>
      <c r="B2424" s="41" t="s">
        <v>6275</v>
      </c>
      <c r="D2424" s="41">
        <v>1029</v>
      </c>
      <c r="E2424" s="41" t="s">
        <v>6275</v>
      </c>
      <c r="F2424" s="41" t="s">
        <v>53</v>
      </c>
      <c r="G2424" s="41" t="s">
        <v>64</v>
      </c>
      <c r="I2424" s="41" t="s">
        <v>338</v>
      </c>
      <c r="J2424" s="41" t="s">
        <v>295</v>
      </c>
      <c r="K2424" s="42"/>
      <c r="L2424" s="41" t="s">
        <v>7539</v>
      </c>
      <c r="M2424" s="41">
        <v>220</v>
      </c>
      <c r="N2424" s="41" t="s">
        <v>488</v>
      </c>
      <c r="O2424" s="41" t="s">
        <v>7540</v>
      </c>
      <c r="P2424" s="41" t="s">
        <v>179</v>
      </c>
      <c r="Q2424" s="41" t="s">
        <v>524</v>
      </c>
      <c r="R2424" s="41" t="s">
        <v>62</v>
      </c>
      <c r="S2424" s="41" t="s">
        <v>40</v>
      </c>
      <c r="T2424" s="41" t="s">
        <v>40</v>
      </c>
      <c r="U2424" s="41" t="s">
        <v>40</v>
      </c>
    </row>
    <row r="2425" spans="1:21">
      <c r="A2425" s="41">
        <v>109</v>
      </c>
      <c r="B2425" s="41" t="s">
        <v>7541</v>
      </c>
      <c r="D2425" s="41">
        <v>1378</v>
      </c>
      <c r="E2425" s="41" t="s">
        <v>7542</v>
      </c>
      <c r="F2425" s="41" t="s">
        <v>53</v>
      </c>
      <c r="G2425" s="41" t="s">
        <v>64</v>
      </c>
      <c r="I2425" s="41" t="s">
        <v>194</v>
      </c>
      <c r="J2425" s="41" t="s">
        <v>295</v>
      </c>
      <c r="K2425" s="42"/>
      <c r="L2425" s="41" t="s">
        <v>7543</v>
      </c>
      <c r="M2425" s="41">
        <v>23</v>
      </c>
      <c r="N2425" s="41" t="s">
        <v>488</v>
      </c>
      <c r="O2425" s="41" t="s">
        <v>7544</v>
      </c>
      <c r="P2425" s="41" t="s">
        <v>172</v>
      </c>
      <c r="Q2425" s="41" t="s">
        <v>197</v>
      </c>
      <c r="R2425" s="41" t="s">
        <v>132</v>
      </c>
      <c r="S2425" s="41" t="s">
        <v>40</v>
      </c>
      <c r="T2425" s="41" t="s">
        <v>40</v>
      </c>
      <c r="U2425" s="41" t="s">
        <v>40</v>
      </c>
    </row>
    <row r="2426" spans="1:21">
      <c r="A2426" s="41">
        <v>29</v>
      </c>
      <c r="B2426" s="41" t="s">
        <v>7545</v>
      </c>
      <c r="D2426" s="41">
        <v>1371</v>
      </c>
      <c r="E2426" s="41" t="s">
        <v>6374</v>
      </c>
      <c r="F2426" s="41" t="s">
        <v>28</v>
      </c>
      <c r="G2426" s="41" t="s">
        <v>64</v>
      </c>
      <c r="I2426" s="41" t="s">
        <v>1142</v>
      </c>
      <c r="J2426" s="41" t="s">
        <v>295</v>
      </c>
      <c r="K2426" s="42"/>
      <c r="L2426" s="41" t="s">
        <v>7546</v>
      </c>
      <c r="M2426" s="41">
        <v>23</v>
      </c>
      <c r="N2426" s="41" t="s">
        <v>488</v>
      </c>
      <c r="O2426" s="41" t="s">
        <v>488</v>
      </c>
      <c r="P2426" s="41" t="s">
        <v>179</v>
      </c>
      <c r="Q2426" s="41" t="s">
        <v>524</v>
      </c>
      <c r="R2426" s="41" t="s">
        <v>39</v>
      </c>
      <c r="S2426" s="41" t="s">
        <v>40</v>
      </c>
      <c r="T2426" s="41" t="s">
        <v>40</v>
      </c>
      <c r="U2426" s="41" t="s">
        <v>40</v>
      </c>
    </row>
    <row r="2427" spans="1:21">
      <c r="A2427" s="41">
        <v>138</v>
      </c>
      <c r="B2427" s="41" t="s">
        <v>7547</v>
      </c>
      <c r="D2427" s="41">
        <v>1370</v>
      </c>
      <c r="E2427" s="41" t="s">
        <v>6374</v>
      </c>
      <c r="F2427" s="41" t="s">
        <v>28</v>
      </c>
      <c r="G2427" s="41" t="s">
        <v>64</v>
      </c>
      <c r="I2427" s="41" t="s">
        <v>1142</v>
      </c>
      <c r="J2427" s="41" t="s">
        <v>295</v>
      </c>
      <c r="K2427" s="42"/>
      <c r="L2427" s="41" t="s">
        <v>556</v>
      </c>
      <c r="M2427" s="41">
        <v>132</v>
      </c>
      <c r="N2427" s="41" t="s">
        <v>488</v>
      </c>
      <c r="O2427" s="41" t="s">
        <v>488</v>
      </c>
      <c r="P2427" s="41" t="s">
        <v>179</v>
      </c>
      <c r="Q2427" s="41" t="s">
        <v>557</v>
      </c>
      <c r="R2427" s="41" t="s">
        <v>39</v>
      </c>
      <c r="S2427" s="41" t="s">
        <v>40</v>
      </c>
      <c r="T2427" s="41" t="s">
        <v>40</v>
      </c>
      <c r="U2427" s="41" t="s">
        <v>40</v>
      </c>
    </row>
    <row r="2428" spans="1:21">
      <c r="A2428" s="41">
        <v>27</v>
      </c>
      <c r="B2428" s="41" t="s">
        <v>7548</v>
      </c>
      <c r="D2428" s="41">
        <v>1369</v>
      </c>
      <c r="E2428" s="41" t="s">
        <v>7549</v>
      </c>
      <c r="F2428" s="41" t="s">
        <v>28</v>
      </c>
      <c r="G2428" s="41" t="s">
        <v>307</v>
      </c>
      <c r="I2428" s="41" t="s">
        <v>7550</v>
      </c>
      <c r="J2428" s="41" t="s">
        <v>1906</v>
      </c>
      <c r="K2428" s="42"/>
      <c r="L2428" s="41" t="s">
        <v>7551</v>
      </c>
      <c r="M2428" s="41">
        <v>220</v>
      </c>
      <c r="N2428" s="41" t="s">
        <v>488</v>
      </c>
      <c r="O2428" s="41" t="s">
        <v>7552</v>
      </c>
      <c r="P2428" s="41" t="s">
        <v>172</v>
      </c>
      <c r="Q2428" s="41" t="s">
        <v>1104</v>
      </c>
      <c r="R2428" s="41" t="s">
        <v>39</v>
      </c>
      <c r="S2428" s="41" t="s">
        <v>40</v>
      </c>
      <c r="T2428" s="41" t="s">
        <v>7503</v>
      </c>
      <c r="U2428" s="41" t="s">
        <v>40</v>
      </c>
    </row>
    <row r="2429" spans="1:21">
      <c r="A2429" s="41">
        <v>26</v>
      </c>
      <c r="B2429" s="41" t="s">
        <v>583</v>
      </c>
      <c r="D2429" s="41">
        <v>1359</v>
      </c>
      <c r="E2429" s="41" t="s">
        <v>27</v>
      </c>
      <c r="F2429" s="41" t="s">
        <v>28</v>
      </c>
      <c r="G2429" s="41" t="s">
        <v>307</v>
      </c>
      <c r="I2429" s="41" t="s">
        <v>194</v>
      </c>
      <c r="J2429" s="41" t="s">
        <v>295</v>
      </c>
      <c r="K2429" s="42"/>
      <c r="L2429" s="41" t="s">
        <v>586</v>
      </c>
      <c r="M2429" s="41">
        <v>23</v>
      </c>
      <c r="N2429" s="41" t="s">
        <v>488</v>
      </c>
      <c r="O2429" s="41" t="s">
        <v>488</v>
      </c>
      <c r="P2429" s="41" t="s">
        <v>98</v>
      </c>
      <c r="Q2429" s="41" t="s">
        <v>98</v>
      </c>
      <c r="R2429" s="41" t="s">
        <v>39</v>
      </c>
      <c r="S2429" s="41" t="s">
        <v>40</v>
      </c>
      <c r="T2429" s="41" t="s">
        <v>40</v>
      </c>
      <c r="U2429" s="41" t="s">
        <v>40</v>
      </c>
    </row>
    <row r="2430" spans="1:21">
      <c r="A2430" s="41">
        <v>97</v>
      </c>
      <c r="B2430" s="41" t="s">
        <v>7553</v>
      </c>
      <c r="D2430" s="41">
        <v>650</v>
      </c>
      <c r="E2430" s="41" t="s">
        <v>7554</v>
      </c>
      <c r="F2430" s="41" t="s">
        <v>28</v>
      </c>
      <c r="G2430" s="41" t="s">
        <v>307</v>
      </c>
      <c r="I2430" s="41" t="s">
        <v>194</v>
      </c>
      <c r="J2430" s="41" t="s">
        <v>295</v>
      </c>
      <c r="K2430" s="42"/>
      <c r="L2430" s="41" t="s">
        <v>615</v>
      </c>
      <c r="M2430" s="41">
        <v>23</v>
      </c>
      <c r="N2430" s="41" t="s">
        <v>290</v>
      </c>
      <c r="O2430" s="41" t="s">
        <v>77</v>
      </c>
      <c r="P2430" s="41" t="s">
        <v>50</v>
      </c>
      <c r="Q2430" s="41" t="s">
        <v>51</v>
      </c>
      <c r="R2430" s="41" t="s">
        <v>39</v>
      </c>
      <c r="S2430" s="41" t="s">
        <v>40</v>
      </c>
      <c r="T2430" s="41" t="s">
        <v>40</v>
      </c>
      <c r="U2430" s="41" t="s">
        <v>40</v>
      </c>
    </row>
    <row r="2431" spans="1:21">
      <c r="A2431" s="41">
        <v>123</v>
      </c>
      <c r="B2431" s="41" t="s">
        <v>7555</v>
      </c>
      <c r="D2431" s="41">
        <v>1614</v>
      </c>
      <c r="E2431" s="41" t="s">
        <v>3948</v>
      </c>
      <c r="F2431" s="41" t="s">
        <v>53</v>
      </c>
      <c r="G2431" s="41" t="s">
        <v>64</v>
      </c>
      <c r="I2431" s="41" t="s">
        <v>521</v>
      </c>
      <c r="J2431" s="41" t="s">
        <v>672</v>
      </c>
      <c r="K2431" s="42"/>
      <c r="L2431" s="41" t="s">
        <v>4384</v>
      </c>
      <c r="M2431" s="41">
        <v>23</v>
      </c>
      <c r="N2431" s="41" t="s">
        <v>7427</v>
      </c>
      <c r="O2431" s="41" t="s">
        <v>989</v>
      </c>
      <c r="P2431" s="41" t="s">
        <v>83</v>
      </c>
      <c r="Q2431" s="41" t="s">
        <v>4385</v>
      </c>
      <c r="R2431" s="41" t="s">
        <v>132</v>
      </c>
      <c r="S2431" s="41" t="s">
        <v>40</v>
      </c>
      <c r="T2431" s="41" t="s">
        <v>40</v>
      </c>
      <c r="U2431" s="41" t="s">
        <v>40</v>
      </c>
    </row>
    <row r="2432" spans="1:21">
      <c r="A2432" s="41">
        <v>124</v>
      </c>
      <c r="B2432" s="41" t="s">
        <v>7556</v>
      </c>
      <c r="D2432" s="41">
        <v>1615</v>
      </c>
      <c r="E2432" s="41" t="s">
        <v>3948</v>
      </c>
      <c r="F2432" s="41" t="s">
        <v>53</v>
      </c>
      <c r="G2432" s="41" t="s">
        <v>1071</v>
      </c>
      <c r="I2432" s="41" t="s">
        <v>1068</v>
      </c>
      <c r="J2432" s="41" t="s">
        <v>672</v>
      </c>
      <c r="K2432" s="42"/>
      <c r="L2432" s="41" t="s">
        <v>7557</v>
      </c>
      <c r="M2432" s="41">
        <v>23</v>
      </c>
      <c r="N2432" s="41" t="s">
        <v>7427</v>
      </c>
      <c r="O2432" s="41" t="s">
        <v>565</v>
      </c>
      <c r="P2432" s="41" t="s">
        <v>83</v>
      </c>
      <c r="Q2432" s="41" t="s">
        <v>4385</v>
      </c>
      <c r="R2432" s="41" t="s">
        <v>132</v>
      </c>
      <c r="S2432" s="41" t="s">
        <v>40</v>
      </c>
      <c r="T2432" s="41" t="s">
        <v>40</v>
      </c>
      <c r="U2432" s="41" t="s">
        <v>40</v>
      </c>
    </row>
    <row r="2433" spans="1:21">
      <c r="A2433" s="41">
        <v>390</v>
      </c>
      <c r="B2433" s="41" t="s">
        <v>7558</v>
      </c>
      <c r="D2433" s="41">
        <v>1379</v>
      </c>
      <c r="E2433" s="41" t="s">
        <v>1187</v>
      </c>
      <c r="F2433" s="41" t="s">
        <v>53</v>
      </c>
      <c r="G2433" s="41" t="s">
        <v>307</v>
      </c>
      <c r="I2433" s="41" t="s">
        <v>973</v>
      </c>
      <c r="J2433" s="41" t="s">
        <v>295</v>
      </c>
      <c r="K2433" s="42"/>
      <c r="L2433" s="41" t="s">
        <v>7559</v>
      </c>
      <c r="M2433" s="41">
        <v>220</v>
      </c>
      <c r="N2433" s="41" t="s">
        <v>488</v>
      </c>
      <c r="O2433" s="41" t="s">
        <v>757</v>
      </c>
      <c r="P2433" s="41" t="s">
        <v>98</v>
      </c>
      <c r="Q2433" s="41" t="s">
        <v>116</v>
      </c>
      <c r="R2433" s="41" t="s">
        <v>62</v>
      </c>
      <c r="S2433" s="41" t="s">
        <v>7560</v>
      </c>
      <c r="T2433" s="41" t="s">
        <v>7561</v>
      </c>
      <c r="U2433" s="41" t="s">
        <v>40</v>
      </c>
    </row>
    <row r="2434" spans="1:21">
      <c r="A2434" s="41">
        <v>89</v>
      </c>
      <c r="B2434" s="41" t="s">
        <v>7562</v>
      </c>
      <c r="D2434" s="41">
        <v>1301</v>
      </c>
      <c r="E2434" s="41" t="s">
        <v>2361</v>
      </c>
      <c r="F2434" s="41" t="s">
        <v>53</v>
      </c>
      <c r="G2434" s="41" t="s">
        <v>141</v>
      </c>
      <c r="I2434" s="41" t="s">
        <v>392</v>
      </c>
      <c r="J2434" s="41" t="s">
        <v>295</v>
      </c>
      <c r="K2434" s="42"/>
      <c r="L2434" s="41" t="s">
        <v>4427</v>
      </c>
      <c r="M2434" s="41">
        <v>220</v>
      </c>
      <c r="N2434" s="41" t="s">
        <v>4530</v>
      </c>
      <c r="O2434" s="41" t="s">
        <v>1376</v>
      </c>
      <c r="P2434" s="41" t="s">
        <v>179</v>
      </c>
      <c r="Q2434" s="41" t="s">
        <v>524</v>
      </c>
      <c r="R2434" s="41" t="s">
        <v>62</v>
      </c>
      <c r="S2434" s="41" t="s">
        <v>7563</v>
      </c>
      <c r="T2434" s="41" t="s">
        <v>146</v>
      </c>
      <c r="U2434" s="41" t="s">
        <v>40</v>
      </c>
    </row>
    <row r="2435" spans="1:21">
      <c r="A2435" s="41">
        <v>91</v>
      </c>
      <c r="B2435" s="41" t="s">
        <v>7564</v>
      </c>
      <c r="D2435" s="41">
        <v>1303</v>
      </c>
      <c r="E2435" s="41" t="s">
        <v>6216</v>
      </c>
      <c r="F2435" s="41" t="s">
        <v>53</v>
      </c>
      <c r="G2435" s="41" t="s">
        <v>64</v>
      </c>
      <c r="I2435" s="41" t="s">
        <v>194</v>
      </c>
      <c r="J2435" s="41" t="s">
        <v>295</v>
      </c>
      <c r="K2435" s="42"/>
      <c r="L2435" s="41" t="s">
        <v>3555</v>
      </c>
      <c r="M2435" s="41">
        <v>66</v>
      </c>
      <c r="N2435" s="41" t="s">
        <v>1908</v>
      </c>
      <c r="O2435" s="41" t="s">
        <v>488</v>
      </c>
      <c r="P2435" s="41" t="s">
        <v>172</v>
      </c>
      <c r="Q2435" s="41" t="s">
        <v>197</v>
      </c>
      <c r="R2435" s="41" t="s">
        <v>132</v>
      </c>
      <c r="S2435" s="41" t="s">
        <v>7199</v>
      </c>
      <c r="T2435" s="41" t="s">
        <v>40</v>
      </c>
      <c r="U2435" s="41" t="s">
        <v>40</v>
      </c>
    </row>
    <row r="2436" spans="1:21">
      <c r="A2436" s="41">
        <v>139</v>
      </c>
      <c r="B2436" s="41" t="s">
        <v>7565</v>
      </c>
      <c r="D2436" s="41">
        <v>1322</v>
      </c>
      <c r="E2436" s="41" t="s">
        <v>1191</v>
      </c>
      <c r="F2436" s="41" t="s">
        <v>53</v>
      </c>
      <c r="G2436" s="41" t="s">
        <v>64</v>
      </c>
      <c r="I2436" s="41" t="s">
        <v>5167</v>
      </c>
      <c r="J2436" s="41" t="s">
        <v>380</v>
      </c>
      <c r="K2436" s="42"/>
      <c r="L2436" s="41" t="s">
        <v>3038</v>
      </c>
      <c r="M2436" s="41">
        <v>220</v>
      </c>
      <c r="N2436" s="41" t="s">
        <v>1653</v>
      </c>
      <c r="O2436" s="41" t="s">
        <v>1615</v>
      </c>
      <c r="P2436" s="41" t="s">
        <v>37</v>
      </c>
      <c r="Q2436" s="41" t="s">
        <v>969</v>
      </c>
      <c r="R2436" s="41" t="s">
        <v>62</v>
      </c>
      <c r="S2436" s="41" t="s">
        <v>40</v>
      </c>
      <c r="T2436" s="41" t="s">
        <v>40</v>
      </c>
      <c r="U2436" s="41" t="s">
        <v>40</v>
      </c>
    </row>
    <row r="2437" spans="1:21">
      <c r="A2437" s="41">
        <v>277</v>
      </c>
      <c r="B2437" s="41" t="s">
        <v>7566</v>
      </c>
      <c r="D2437" s="41">
        <v>1323</v>
      </c>
      <c r="E2437" s="41" t="s">
        <v>7567</v>
      </c>
      <c r="F2437" s="41" t="s">
        <v>53</v>
      </c>
      <c r="G2437" s="41" t="s">
        <v>64</v>
      </c>
      <c r="I2437" s="41" t="s">
        <v>7568</v>
      </c>
      <c r="J2437" s="41" t="s">
        <v>295</v>
      </c>
      <c r="K2437" s="42"/>
      <c r="L2437" s="41" t="s">
        <v>618</v>
      </c>
      <c r="M2437" s="41">
        <v>220</v>
      </c>
      <c r="N2437" s="41" t="s">
        <v>7569</v>
      </c>
      <c r="O2437" s="41" t="s">
        <v>77</v>
      </c>
      <c r="P2437" s="41" t="s">
        <v>50</v>
      </c>
      <c r="Q2437" s="41" t="s">
        <v>51</v>
      </c>
      <c r="R2437" s="41" t="s">
        <v>62</v>
      </c>
      <c r="S2437" s="41" t="s">
        <v>40</v>
      </c>
      <c r="T2437" s="41" t="s">
        <v>40</v>
      </c>
      <c r="U2437" s="41" t="s">
        <v>40</v>
      </c>
    </row>
    <row r="2438" spans="1:21">
      <c r="A2438" s="41">
        <v>95</v>
      </c>
      <c r="B2438" s="41" t="s">
        <v>6975</v>
      </c>
      <c r="D2438" s="41">
        <v>1321</v>
      </c>
      <c r="E2438" s="41" t="s">
        <v>1191</v>
      </c>
      <c r="F2438" s="41" t="s">
        <v>53</v>
      </c>
      <c r="G2438" s="41" t="s">
        <v>43</v>
      </c>
      <c r="I2438" s="41" t="s">
        <v>392</v>
      </c>
      <c r="J2438" s="41" t="s">
        <v>380</v>
      </c>
      <c r="K2438" s="42"/>
      <c r="L2438" s="41" t="s">
        <v>2993</v>
      </c>
      <c r="M2438" s="41">
        <v>220</v>
      </c>
      <c r="N2438" s="41" t="s">
        <v>756</v>
      </c>
      <c r="O2438" s="41" t="s">
        <v>345</v>
      </c>
      <c r="P2438" s="41" t="s">
        <v>334</v>
      </c>
      <c r="Q2438" s="41" t="s">
        <v>2186</v>
      </c>
      <c r="R2438" s="41" t="s">
        <v>62</v>
      </c>
      <c r="S2438" s="41" t="s">
        <v>40</v>
      </c>
      <c r="T2438" s="41" t="s">
        <v>40</v>
      </c>
      <c r="U2438" s="41" t="s">
        <v>40</v>
      </c>
    </row>
    <row r="2439" spans="1:21">
      <c r="A2439" s="41">
        <v>25</v>
      </c>
      <c r="B2439" s="41" t="s">
        <v>7570</v>
      </c>
      <c r="D2439" s="41">
        <v>1320</v>
      </c>
      <c r="E2439" s="41" t="s">
        <v>7571</v>
      </c>
      <c r="F2439" s="41" t="s">
        <v>28</v>
      </c>
      <c r="G2439" s="41" t="s">
        <v>307</v>
      </c>
      <c r="I2439" s="41" t="s">
        <v>194</v>
      </c>
      <c r="J2439" s="41" t="s">
        <v>295</v>
      </c>
      <c r="K2439" s="42"/>
      <c r="L2439" s="41" t="s">
        <v>7572</v>
      </c>
      <c r="M2439" s="41">
        <v>23</v>
      </c>
      <c r="N2439" s="41" t="s">
        <v>488</v>
      </c>
      <c r="O2439" s="41" t="s">
        <v>488</v>
      </c>
      <c r="P2439" s="41" t="s">
        <v>153</v>
      </c>
      <c r="Q2439" s="41" t="s">
        <v>1567</v>
      </c>
      <c r="R2439" s="41" t="s">
        <v>39</v>
      </c>
      <c r="S2439" s="41" t="s">
        <v>40</v>
      </c>
      <c r="T2439" s="41" t="s">
        <v>40</v>
      </c>
      <c r="U2439" s="41" t="s">
        <v>40</v>
      </c>
    </row>
    <row r="2440" spans="1:21">
      <c r="A2440" s="41">
        <v>276</v>
      </c>
      <c r="B2440" s="41" t="s">
        <v>587</v>
      </c>
      <c r="D2440" s="41">
        <v>1319</v>
      </c>
      <c r="E2440" s="41" t="s">
        <v>27</v>
      </c>
      <c r="F2440" s="41" t="s">
        <v>53</v>
      </c>
      <c r="G2440" s="41" t="s">
        <v>64</v>
      </c>
      <c r="I2440" s="41" t="s">
        <v>392</v>
      </c>
      <c r="J2440" s="41" t="s">
        <v>380</v>
      </c>
      <c r="K2440" s="42"/>
      <c r="L2440" s="41" t="s">
        <v>103</v>
      </c>
      <c r="M2440" s="41">
        <v>220</v>
      </c>
      <c r="N2440" s="41" t="s">
        <v>77</v>
      </c>
      <c r="O2440" s="41" t="s">
        <v>77</v>
      </c>
      <c r="P2440" s="41" t="s">
        <v>98</v>
      </c>
      <c r="Q2440" s="41" t="s">
        <v>99</v>
      </c>
      <c r="R2440" s="41" t="s">
        <v>62</v>
      </c>
      <c r="S2440" s="41" t="s">
        <v>40</v>
      </c>
      <c r="T2440" s="41" t="s">
        <v>40</v>
      </c>
      <c r="U2440" s="41" t="s">
        <v>40</v>
      </c>
    </row>
    <row r="2441" spans="1:21">
      <c r="A2441" s="41">
        <v>92</v>
      </c>
      <c r="B2441" s="41" t="s">
        <v>7573</v>
      </c>
      <c r="D2441" s="41">
        <v>1310</v>
      </c>
      <c r="E2441" s="41" t="s">
        <v>6313</v>
      </c>
      <c r="F2441" s="41" t="s">
        <v>53</v>
      </c>
      <c r="G2441" s="41" t="s">
        <v>43</v>
      </c>
      <c r="I2441" s="41" t="s">
        <v>338</v>
      </c>
      <c r="J2441" s="41" t="s">
        <v>380</v>
      </c>
      <c r="K2441" s="42"/>
      <c r="L2441" s="41" t="s">
        <v>103</v>
      </c>
      <c r="M2441" s="41">
        <v>220</v>
      </c>
      <c r="N2441" s="41" t="s">
        <v>2395</v>
      </c>
      <c r="O2441" s="41" t="s">
        <v>77</v>
      </c>
      <c r="P2441" s="41" t="s">
        <v>98</v>
      </c>
      <c r="Q2441" s="41" t="s">
        <v>99</v>
      </c>
      <c r="R2441" s="41" t="s">
        <v>62</v>
      </c>
      <c r="S2441" s="41" t="s">
        <v>40</v>
      </c>
      <c r="T2441" s="41" t="s">
        <v>40</v>
      </c>
      <c r="U2441" s="41" t="s">
        <v>40</v>
      </c>
    </row>
    <row r="2442" spans="1:21">
      <c r="A2442" s="41">
        <v>94</v>
      </c>
      <c r="B2442" s="41" t="s">
        <v>7574</v>
      </c>
      <c r="D2442" s="41">
        <v>1313</v>
      </c>
      <c r="E2442" s="41" t="s">
        <v>6378</v>
      </c>
      <c r="F2442" s="41" t="s">
        <v>53</v>
      </c>
      <c r="G2442" s="41" t="s">
        <v>307</v>
      </c>
      <c r="I2442" s="41" t="s">
        <v>7575</v>
      </c>
      <c r="J2442" s="41" t="s">
        <v>295</v>
      </c>
      <c r="K2442" s="42"/>
      <c r="L2442" s="41" t="s">
        <v>5363</v>
      </c>
      <c r="M2442" s="41">
        <v>220</v>
      </c>
      <c r="N2442" s="41" t="s">
        <v>3019</v>
      </c>
      <c r="O2442" s="41" t="s">
        <v>5588</v>
      </c>
      <c r="P2442" s="41" t="s">
        <v>98</v>
      </c>
      <c r="Q2442" s="41" t="s">
        <v>204</v>
      </c>
      <c r="R2442" s="41" t="s">
        <v>62</v>
      </c>
      <c r="S2442" s="41" t="s">
        <v>7576</v>
      </c>
      <c r="T2442" s="41" t="s">
        <v>40</v>
      </c>
      <c r="U2442" s="41" t="s">
        <v>40</v>
      </c>
    </row>
    <row r="2443" spans="1:21">
      <c r="A2443" s="41">
        <v>274</v>
      </c>
      <c r="B2443" s="41" t="s">
        <v>7577</v>
      </c>
      <c r="D2443" s="41">
        <v>1309</v>
      </c>
      <c r="E2443" s="41" t="s">
        <v>1191</v>
      </c>
      <c r="F2443" s="41" t="s">
        <v>53</v>
      </c>
      <c r="G2443" s="41" t="s">
        <v>64</v>
      </c>
      <c r="I2443" s="41" t="s">
        <v>1374</v>
      </c>
      <c r="J2443" s="41" t="s">
        <v>380</v>
      </c>
      <c r="K2443" s="42"/>
      <c r="L2443" s="41" t="s">
        <v>344</v>
      </c>
      <c r="M2443" s="41">
        <v>220</v>
      </c>
      <c r="N2443" s="41" t="s">
        <v>59</v>
      </c>
      <c r="O2443" s="41" t="s">
        <v>452</v>
      </c>
      <c r="P2443" s="41" t="s">
        <v>153</v>
      </c>
      <c r="Q2443" s="41" t="s">
        <v>329</v>
      </c>
      <c r="R2443" s="41" t="s">
        <v>62</v>
      </c>
      <c r="S2443" s="41" t="s">
        <v>40</v>
      </c>
      <c r="T2443" s="41" t="s">
        <v>40</v>
      </c>
      <c r="U2443" s="41" t="s">
        <v>40</v>
      </c>
    </row>
    <row r="2444" spans="1:21">
      <c r="A2444" s="41">
        <v>275</v>
      </c>
      <c r="B2444" s="41" t="s">
        <v>7578</v>
      </c>
      <c r="D2444" s="41">
        <v>1312</v>
      </c>
      <c r="E2444" s="41" t="s">
        <v>6313</v>
      </c>
      <c r="F2444" s="41" t="s">
        <v>53</v>
      </c>
      <c r="G2444" s="41" t="s">
        <v>64</v>
      </c>
      <c r="I2444" s="41" t="s">
        <v>338</v>
      </c>
      <c r="J2444" s="41" t="s">
        <v>380</v>
      </c>
      <c r="K2444" s="42"/>
      <c r="L2444" s="41" t="s">
        <v>7579</v>
      </c>
      <c r="M2444" s="41">
        <v>220</v>
      </c>
      <c r="N2444" s="41" t="s">
        <v>579</v>
      </c>
      <c r="O2444" s="41" t="s">
        <v>6953</v>
      </c>
      <c r="P2444" s="41" t="s">
        <v>1046</v>
      </c>
      <c r="Q2444" s="41" t="s">
        <v>3254</v>
      </c>
      <c r="R2444" s="41" t="s">
        <v>62</v>
      </c>
      <c r="S2444" s="41" t="s">
        <v>40</v>
      </c>
      <c r="T2444" s="41" t="s">
        <v>40</v>
      </c>
      <c r="U2444" s="41" t="s">
        <v>40</v>
      </c>
    </row>
    <row r="2445" spans="1:21">
      <c r="A2445" s="41">
        <v>93</v>
      </c>
      <c r="B2445" s="41" t="s">
        <v>7580</v>
      </c>
      <c r="D2445" s="41">
        <v>1311</v>
      </c>
      <c r="E2445" s="41" t="s">
        <v>1191</v>
      </c>
      <c r="F2445" s="41" t="s">
        <v>53</v>
      </c>
      <c r="G2445" s="41" t="s">
        <v>43</v>
      </c>
      <c r="I2445" s="41" t="s">
        <v>31</v>
      </c>
      <c r="J2445" s="41" t="s">
        <v>380</v>
      </c>
      <c r="K2445" s="42"/>
      <c r="L2445" s="41" t="s">
        <v>5036</v>
      </c>
      <c r="M2445" s="41">
        <v>220</v>
      </c>
      <c r="N2445" s="41" t="s">
        <v>395</v>
      </c>
      <c r="O2445" s="41" t="s">
        <v>7581</v>
      </c>
      <c r="P2445" s="41" t="s">
        <v>68</v>
      </c>
      <c r="Q2445" s="41" t="s">
        <v>3518</v>
      </c>
      <c r="R2445" s="41" t="s">
        <v>132</v>
      </c>
      <c r="S2445" s="41" t="s">
        <v>40</v>
      </c>
      <c r="T2445" s="41" t="s">
        <v>40</v>
      </c>
      <c r="U2445" s="41" t="s">
        <v>40</v>
      </c>
    </row>
    <row r="2446" spans="1:21">
      <c r="A2446" s="41">
        <v>273</v>
      </c>
      <c r="B2446" s="41" t="s">
        <v>7582</v>
      </c>
      <c r="D2446" s="41">
        <v>1308</v>
      </c>
      <c r="E2446" s="41" t="s">
        <v>6313</v>
      </c>
      <c r="F2446" s="41" t="s">
        <v>53</v>
      </c>
      <c r="G2446" s="41" t="s">
        <v>64</v>
      </c>
      <c r="I2446" s="41" t="s">
        <v>426</v>
      </c>
      <c r="J2446" s="41" t="s">
        <v>380</v>
      </c>
      <c r="K2446" s="42"/>
      <c r="L2446" s="41" t="s">
        <v>7583</v>
      </c>
      <c r="M2446" s="41">
        <v>66</v>
      </c>
      <c r="N2446" s="41" t="s">
        <v>488</v>
      </c>
      <c r="O2446" s="41" t="s">
        <v>77</v>
      </c>
      <c r="P2446" s="41" t="s">
        <v>78</v>
      </c>
      <c r="Q2446" s="41" t="s">
        <v>483</v>
      </c>
      <c r="R2446" s="41" t="s">
        <v>132</v>
      </c>
      <c r="S2446" s="41" t="s">
        <v>40</v>
      </c>
      <c r="T2446" s="41" t="s">
        <v>40</v>
      </c>
      <c r="U2446" s="41" t="s">
        <v>40</v>
      </c>
    </row>
    <row r="2447" spans="1:21">
      <c r="A2447" s="41">
        <v>90</v>
      </c>
      <c r="B2447" s="41" t="s">
        <v>7584</v>
      </c>
      <c r="D2447" s="41">
        <v>1302</v>
      </c>
      <c r="E2447" s="41" t="s">
        <v>7585</v>
      </c>
      <c r="F2447" s="41" t="s">
        <v>53</v>
      </c>
      <c r="G2447" s="41" t="s">
        <v>64</v>
      </c>
      <c r="I2447" s="41" t="s">
        <v>135</v>
      </c>
      <c r="J2447" s="41" t="s">
        <v>380</v>
      </c>
      <c r="K2447" s="42"/>
      <c r="L2447" s="41" t="s">
        <v>7448</v>
      </c>
      <c r="M2447" s="41">
        <v>220</v>
      </c>
      <c r="N2447" s="41" t="s">
        <v>77</v>
      </c>
      <c r="O2447" s="41" t="s">
        <v>77</v>
      </c>
      <c r="P2447" s="41" t="s">
        <v>1046</v>
      </c>
      <c r="Q2447" s="41" t="s">
        <v>1682</v>
      </c>
      <c r="R2447" s="41" t="s">
        <v>62</v>
      </c>
      <c r="S2447" s="41" t="s">
        <v>7586</v>
      </c>
      <c r="T2447" s="41" t="s">
        <v>5087</v>
      </c>
      <c r="U2447" s="41" t="s">
        <v>1773</v>
      </c>
    </row>
    <row r="2448" spans="1:21">
      <c r="A2448" s="41">
        <v>343</v>
      </c>
      <c r="B2448" s="41" t="s">
        <v>7587</v>
      </c>
      <c r="D2448" s="41">
        <v>1304</v>
      </c>
      <c r="E2448" s="41" t="s">
        <v>3211</v>
      </c>
      <c r="F2448" s="41" t="s">
        <v>28</v>
      </c>
      <c r="G2448" s="41" t="s">
        <v>307</v>
      </c>
      <c r="I2448" s="41" t="s">
        <v>406</v>
      </c>
      <c r="J2448" s="41" t="s">
        <v>380</v>
      </c>
      <c r="K2448" s="42"/>
      <c r="L2448" s="41" t="s">
        <v>7588</v>
      </c>
      <c r="M2448" s="41">
        <v>220</v>
      </c>
      <c r="N2448" s="41" t="s">
        <v>488</v>
      </c>
      <c r="O2448" s="41" t="s">
        <v>488</v>
      </c>
      <c r="P2448" s="41" t="s">
        <v>153</v>
      </c>
      <c r="Q2448" s="41" t="s">
        <v>329</v>
      </c>
      <c r="R2448" s="41" t="s">
        <v>39</v>
      </c>
      <c r="S2448" s="41" t="s">
        <v>40</v>
      </c>
      <c r="T2448" s="41" t="s">
        <v>40</v>
      </c>
      <c r="U2448" s="41" t="s">
        <v>40</v>
      </c>
    </row>
    <row r="2449" spans="1:21">
      <c r="A2449" s="41">
        <v>303</v>
      </c>
      <c r="B2449" s="41" t="s">
        <v>7589</v>
      </c>
      <c r="D2449" s="41">
        <v>1689</v>
      </c>
      <c r="E2449" s="41" t="s">
        <v>1076</v>
      </c>
      <c r="F2449" s="41" t="s">
        <v>53</v>
      </c>
      <c r="G2449" s="41" t="s">
        <v>64</v>
      </c>
      <c r="I2449" s="41" t="s">
        <v>4556</v>
      </c>
      <c r="J2449" s="41" t="s">
        <v>295</v>
      </c>
      <c r="K2449" s="42"/>
      <c r="L2449" s="41" t="s">
        <v>6800</v>
      </c>
      <c r="M2449" s="41">
        <v>110</v>
      </c>
      <c r="N2449" s="41" t="s">
        <v>4118</v>
      </c>
      <c r="O2449" s="41" t="s">
        <v>747</v>
      </c>
      <c r="P2449" s="41" t="s">
        <v>78</v>
      </c>
      <c r="Q2449" s="41" t="s">
        <v>6802</v>
      </c>
      <c r="R2449" s="41" t="s">
        <v>132</v>
      </c>
      <c r="S2449" s="41" t="s">
        <v>40</v>
      </c>
      <c r="T2449" s="41" t="s">
        <v>40</v>
      </c>
      <c r="U2449" s="41" t="s">
        <v>40</v>
      </c>
    </row>
    <row r="2450" spans="1:21">
      <c r="A2450" s="41">
        <v>305</v>
      </c>
      <c r="B2450" s="41" t="s">
        <v>7590</v>
      </c>
      <c r="D2450" s="41">
        <v>1692</v>
      </c>
      <c r="E2450" s="41" t="s">
        <v>1076</v>
      </c>
      <c r="F2450" s="41" t="s">
        <v>53</v>
      </c>
      <c r="G2450" s="41" t="s">
        <v>64</v>
      </c>
      <c r="I2450" s="41" t="s">
        <v>464</v>
      </c>
      <c r="J2450" s="41" t="s">
        <v>295</v>
      </c>
      <c r="K2450" s="42"/>
      <c r="L2450" s="41" t="s">
        <v>4839</v>
      </c>
      <c r="M2450" s="41">
        <v>110</v>
      </c>
      <c r="N2450" s="41" t="s">
        <v>1869</v>
      </c>
      <c r="O2450" s="41" t="s">
        <v>747</v>
      </c>
      <c r="P2450" s="41" t="s">
        <v>78</v>
      </c>
      <c r="Q2450" s="41" t="s">
        <v>79</v>
      </c>
      <c r="R2450" s="41" t="s">
        <v>132</v>
      </c>
      <c r="S2450" s="41" t="s">
        <v>40</v>
      </c>
      <c r="T2450" s="41" t="s">
        <v>40</v>
      </c>
      <c r="U2450" s="41" t="s">
        <v>40</v>
      </c>
    </row>
    <row r="2451" spans="1:21">
      <c r="A2451" s="41">
        <v>224</v>
      </c>
      <c r="B2451" s="41" t="s">
        <v>7591</v>
      </c>
      <c r="D2451" s="41">
        <v>1684</v>
      </c>
      <c r="E2451" s="41" t="s">
        <v>1076</v>
      </c>
      <c r="F2451" s="41" t="s">
        <v>28</v>
      </c>
      <c r="G2451" s="41" t="s">
        <v>64</v>
      </c>
      <c r="I2451" s="41" t="s">
        <v>3645</v>
      </c>
      <c r="J2451" s="41" t="s">
        <v>295</v>
      </c>
      <c r="K2451" s="42"/>
      <c r="L2451" s="41" t="s">
        <v>281</v>
      </c>
      <c r="M2451" s="41">
        <v>220</v>
      </c>
      <c r="N2451" s="41" t="s">
        <v>488</v>
      </c>
      <c r="O2451" s="41" t="s">
        <v>488</v>
      </c>
      <c r="P2451" s="41" t="s">
        <v>153</v>
      </c>
      <c r="Q2451" s="41" t="s">
        <v>1865</v>
      </c>
      <c r="R2451" s="41" t="s">
        <v>62</v>
      </c>
      <c r="S2451" s="41" t="s">
        <v>40</v>
      </c>
      <c r="T2451" s="41" t="s">
        <v>40</v>
      </c>
      <c r="U2451" s="41" t="s">
        <v>40</v>
      </c>
    </row>
    <row r="2452" spans="1:21">
      <c r="A2452" s="41">
        <v>223</v>
      </c>
      <c r="B2452" s="41" t="s">
        <v>7592</v>
      </c>
      <c r="D2452" s="41">
        <v>1683</v>
      </c>
      <c r="E2452" s="41" t="s">
        <v>5516</v>
      </c>
      <c r="F2452" s="41" t="s">
        <v>28</v>
      </c>
      <c r="G2452" s="41" t="s">
        <v>301</v>
      </c>
      <c r="I2452" s="41" t="s">
        <v>3645</v>
      </c>
      <c r="J2452" s="41" t="s">
        <v>295</v>
      </c>
      <c r="K2452" s="42"/>
      <c r="L2452" s="41" t="s">
        <v>7593</v>
      </c>
      <c r="M2452" s="41">
        <v>220</v>
      </c>
      <c r="N2452" s="41" t="s">
        <v>488</v>
      </c>
      <c r="O2452" s="41" t="s">
        <v>452</v>
      </c>
      <c r="P2452" s="41" t="s">
        <v>78</v>
      </c>
      <c r="Q2452" s="41" t="s">
        <v>1065</v>
      </c>
      <c r="R2452" s="41" t="s">
        <v>39</v>
      </c>
      <c r="S2452" s="41" t="s">
        <v>7594</v>
      </c>
      <c r="T2452" s="41" t="s">
        <v>6129</v>
      </c>
      <c r="U2452" s="41" t="s">
        <v>146</v>
      </c>
    </row>
    <row r="2453" spans="1:21">
      <c r="A2453" s="41">
        <v>227</v>
      </c>
      <c r="B2453" s="41" t="s">
        <v>589</v>
      </c>
      <c r="D2453" s="41">
        <v>1688</v>
      </c>
      <c r="E2453" s="41" t="s">
        <v>27</v>
      </c>
      <c r="F2453" s="41" t="s">
        <v>28</v>
      </c>
      <c r="G2453" s="41" t="s">
        <v>43</v>
      </c>
      <c r="I2453" s="41" t="s">
        <v>194</v>
      </c>
      <c r="J2453" s="41" t="s">
        <v>295</v>
      </c>
      <c r="K2453" s="42"/>
      <c r="L2453" s="41" t="s">
        <v>591</v>
      </c>
      <c r="M2453" s="41">
        <v>125</v>
      </c>
      <c r="N2453" s="41" t="s">
        <v>488</v>
      </c>
      <c r="O2453" s="41" t="s">
        <v>488</v>
      </c>
      <c r="P2453" s="41" t="s">
        <v>179</v>
      </c>
      <c r="Q2453" s="41" t="s">
        <v>592</v>
      </c>
      <c r="R2453" s="41" t="s">
        <v>39</v>
      </c>
      <c r="S2453" s="41" t="s">
        <v>40</v>
      </c>
      <c r="T2453" s="41" t="s">
        <v>40</v>
      </c>
      <c r="U2453" s="41" t="s">
        <v>40</v>
      </c>
    </row>
    <row r="2454" spans="1:21">
      <c r="A2454" s="41">
        <v>215</v>
      </c>
      <c r="B2454" s="41" t="s">
        <v>4771</v>
      </c>
      <c r="D2454" s="41">
        <v>1620</v>
      </c>
      <c r="E2454" s="41" t="s">
        <v>4772</v>
      </c>
      <c r="F2454" s="41" t="s">
        <v>28</v>
      </c>
      <c r="G2454" s="41" t="s">
        <v>64</v>
      </c>
      <c r="I2454" s="41" t="s">
        <v>3401</v>
      </c>
      <c r="J2454" s="41" t="s">
        <v>295</v>
      </c>
      <c r="K2454" s="42"/>
      <c r="L2454" s="41" t="s">
        <v>4773</v>
      </c>
      <c r="M2454" s="41">
        <v>220</v>
      </c>
      <c r="N2454" s="41" t="s">
        <v>488</v>
      </c>
      <c r="O2454" s="41" t="s">
        <v>488</v>
      </c>
      <c r="P2454" s="41" t="s">
        <v>153</v>
      </c>
      <c r="Q2454" s="41" t="s">
        <v>1865</v>
      </c>
      <c r="R2454" s="41" t="s">
        <v>39</v>
      </c>
      <c r="S2454" s="41" t="s">
        <v>40</v>
      </c>
      <c r="T2454" s="41" t="s">
        <v>40</v>
      </c>
      <c r="U2454" s="41" t="s">
        <v>40</v>
      </c>
    </row>
    <row r="2455" spans="1:21">
      <c r="A2455" s="41">
        <v>30</v>
      </c>
      <c r="B2455" s="41" t="s">
        <v>7595</v>
      </c>
      <c r="D2455" s="41">
        <v>1381</v>
      </c>
      <c r="E2455" s="41" t="s">
        <v>7596</v>
      </c>
      <c r="F2455" s="41" t="s">
        <v>28</v>
      </c>
      <c r="G2455" s="41" t="s">
        <v>64</v>
      </c>
      <c r="I2455" s="41" t="s">
        <v>194</v>
      </c>
      <c r="J2455" s="41" t="s">
        <v>295</v>
      </c>
      <c r="K2455" s="42"/>
      <c r="L2455" s="41" t="s">
        <v>7597</v>
      </c>
      <c r="M2455" s="41">
        <v>132</v>
      </c>
      <c r="N2455" s="41" t="s">
        <v>488</v>
      </c>
      <c r="O2455" s="41" t="s">
        <v>488</v>
      </c>
      <c r="P2455" s="41" t="s">
        <v>153</v>
      </c>
      <c r="Q2455" s="41" t="s">
        <v>2489</v>
      </c>
      <c r="R2455" s="41" t="s">
        <v>39</v>
      </c>
      <c r="S2455" s="41" t="s">
        <v>40</v>
      </c>
      <c r="T2455" s="41" t="s">
        <v>40</v>
      </c>
      <c r="U2455" s="41" t="s">
        <v>40</v>
      </c>
    </row>
    <row r="2456" spans="1:21">
      <c r="A2456" s="41">
        <v>23</v>
      </c>
      <c r="B2456" s="41" t="s">
        <v>593</v>
      </c>
      <c r="D2456" s="41">
        <v>1289</v>
      </c>
      <c r="E2456" s="41" t="s">
        <v>27</v>
      </c>
      <c r="F2456" s="41" t="s">
        <v>28</v>
      </c>
      <c r="G2456" s="41" t="s">
        <v>43</v>
      </c>
      <c r="I2456" s="41" t="s">
        <v>56</v>
      </c>
      <c r="J2456" s="41" t="s">
        <v>295</v>
      </c>
      <c r="K2456" s="42"/>
      <c r="L2456" s="41" t="s">
        <v>595</v>
      </c>
      <c r="M2456" s="41">
        <v>220</v>
      </c>
      <c r="N2456" s="41" t="s">
        <v>488</v>
      </c>
      <c r="O2456" s="41" t="s">
        <v>488</v>
      </c>
      <c r="P2456" s="41" t="s">
        <v>98</v>
      </c>
      <c r="Q2456" s="41" t="s">
        <v>569</v>
      </c>
      <c r="R2456" s="41" t="s">
        <v>39</v>
      </c>
      <c r="S2456" s="41" t="s">
        <v>40</v>
      </c>
      <c r="T2456" s="41" t="s">
        <v>40</v>
      </c>
      <c r="U2456" s="41" t="s">
        <v>40</v>
      </c>
    </row>
    <row r="2457" spans="1:21">
      <c r="A2457" s="41">
        <v>24</v>
      </c>
      <c r="B2457" s="41" t="s">
        <v>596</v>
      </c>
      <c r="D2457" s="41">
        <v>1290</v>
      </c>
      <c r="E2457" s="41" t="s">
        <v>27</v>
      </c>
      <c r="F2457" s="41" t="s">
        <v>28</v>
      </c>
      <c r="G2457" s="41" t="s">
        <v>43</v>
      </c>
      <c r="I2457" s="41" t="s">
        <v>31</v>
      </c>
      <c r="J2457" s="41" t="s">
        <v>295</v>
      </c>
      <c r="K2457" s="42"/>
      <c r="L2457" s="41" t="s">
        <v>598</v>
      </c>
      <c r="M2457" s="41">
        <v>220</v>
      </c>
      <c r="N2457" s="41" t="s">
        <v>488</v>
      </c>
      <c r="O2457" s="41" t="s">
        <v>488</v>
      </c>
      <c r="P2457" s="41" t="s">
        <v>98</v>
      </c>
      <c r="Q2457" s="41" t="s">
        <v>569</v>
      </c>
      <c r="R2457" s="41" t="s">
        <v>39</v>
      </c>
      <c r="S2457" s="41" t="s">
        <v>40</v>
      </c>
      <c r="T2457" s="41" t="s">
        <v>40</v>
      </c>
      <c r="U2457" s="41" t="s">
        <v>40</v>
      </c>
    </row>
    <row r="2458" spans="1:21">
      <c r="A2458" s="41">
        <v>87</v>
      </c>
      <c r="B2458" s="41" t="s">
        <v>7598</v>
      </c>
      <c r="D2458" s="41">
        <v>1279</v>
      </c>
      <c r="E2458" s="41" t="s">
        <v>7599</v>
      </c>
      <c r="F2458" s="41" t="s">
        <v>53</v>
      </c>
      <c r="G2458" s="41" t="s">
        <v>64</v>
      </c>
      <c r="I2458" s="41" t="s">
        <v>7600</v>
      </c>
      <c r="J2458" s="41" t="s">
        <v>295</v>
      </c>
      <c r="K2458" s="42"/>
      <c r="L2458" s="41" t="s">
        <v>578</v>
      </c>
      <c r="M2458" s="41">
        <v>220</v>
      </c>
      <c r="N2458" s="41" t="s">
        <v>7533</v>
      </c>
      <c r="O2458" s="41" t="s">
        <v>2072</v>
      </c>
      <c r="P2458" s="41" t="s">
        <v>179</v>
      </c>
      <c r="Q2458" s="41" t="s">
        <v>524</v>
      </c>
      <c r="R2458" s="41" t="s">
        <v>62</v>
      </c>
      <c r="S2458" s="41" t="s">
        <v>40</v>
      </c>
      <c r="T2458" s="41" t="s">
        <v>40</v>
      </c>
      <c r="U2458" s="41" t="s">
        <v>40</v>
      </c>
    </row>
    <row r="2459" spans="1:21">
      <c r="A2459" s="41">
        <v>21</v>
      </c>
      <c r="B2459" s="41" t="s">
        <v>7601</v>
      </c>
      <c r="D2459" s="41">
        <v>1281</v>
      </c>
      <c r="E2459" s="41" t="s">
        <v>7602</v>
      </c>
      <c r="F2459" s="41" t="s">
        <v>28</v>
      </c>
      <c r="G2459" s="41" t="s">
        <v>64</v>
      </c>
      <c r="I2459" s="41" t="s">
        <v>3468</v>
      </c>
      <c r="J2459" s="41" t="s">
        <v>295</v>
      </c>
      <c r="K2459" s="42"/>
      <c r="L2459" s="41" t="s">
        <v>7603</v>
      </c>
      <c r="M2459" s="41">
        <v>220</v>
      </c>
      <c r="N2459" s="41" t="s">
        <v>488</v>
      </c>
      <c r="O2459" s="41" t="s">
        <v>488</v>
      </c>
      <c r="P2459" s="41" t="s">
        <v>179</v>
      </c>
      <c r="Q2459" s="41" t="s">
        <v>524</v>
      </c>
      <c r="R2459" s="41" t="s">
        <v>39</v>
      </c>
      <c r="S2459" s="41" t="s">
        <v>40</v>
      </c>
      <c r="T2459" s="41" t="s">
        <v>40</v>
      </c>
      <c r="U2459" s="41" t="s">
        <v>40</v>
      </c>
    </row>
    <row r="2460" spans="1:21">
      <c r="A2460" s="41">
        <v>22</v>
      </c>
      <c r="B2460" s="41" t="s">
        <v>7604</v>
      </c>
      <c r="D2460" s="41">
        <v>1280</v>
      </c>
      <c r="E2460" s="41" t="s">
        <v>7077</v>
      </c>
      <c r="F2460" s="41" t="s">
        <v>28</v>
      </c>
      <c r="G2460" s="41" t="s">
        <v>64</v>
      </c>
      <c r="I2460" s="41" t="s">
        <v>3407</v>
      </c>
      <c r="J2460" s="41" t="s">
        <v>295</v>
      </c>
      <c r="K2460" s="42"/>
      <c r="L2460" s="41" t="s">
        <v>7605</v>
      </c>
      <c r="M2460" s="41">
        <v>110</v>
      </c>
      <c r="N2460" s="41" t="s">
        <v>488</v>
      </c>
      <c r="O2460" s="41" t="s">
        <v>488</v>
      </c>
      <c r="P2460" s="41" t="s">
        <v>98</v>
      </c>
      <c r="Q2460" s="41" t="s">
        <v>491</v>
      </c>
      <c r="R2460" s="41" t="s">
        <v>39</v>
      </c>
      <c r="S2460" s="41" t="s">
        <v>40</v>
      </c>
      <c r="T2460" s="41" t="s">
        <v>40</v>
      </c>
      <c r="U2460" s="41" t="s">
        <v>40</v>
      </c>
    </row>
    <row r="2461" spans="1:21">
      <c r="A2461" s="41">
        <v>88</v>
      </c>
      <c r="B2461" s="41" t="s">
        <v>7606</v>
      </c>
      <c r="D2461" s="41">
        <v>1284</v>
      </c>
      <c r="E2461" s="41" t="s">
        <v>1191</v>
      </c>
      <c r="F2461" s="41" t="s">
        <v>53</v>
      </c>
      <c r="G2461" s="41" t="s">
        <v>141</v>
      </c>
      <c r="I2461" s="41" t="s">
        <v>2905</v>
      </c>
      <c r="J2461" s="41" t="s">
        <v>380</v>
      </c>
      <c r="K2461" s="42"/>
      <c r="L2461" s="41" t="s">
        <v>5004</v>
      </c>
      <c r="M2461" s="41">
        <v>220</v>
      </c>
      <c r="N2461" s="41" t="s">
        <v>756</v>
      </c>
      <c r="O2461" s="41" t="s">
        <v>1827</v>
      </c>
      <c r="P2461" s="41" t="s">
        <v>37</v>
      </c>
      <c r="Q2461" s="41" t="s">
        <v>1661</v>
      </c>
      <c r="R2461" s="41" t="s">
        <v>62</v>
      </c>
      <c r="S2461" s="41" t="s">
        <v>7607</v>
      </c>
      <c r="T2461" s="41" t="s">
        <v>210</v>
      </c>
      <c r="U2461" s="41" t="s">
        <v>1621</v>
      </c>
    </row>
    <row r="2462" spans="1:21">
      <c r="A2462" s="41">
        <v>86</v>
      </c>
      <c r="B2462" s="41" t="s">
        <v>1201</v>
      </c>
      <c r="D2462" s="41">
        <v>1283</v>
      </c>
      <c r="E2462" s="41" t="s">
        <v>7608</v>
      </c>
      <c r="F2462" s="41" t="s">
        <v>53</v>
      </c>
      <c r="G2462" s="41" t="s">
        <v>64</v>
      </c>
      <c r="I2462" s="41" t="s">
        <v>7609</v>
      </c>
      <c r="J2462" s="41" t="s">
        <v>380</v>
      </c>
      <c r="K2462" s="42"/>
      <c r="L2462" s="41" t="s">
        <v>7610</v>
      </c>
      <c r="M2462" s="41">
        <v>110</v>
      </c>
      <c r="N2462" s="41" t="s">
        <v>2432</v>
      </c>
      <c r="O2462" s="41" t="s">
        <v>7611</v>
      </c>
      <c r="P2462" s="41" t="s">
        <v>83</v>
      </c>
      <c r="Q2462" s="41" t="s">
        <v>1206</v>
      </c>
      <c r="R2462" s="41" t="s">
        <v>132</v>
      </c>
      <c r="S2462" s="41" t="s">
        <v>40</v>
      </c>
      <c r="T2462" s="41" t="s">
        <v>40</v>
      </c>
      <c r="U2462" s="41" t="s">
        <v>40</v>
      </c>
    </row>
    <row r="2463" spans="1:21">
      <c r="A2463" s="41">
        <v>206</v>
      </c>
      <c r="B2463" s="41" t="s">
        <v>7612</v>
      </c>
      <c r="D2463" s="41">
        <v>1282</v>
      </c>
      <c r="E2463" s="41" t="s">
        <v>7613</v>
      </c>
      <c r="F2463" s="41" t="s">
        <v>28</v>
      </c>
      <c r="G2463" s="41" t="s">
        <v>64</v>
      </c>
      <c r="I2463" s="41" t="s">
        <v>231</v>
      </c>
      <c r="J2463" s="41" t="s">
        <v>295</v>
      </c>
      <c r="K2463" s="42"/>
      <c r="L2463" s="41" t="s">
        <v>7614</v>
      </c>
      <c r="M2463" s="41">
        <v>110</v>
      </c>
      <c r="N2463" s="41" t="s">
        <v>488</v>
      </c>
      <c r="O2463" s="41" t="s">
        <v>488</v>
      </c>
      <c r="P2463" s="41" t="s">
        <v>179</v>
      </c>
      <c r="Q2463" s="41" t="s">
        <v>592</v>
      </c>
      <c r="R2463" s="41" t="s">
        <v>39</v>
      </c>
      <c r="S2463" s="41" t="s">
        <v>40</v>
      </c>
      <c r="T2463" s="41" t="s">
        <v>40</v>
      </c>
      <c r="U2463" s="41" t="s">
        <v>40</v>
      </c>
    </row>
    <row r="2464" spans="1:21">
      <c r="A2464" s="41">
        <v>272</v>
      </c>
      <c r="B2464" s="41" t="s">
        <v>7615</v>
      </c>
      <c r="D2464" s="41">
        <v>1270</v>
      </c>
      <c r="E2464" s="41" t="s">
        <v>1882</v>
      </c>
      <c r="F2464" s="41" t="s">
        <v>53</v>
      </c>
      <c r="G2464" s="41" t="s">
        <v>43</v>
      </c>
      <c r="I2464" s="41" t="s">
        <v>406</v>
      </c>
      <c r="J2464" s="41" t="s">
        <v>295</v>
      </c>
      <c r="K2464" s="42"/>
      <c r="L2464" s="41" t="s">
        <v>7616</v>
      </c>
      <c r="M2464" s="41">
        <v>110</v>
      </c>
      <c r="N2464" s="41" t="s">
        <v>7069</v>
      </c>
      <c r="O2464" s="41" t="s">
        <v>7069</v>
      </c>
      <c r="P2464" s="41" t="s">
        <v>98</v>
      </c>
      <c r="Q2464" s="41" t="s">
        <v>569</v>
      </c>
      <c r="R2464" s="41" t="s">
        <v>132</v>
      </c>
      <c r="S2464" s="41" t="s">
        <v>40</v>
      </c>
      <c r="T2464" s="41" t="s">
        <v>40</v>
      </c>
      <c r="U2464" s="41" t="s">
        <v>40</v>
      </c>
    </row>
    <row r="2465" spans="1:21">
      <c r="A2465" s="41">
        <v>360</v>
      </c>
      <c r="B2465" s="41" t="s">
        <v>7617</v>
      </c>
      <c r="D2465" s="41">
        <v>1213</v>
      </c>
      <c r="E2465" s="41" t="s">
        <v>7618</v>
      </c>
      <c r="F2465" s="41" t="s">
        <v>28</v>
      </c>
      <c r="G2465" s="41" t="s">
        <v>64</v>
      </c>
      <c r="I2465" s="41" t="s">
        <v>3101</v>
      </c>
      <c r="J2465" s="41" t="s">
        <v>295</v>
      </c>
      <c r="K2465" s="42"/>
      <c r="L2465" s="41" t="s">
        <v>281</v>
      </c>
      <c r="M2465" s="41">
        <v>220</v>
      </c>
      <c r="N2465" s="41" t="s">
        <v>488</v>
      </c>
      <c r="O2465" s="41" t="s">
        <v>488</v>
      </c>
      <c r="P2465" s="41" t="s">
        <v>179</v>
      </c>
      <c r="Q2465" s="41" t="s">
        <v>284</v>
      </c>
      <c r="R2465" s="41" t="s">
        <v>39</v>
      </c>
      <c r="S2465" s="41" t="s">
        <v>40</v>
      </c>
      <c r="T2465" s="41" t="s">
        <v>40</v>
      </c>
      <c r="U2465" s="41" t="s">
        <v>40</v>
      </c>
    </row>
    <row r="2466" spans="1:21">
      <c r="A2466" s="41">
        <v>10</v>
      </c>
      <c r="B2466" s="41" t="s">
        <v>7619</v>
      </c>
      <c r="D2466" s="41">
        <v>1265</v>
      </c>
      <c r="E2466" s="41" t="s">
        <v>1191</v>
      </c>
      <c r="F2466" s="41" t="s">
        <v>53</v>
      </c>
      <c r="G2466" s="41" t="s">
        <v>64</v>
      </c>
      <c r="I2466" s="41" t="s">
        <v>7246</v>
      </c>
      <c r="J2466" s="41" t="s">
        <v>295</v>
      </c>
      <c r="K2466" s="42"/>
      <c r="L2466" s="41" t="s">
        <v>7242</v>
      </c>
      <c r="M2466" s="41">
        <v>220</v>
      </c>
      <c r="N2466" s="41" t="s">
        <v>395</v>
      </c>
      <c r="O2466" s="41" t="s">
        <v>2919</v>
      </c>
      <c r="P2466" s="41" t="s">
        <v>179</v>
      </c>
      <c r="Q2466" s="41" t="s">
        <v>592</v>
      </c>
      <c r="R2466" s="41" t="s">
        <v>62</v>
      </c>
      <c r="S2466" s="41" t="s">
        <v>40</v>
      </c>
      <c r="T2466" s="41" t="s">
        <v>40</v>
      </c>
      <c r="U2466" s="41" t="s">
        <v>40</v>
      </c>
    </row>
    <row r="2467" spans="1:21">
      <c r="A2467" s="41">
        <v>11</v>
      </c>
      <c r="B2467" s="41" t="s">
        <v>7620</v>
      </c>
      <c r="D2467" s="41">
        <v>1266</v>
      </c>
      <c r="E2467" s="41" t="s">
        <v>1191</v>
      </c>
      <c r="F2467" s="41" t="s">
        <v>53</v>
      </c>
      <c r="G2467" s="41" t="s">
        <v>64</v>
      </c>
      <c r="I2467" s="41" t="s">
        <v>7621</v>
      </c>
      <c r="J2467" s="41" t="s">
        <v>295</v>
      </c>
      <c r="K2467" s="42"/>
      <c r="L2467" s="41" t="s">
        <v>618</v>
      </c>
      <c r="M2467" s="41">
        <v>220</v>
      </c>
      <c r="N2467" s="41" t="s">
        <v>395</v>
      </c>
      <c r="O2467" s="41" t="s">
        <v>7622</v>
      </c>
      <c r="P2467" s="41" t="s">
        <v>50</v>
      </c>
      <c r="Q2467" s="41" t="s">
        <v>51</v>
      </c>
      <c r="R2467" s="41" t="s">
        <v>62</v>
      </c>
      <c r="S2467" s="41" t="s">
        <v>40</v>
      </c>
      <c r="T2467" s="41" t="s">
        <v>40</v>
      </c>
      <c r="U2467" s="41" t="s">
        <v>40</v>
      </c>
    </row>
    <row r="2468" spans="1:21">
      <c r="A2468" s="41">
        <v>12</v>
      </c>
      <c r="B2468" s="41" t="s">
        <v>7623</v>
      </c>
      <c r="D2468" s="41">
        <v>1267</v>
      </c>
      <c r="E2468" s="41" t="s">
        <v>1191</v>
      </c>
      <c r="F2468" s="41" t="s">
        <v>53</v>
      </c>
      <c r="G2468" s="41" t="s">
        <v>64</v>
      </c>
      <c r="I2468" s="41" t="s">
        <v>7246</v>
      </c>
      <c r="J2468" s="41" t="s">
        <v>295</v>
      </c>
      <c r="K2468" s="42"/>
      <c r="L2468" s="41" t="s">
        <v>7624</v>
      </c>
      <c r="M2468" s="41">
        <v>220</v>
      </c>
      <c r="N2468" s="41" t="s">
        <v>340</v>
      </c>
      <c r="O2468" s="41" t="s">
        <v>7625</v>
      </c>
      <c r="P2468" s="41" t="s">
        <v>98</v>
      </c>
      <c r="Q2468" s="41" t="s">
        <v>116</v>
      </c>
      <c r="R2468" s="41" t="s">
        <v>62</v>
      </c>
      <c r="S2468" s="41" t="s">
        <v>40</v>
      </c>
      <c r="T2468" s="41" t="s">
        <v>40</v>
      </c>
      <c r="U2468" s="41" t="s">
        <v>40</v>
      </c>
    </row>
    <row r="2469" spans="1:21">
      <c r="A2469" s="41">
        <v>13</v>
      </c>
      <c r="B2469" s="41" t="s">
        <v>7626</v>
      </c>
      <c r="D2469" s="41">
        <v>1268</v>
      </c>
      <c r="E2469" s="41" t="s">
        <v>1191</v>
      </c>
      <c r="F2469" s="41" t="s">
        <v>53</v>
      </c>
      <c r="G2469" s="41" t="s">
        <v>43</v>
      </c>
      <c r="I2469" s="41" t="s">
        <v>7621</v>
      </c>
      <c r="J2469" s="41" t="s">
        <v>295</v>
      </c>
      <c r="K2469" s="42"/>
      <c r="L2469" s="41" t="s">
        <v>1330</v>
      </c>
      <c r="M2469" s="41">
        <v>220</v>
      </c>
      <c r="N2469" s="41" t="s">
        <v>697</v>
      </c>
      <c r="O2469" s="41" t="s">
        <v>7627</v>
      </c>
      <c r="P2469" s="41" t="s">
        <v>98</v>
      </c>
      <c r="Q2469" s="41" t="s">
        <v>116</v>
      </c>
      <c r="R2469" s="41" t="s">
        <v>62</v>
      </c>
      <c r="S2469" s="41" t="s">
        <v>7628</v>
      </c>
      <c r="T2469" s="41" t="s">
        <v>4720</v>
      </c>
      <c r="U2469" s="41" t="s">
        <v>2512</v>
      </c>
    </row>
    <row r="2470" spans="1:21">
      <c r="A2470" s="41">
        <v>14</v>
      </c>
      <c r="B2470" s="41" t="s">
        <v>7629</v>
      </c>
      <c r="D2470" s="41">
        <v>1269</v>
      </c>
      <c r="E2470" s="41" t="s">
        <v>1191</v>
      </c>
      <c r="F2470" s="41" t="s">
        <v>53</v>
      </c>
      <c r="G2470" s="41" t="s">
        <v>64</v>
      </c>
      <c r="I2470" s="41" t="s">
        <v>392</v>
      </c>
      <c r="J2470" s="41" t="s">
        <v>295</v>
      </c>
      <c r="K2470" s="42"/>
      <c r="L2470" s="41" t="s">
        <v>7630</v>
      </c>
      <c r="M2470" s="41">
        <v>220</v>
      </c>
      <c r="N2470" s="41" t="s">
        <v>395</v>
      </c>
      <c r="O2470" s="41" t="s">
        <v>7631</v>
      </c>
      <c r="P2470" s="41" t="s">
        <v>546</v>
      </c>
      <c r="Q2470" s="41" t="s">
        <v>547</v>
      </c>
      <c r="R2470" s="41" t="s">
        <v>62</v>
      </c>
      <c r="S2470" s="41" t="s">
        <v>7632</v>
      </c>
      <c r="T2470" s="41" t="s">
        <v>415</v>
      </c>
      <c r="U2470" s="41" t="s">
        <v>706</v>
      </c>
    </row>
    <row r="2471" spans="1:21">
      <c r="A2471" s="41">
        <v>85</v>
      </c>
      <c r="B2471" s="41" t="s">
        <v>599</v>
      </c>
      <c r="D2471" s="41">
        <v>1264</v>
      </c>
      <c r="E2471" s="41" t="s">
        <v>27</v>
      </c>
      <c r="F2471" s="41" t="s">
        <v>53</v>
      </c>
      <c r="G2471" s="41" t="s">
        <v>43</v>
      </c>
      <c r="I2471" s="41" t="s">
        <v>601</v>
      </c>
      <c r="J2471" s="41" t="s">
        <v>295</v>
      </c>
      <c r="K2471" s="42"/>
      <c r="L2471" s="41" t="s">
        <v>103</v>
      </c>
      <c r="M2471" s="41">
        <v>220</v>
      </c>
      <c r="N2471" s="41" t="s">
        <v>77</v>
      </c>
      <c r="O2471" s="41" t="s">
        <v>77</v>
      </c>
      <c r="P2471" s="41" t="s">
        <v>98</v>
      </c>
      <c r="Q2471" s="41" t="s">
        <v>99</v>
      </c>
      <c r="R2471" s="41" t="s">
        <v>62</v>
      </c>
      <c r="S2471" s="41" t="s">
        <v>603</v>
      </c>
      <c r="T2471" s="41" t="s">
        <v>604</v>
      </c>
      <c r="U2471" s="41" t="s">
        <v>40</v>
      </c>
    </row>
    <row r="2472" spans="1:21">
      <c r="A2472" s="41">
        <v>84</v>
      </c>
      <c r="B2472" s="41" t="s">
        <v>7633</v>
      </c>
      <c r="D2472" s="41">
        <v>1263</v>
      </c>
      <c r="E2472" s="41" t="s">
        <v>7634</v>
      </c>
      <c r="F2472" s="41" t="s">
        <v>53</v>
      </c>
      <c r="G2472" s="41" t="s">
        <v>64</v>
      </c>
      <c r="I2472" s="41" t="s">
        <v>45</v>
      </c>
      <c r="J2472" s="41" t="s">
        <v>295</v>
      </c>
      <c r="K2472" s="42"/>
      <c r="L2472" s="41" t="s">
        <v>3597</v>
      </c>
      <c r="M2472" s="41">
        <v>220</v>
      </c>
      <c r="N2472" s="41" t="s">
        <v>7635</v>
      </c>
      <c r="O2472" s="41" t="s">
        <v>7636</v>
      </c>
      <c r="P2472" s="41" t="s">
        <v>98</v>
      </c>
      <c r="Q2472" s="41" t="s">
        <v>116</v>
      </c>
      <c r="R2472" s="41" t="s">
        <v>62</v>
      </c>
      <c r="S2472" s="41" t="s">
        <v>7637</v>
      </c>
      <c r="T2472" s="41" t="s">
        <v>3185</v>
      </c>
      <c r="U2472" s="41" t="s">
        <v>3450</v>
      </c>
    </row>
    <row r="2473" spans="1:21">
      <c r="A2473" s="41">
        <v>205</v>
      </c>
      <c r="B2473" s="41" t="s">
        <v>7638</v>
      </c>
      <c r="D2473" s="41">
        <v>1271</v>
      </c>
      <c r="E2473" s="41" t="s">
        <v>7304</v>
      </c>
      <c r="F2473" s="41" t="s">
        <v>28</v>
      </c>
      <c r="G2473" s="41" t="s">
        <v>64</v>
      </c>
      <c r="I2473" s="41" t="s">
        <v>338</v>
      </c>
      <c r="J2473" s="41" t="s">
        <v>295</v>
      </c>
      <c r="K2473" s="42"/>
      <c r="L2473" s="41" t="s">
        <v>7639</v>
      </c>
      <c r="M2473" s="41">
        <v>220</v>
      </c>
      <c r="N2473" s="41" t="s">
        <v>488</v>
      </c>
      <c r="O2473" s="41" t="s">
        <v>488</v>
      </c>
      <c r="P2473" s="41" t="s">
        <v>98</v>
      </c>
      <c r="Q2473" s="41" t="s">
        <v>116</v>
      </c>
      <c r="R2473" s="41" t="s">
        <v>39</v>
      </c>
      <c r="S2473" s="41" t="s">
        <v>40</v>
      </c>
      <c r="T2473" s="41" t="s">
        <v>40</v>
      </c>
      <c r="U2473" s="41" t="s">
        <v>40</v>
      </c>
    </row>
    <row r="2474" spans="1:21">
      <c r="A2474" s="41">
        <v>213</v>
      </c>
      <c r="B2474" s="41" t="s">
        <v>7640</v>
      </c>
      <c r="D2474" s="41">
        <v>1613</v>
      </c>
      <c r="E2474" s="41" t="s">
        <v>7641</v>
      </c>
      <c r="F2474" s="41" t="s">
        <v>28</v>
      </c>
      <c r="G2474" s="41" t="s">
        <v>64</v>
      </c>
      <c r="I2474" s="41" t="s">
        <v>1188</v>
      </c>
      <c r="J2474" s="41" t="s">
        <v>295</v>
      </c>
      <c r="K2474" s="42"/>
      <c r="L2474" s="41" t="s">
        <v>7642</v>
      </c>
      <c r="M2474" s="41">
        <v>220</v>
      </c>
      <c r="N2474" s="41" t="s">
        <v>488</v>
      </c>
      <c r="O2474" s="41" t="s">
        <v>488</v>
      </c>
      <c r="P2474" s="41" t="s">
        <v>98</v>
      </c>
      <c r="Q2474" s="41" t="s">
        <v>116</v>
      </c>
      <c r="R2474" s="41" t="s">
        <v>39</v>
      </c>
      <c r="S2474" s="41" t="s">
        <v>40</v>
      </c>
      <c r="T2474" s="41" t="s">
        <v>40</v>
      </c>
      <c r="U2474" s="41" t="s">
        <v>40</v>
      </c>
    </row>
    <row r="2475" spans="1:21">
      <c r="A2475" s="41">
        <v>83</v>
      </c>
      <c r="B2475" s="41" t="s">
        <v>7643</v>
      </c>
      <c r="D2475" s="41">
        <v>1254</v>
      </c>
      <c r="E2475" s="41" t="s">
        <v>1191</v>
      </c>
      <c r="F2475" s="41" t="s">
        <v>53</v>
      </c>
      <c r="G2475" s="41" t="s">
        <v>307</v>
      </c>
      <c r="I2475" s="41" t="s">
        <v>7644</v>
      </c>
      <c r="J2475" s="41" t="s">
        <v>380</v>
      </c>
      <c r="K2475" s="42"/>
      <c r="L2475" s="41" t="s">
        <v>103</v>
      </c>
      <c r="M2475" s="41">
        <v>220</v>
      </c>
      <c r="N2475" s="41" t="s">
        <v>488</v>
      </c>
      <c r="O2475" s="41" t="s">
        <v>488</v>
      </c>
      <c r="P2475" s="41" t="s">
        <v>98</v>
      </c>
      <c r="Q2475" s="41" t="s">
        <v>99</v>
      </c>
      <c r="R2475" s="41" t="s">
        <v>62</v>
      </c>
      <c r="S2475" s="41" t="s">
        <v>7645</v>
      </c>
      <c r="T2475" s="41" t="s">
        <v>3185</v>
      </c>
      <c r="U2475" s="41" t="s">
        <v>40</v>
      </c>
    </row>
    <row r="2476" spans="1:21">
      <c r="A2476" s="41">
        <v>18</v>
      </c>
      <c r="B2476" s="41" t="s">
        <v>7646</v>
      </c>
      <c r="D2476" s="41">
        <v>975</v>
      </c>
      <c r="E2476" s="41" t="s">
        <v>7647</v>
      </c>
      <c r="F2476" s="41" t="s">
        <v>28</v>
      </c>
      <c r="G2476" s="41" t="s">
        <v>64</v>
      </c>
      <c r="I2476" s="41" t="s">
        <v>102</v>
      </c>
      <c r="J2476" s="41" t="s">
        <v>295</v>
      </c>
      <c r="K2476" s="42"/>
      <c r="L2476" s="41" t="s">
        <v>7648</v>
      </c>
      <c r="M2476" s="41">
        <v>220</v>
      </c>
      <c r="N2476" s="41" t="s">
        <v>488</v>
      </c>
      <c r="O2476" s="41" t="s">
        <v>488</v>
      </c>
      <c r="P2476" s="41" t="s">
        <v>179</v>
      </c>
      <c r="Q2476" s="41" t="s">
        <v>1116</v>
      </c>
      <c r="R2476" s="41" t="s">
        <v>39</v>
      </c>
      <c r="S2476" s="41" t="s">
        <v>40</v>
      </c>
      <c r="T2476" s="41" t="s">
        <v>40</v>
      </c>
      <c r="U2476" s="41" t="s">
        <v>40</v>
      </c>
    </row>
    <row r="2477" spans="1:21">
      <c r="A2477" s="41">
        <v>351</v>
      </c>
      <c r="B2477" s="41" t="s">
        <v>7649</v>
      </c>
      <c r="D2477" s="41">
        <v>1253</v>
      </c>
      <c r="E2477" s="41" t="s">
        <v>2644</v>
      </c>
      <c r="F2477" s="41" t="s">
        <v>53</v>
      </c>
      <c r="G2477" s="41" t="s">
        <v>64</v>
      </c>
      <c r="I2477" s="41" t="s">
        <v>2649</v>
      </c>
      <c r="J2477" s="41" t="s">
        <v>672</v>
      </c>
      <c r="K2477" s="42"/>
      <c r="L2477" s="41" t="s">
        <v>2650</v>
      </c>
      <c r="M2477" s="41">
        <v>154</v>
      </c>
      <c r="N2477" s="41" t="s">
        <v>488</v>
      </c>
      <c r="O2477" s="41" t="s">
        <v>1838</v>
      </c>
      <c r="P2477" s="41" t="s">
        <v>37</v>
      </c>
      <c r="Q2477" s="41" t="s">
        <v>2647</v>
      </c>
      <c r="R2477" s="41" t="s">
        <v>132</v>
      </c>
      <c r="S2477" s="41" t="s">
        <v>40</v>
      </c>
      <c r="T2477" s="41" t="s">
        <v>40</v>
      </c>
      <c r="U2477" s="41" t="s">
        <v>40</v>
      </c>
    </row>
    <row r="2478" spans="1:21">
      <c r="A2478" s="41">
        <v>333</v>
      </c>
      <c r="B2478" s="41" t="s">
        <v>7650</v>
      </c>
      <c r="D2478" s="41">
        <v>1256</v>
      </c>
      <c r="E2478" s="41" t="s">
        <v>1174</v>
      </c>
      <c r="F2478" s="41" t="s">
        <v>28</v>
      </c>
      <c r="G2478" s="41" t="s">
        <v>307</v>
      </c>
      <c r="I2478" s="41" t="s">
        <v>7651</v>
      </c>
      <c r="J2478" s="41" t="s">
        <v>380</v>
      </c>
      <c r="K2478" s="42"/>
      <c r="L2478" s="41" t="s">
        <v>7652</v>
      </c>
      <c r="M2478" s="41">
        <v>220</v>
      </c>
      <c r="N2478" s="41" t="s">
        <v>488</v>
      </c>
      <c r="O2478" s="41" t="s">
        <v>488</v>
      </c>
      <c r="P2478" s="41" t="s">
        <v>179</v>
      </c>
      <c r="Q2478" s="41" t="s">
        <v>1116</v>
      </c>
      <c r="R2478" s="41" t="s">
        <v>39</v>
      </c>
      <c r="S2478" s="41" t="s">
        <v>40</v>
      </c>
      <c r="T2478" s="41" t="s">
        <v>40</v>
      </c>
      <c r="U2478" s="41" t="s">
        <v>40</v>
      </c>
    </row>
    <row r="2479" spans="1:21">
      <c r="A2479" s="41">
        <v>82</v>
      </c>
      <c r="B2479" s="41" t="s">
        <v>1960</v>
      </c>
      <c r="D2479" s="41">
        <v>1243</v>
      </c>
      <c r="E2479" s="41" t="s">
        <v>6096</v>
      </c>
      <c r="F2479" s="41" t="s">
        <v>53</v>
      </c>
      <c r="G2479" s="41" t="s">
        <v>307</v>
      </c>
      <c r="I2479" s="41" t="s">
        <v>194</v>
      </c>
      <c r="J2479" s="41" t="s">
        <v>295</v>
      </c>
      <c r="K2479" s="42"/>
      <c r="L2479" s="41" t="s">
        <v>4683</v>
      </c>
      <c r="M2479" s="41">
        <v>66</v>
      </c>
      <c r="N2479" s="41" t="s">
        <v>7653</v>
      </c>
      <c r="O2479" s="41" t="s">
        <v>388</v>
      </c>
      <c r="P2479" s="41" t="s">
        <v>334</v>
      </c>
      <c r="Q2479" s="41" t="s">
        <v>4481</v>
      </c>
      <c r="R2479" s="41" t="s">
        <v>132</v>
      </c>
      <c r="S2479" s="41" t="s">
        <v>7171</v>
      </c>
      <c r="T2479" s="41" t="s">
        <v>7654</v>
      </c>
      <c r="U2479" s="41" t="s">
        <v>40</v>
      </c>
    </row>
    <row r="2480" spans="1:21">
      <c r="A2480" s="41">
        <v>350</v>
      </c>
      <c r="B2480" s="41" t="s">
        <v>7240</v>
      </c>
      <c r="D2480" s="41">
        <v>1235</v>
      </c>
      <c r="E2480" s="41" t="s">
        <v>6378</v>
      </c>
      <c r="F2480" s="41" t="s">
        <v>53</v>
      </c>
      <c r="G2480" s="41" t="s">
        <v>64</v>
      </c>
      <c r="I2480" s="41" t="s">
        <v>7241</v>
      </c>
      <c r="J2480" s="41" t="s">
        <v>295</v>
      </c>
      <c r="K2480" s="42"/>
      <c r="L2480" s="41" t="s">
        <v>7655</v>
      </c>
      <c r="M2480" s="41">
        <v>220</v>
      </c>
      <c r="N2480" s="41" t="s">
        <v>697</v>
      </c>
      <c r="O2480" s="41" t="s">
        <v>7656</v>
      </c>
      <c r="P2480" s="41" t="s">
        <v>179</v>
      </c>
      <c r="Q2480" s="41" t="s">
        <v>592</v>
      </c>
      <c r="R2480" s="41" t="s">
        <v>62</v>
      </c>
      <c r="S2480" s="41" t="s">
        <v>40</v>
      </c>
      <c r="T2480" s="41" t="s">
        <v>40</v>
      </c>
      <c r="U2480" s="41" t="s">
        <v>40</v>
      </c>
    </row>
    <row r="2481" spans="1:21">
      <c r="A2481" s="41">
        <v>19</v>
      </c>
      <c r="B2481" s="41" t="s">
        <v>7657</v>
      </c>
      <c r="D2481" s="41">
        <v>1242</v>
      </c>
      <c r="E2481" s="41" t="s">
        <v>7658</v>
      </c>
      <c r="F2481" s="41" t="s">
        <v>28</v>
      </c>
      <c r="G2481" s="41" t="s">
        <v>64</v>
      </c>
      <c r="I2481" s="41" t="s">
        <v>149</v>
      </c>
      <c r="J2481" s="41" t="s">
        <v>672</v>
      </c>
      <c r="K2481" s="42"/>
      <c r="L2481" s="41" t="s">
        <v>7659</v>
      </c>
      <c r="M2481" s="41">
        <v>220</v>
      </c>
      <c r="N2481" s="41" t="s">
        <v>488</v>
      </c>
      <c r="O2481" s="41" t="s">
        <v>488</v>
      </c>
      <c r="P2481" s="41" t="s">
        <v>179</v>
      </c>
      <c r="Q2481" s="41" t="s">
        <v>524</v>
      </c>
      <c r="R2481" s="41" t="s">
        <v>39</v>
      </c>
      <c r="S2481" s="41" t="s">
        <v>40</v>
      </c>
      <c r="T2481" s="41" t="s">
        <v>40</v>
      </c>
      <c r="U2481" s="41" t="s">
        <v>40</v>
      </c>
    </row>
    <row r="2482" spans="1:21">
      <c r="A2482" s="41">
        <v>342</v>
      </c>
      <c r="B2482" s="41" t="s">
        <v>7660</v>
      </c>
      <c r="D2482" s="41">
        <v>1238</v>
      </c>
      <c r="E2482" s="41" t="s">
        <v>7661</v>
      </c>
      <c r="F2482" s="41" t="s">
        <v>28</v>
      </c>
      <c r="G2482" s="41" t="s">
        <v>307</v>
      </c>
      <c r="I2482" s="41" t="s">
        <v>194</v>
      </c>
      <c r="J2482" s="41" t="s">
        <v>295</v>
      </c>
      <c r="K2482" s="42"/>
      <c r="L2482" s="41" t="s">
        <v>7662</v>
      </c>
      <c r="M2482" s="41">
        <v>110</v>
      </c>
      <c r="N2482" s="41" t="s">
        <v>488</v>
      </c>
      <c r="O2482" s="41" t="s">
        <v>488</v>
      </c>
      <c r="P2482" s="41" t="s">
        <v>68</v>
      </c>
      <c r="Q2482" s="41" t="s">
        <v>69</v>
      </c>
      <c r="R2482" s="41" t="s">
        <v>39</v>
      </c>
      <c r="S2482" s="41" t="s">
        <v>40</v>
      </c>
      <c r="T2482" s="41" t="s">
        <v>7663</v>
      </c>
      <c r="U2482" s="41" t="s">
        <v>40</v>
      </c>
    </row>
    <row r="2483" spans="1:21">
      <c r="A2483" s="41">
        <v>81</v>
      </c>
      <c r="B2483" s="41" t="s">
        <v>7664</v>
      </c>
      <c r="D2483" s="41">
        <v>1236</v>
      </c>
      <c r="E2483" s="41" t="s">
        <v>7665</v>
      </c>
      <c r="F2483" s="41" t="s">
        <v>53</v>
      </c>
      <c r="G2483" s="41" t="s">
        <v>307</v>
      </c>
      <c r="I2483" s="41" t="s">
        <v>194</v>
      </c>
      <c r="J2483" s="41" t="s">
        <v>295</v>
      </c>
      <c r="K2483" s="42"/>
      <c r="L2483" s="41" t="s">
        <v>7666</v>
      </c>
      <c r="M2483" s="41">
        <v>23</v>
      </c>
      <c r="N2483" s="41" t="s">
        <v>395</v>
      </c>
      <c r="O2483" s="41" t="s">
        <v>989</v>
      </c>
      <c r="P2483" s="41" t="s">
        <v>68</v>
      </c>
      <c r="Q2483" s="41" t="s">
        <v>3518</v>
      </c>
      <c r="R2483" s="41" t="s">
        <v>132</v>
      </c>
      <c r="S2483" s="41" t="s">
        <v>7667</v>
      </c>
      <c r="T2483" s="41" t="s">
        <v>5787</v>
      </c>
      <c r="U2483" s="41" t="s">
        <v>40</v>
      </c>
    </row>
    <row r="2484" spans="1:21">
      <c r="A2484" s="41">
        <v>203</v>
      </c>
      <c r="B2484" s="41" t="s">
        <v>7668</v>
      </c>
      <c r="D2484" s="41">
        <v>1239</v>
      </c>
      <c r="E2484" s="41" t="s">
        <v>7669</v>
      </c>
      <c r="F2484" s="41" t="s">
        <v>28</v>
      </c>
      <c r="G2484" s="41" t="s">
        <v>43</v>
      </c>
      <c r="I2484" s="41" t="s">
        <v>7670</v>
      </c>
      <c r="J2484" s="41" t="s">
        <v>295</v>
      </c>
      <c r="K2484" s="42"/>
      <c r="L2484" s="41" t="s">
        <v>7671</v>
      </c>
      <c r="M2484" s="41">
        <v>220</v>
      </c>
      <c r="N2484" s="41" t="s">
        <v>488</v>
      </c>
      <c r="O2484" s="41" t="s">
        <v>488</v>
      </c>
      <c r="P2484" s="41" t="s">
        <v>179</v>
      </c>
      <c r="Q2484" s="41" t="s">
        <v>284</v>
      </c>
      <c r="R2484" s="41" t="s">
        <v>39</v>
      </c>
      <c r="S2484" s="41" t="s">
        <v>40</v>
      </c>
      <c r="T2484" s="41" t="s">
        <v>40</v>
      </c>
      <c r="U2484" s="41" t="s">
        <v>40</v>
      </c>
    </row>
    <row r="2485" spans="1:21">
      <c r="A2485" s="41">
        <v>47</v>
      </c>
      <c r="B2485" s="41" t="s">
        <v>7672</v>
      </c>
      <c r="D2485" s="41">
        <v>1612</v>
      </c>
      <c r="E2485" s="41" t="s">
        <v>7234</v>
      </c>
      <c r="F2485" s="41" t="s">
        <v>28</v>
      </c>
      <c r="G2485" s="41" t="s">
        <v>307</v>
      </c>
      <c r="I2485" s="41" t="s">
        <v>194</v>
      </c>
      <c r="J2485" s="41" t="s">
        <v>295</v>
      </c>
      <c r="K2485" s="42"/>
      <c r="L2485" s="41" t="s">
        <v>7502</v>
      </c>
      <c r="M2485" s="41">
        <v>23</v>
      </c>
      <c r="N2485" s="41" t="s">
        <v>488</v>
      </c>
      <c r="O2485" s="41" t="s">
        <v>488</v>
      </c>
      <c r="P2485" s="41" t="s">
        <v>153</v>
      </c>
      <c r="Q2485" s="41" t="s">
        <v>153</v>
      </c>
      <c r="R2485" s="41" t="s">
        <v>39</v>
      </c>
      <c r="S2485" s="41" t="s">
        <v>40</v>
      </c>
      <c r="T2485" s="41" t="s">
        <v>7503</v>
      </c>
      <c r="U2485" s="41" t="s">
        <v>6813</v>
      </c>
    </row>
    <row r="2486" spans="1:21">
      <c r="A2486" s="41">
        <v>120</v>
      </c>
      <c r="B2486" s="41" t="s">
        <v>7673</v>
      </c>
      <c r="D2486" s="41">
        <v>1514</v>
      </c>
      <c r="E2486" s="41" t="s">
        <v>7674</v>
      </c>
      <c r="F2486" s="41" t="s">
        <v>53</v>
      </c>
      <c r="G2486" s="41" t="s">
        <v>64</v>
      </c>
      <c r="I2486" s="41" t="s">
        <v>464</v>
      </c>
      <c r="J2486" s="41" t="s">
        <v>295</v>
      </c>
      <c r="K2486" s="42"/>
      <c r="L2486" s="41" t="s">
        <v>3623</v>
      </c>
      <c r="M2486" s="41">
        <v>220</v>
      </c>
      <c r="N2486" s="41" t="s">
        <v>488</v>
      </c>
      <c r="O2486" s="41" t="s">
        <v>488</v>
      </c>
      <c r="P2486" s="41" t="s">
        <v>179</v>
      </c>
      <c r="Q2486" s="41" t="s">
        <v>284</v>
      </c>
      <c r="R2486" s="41" t="s">
        <v>62</v>
      </c>
      <c r="S2486" s="41" t="s">
        <v>40</v>
      </c>
      <c r="T2486" s="41" t="s">
        <v>40</v>
      </c>
      <c r="U2486" s="41" t="s">
        <v>40</v>
      </c>
    </row>
    <row r="2487" spans="1:21">
      <c r="A2487" s="41">
        <v>335</v>
      </c>
      <c r="B2487" s="41" t="s">
        <v>7675</v>
      </c>
      <c r="D2487" s="41">
        <v>1291</v>
      </c>
      <c r="E2487" s="41" t="s">
        <v>7676</v>
      </c>
      <c r="F2487" s="41" t="s">
        <v>28</v>
      </c>
      <c r="G2487" s="41" t="s">
        <v>64</v>
      </c>
      <c r="I2487" s="41" t="s">
        <v>1183</v>
      </c>
      <c r="J2487" s="41" t="s">
        <v>295</v>
      </c>
      <c r="K2487" s="42"/>
      <c r="L2487" s="41" t="s">
        <v>7210</v>
      </c>
      <c r="M2487" s="41">
        <v>110</v>
      </c>
      <c r="N2487" s="41" t="s">
        <v>488</v>
      </c>
      <c r="O2487" s="41" t="s">
        <v>488</v>
      </c>
      <c r="P2487" s="41" t="s">
        <v>153</v>
      </c>
      <c r="Q2487" s="41" t="s">
        <v>2489</v>
      </c>
      <c r="R2487" s="41" t="s">
        <v>39</v>
      </c>
      <c r="S2487" s="41" t="s">
        <v>40</v>
      </c>
      <c r="T2487" s="41" t="s">
        <v>40</v>
      </c>
      <c r="U2487" s="41" t="s">
        <v>40</v>
      </c>
    </row>
    <row r="2488" spans="1:21">
      <c r="A2488" s="41">
        <v>78</v>
      </c>
      <c r="B2488" s="41" t="s">
        <v>7677</v>
      </c>
      <c r="D2488" s="41">
        <v>1233</v>
      </c>
      <c r="E2488" s="41" t="s">
        <v>6536</v>
      </c>
      <c r="F2488" s="41" t="s">
        <v>53</v>
      </c>
      <c r="G2488" s="41" t="s">
        <v>307</v>
      </c>
      <c r="I2488" s="41" t="s">
        <v>194</v>
      </c>
      <c r="J2488" s="41" t="s">
        <v>295</v>
      </c>
      <c r="K2488" s="42"/>
      <c r="L2488" s="41" t="s">
        <v>7109</v>
      </c>
      <c r="M2488" s="41">
        <v>132</v>
      </c>
      <c r="N2488" s="41" t="s">
        <v>340</v>
      </c>
      <c r="O2488" s="41" t="s">
        <v>1083</v>
      </c>
      <c r="P2488" s="41" t="s">
        <v>60</v>
      </c>
      <c r="Q2488" s="41" t="s">
        <v>608</v>
      </c>
      <c r="R2488" s="41" t="s">
        <v>132</v>
      </c>
      <c r="S2488" s="41" t="s">
        <v>7678</v>
      </c>
      <c r="T2488" s="41" t="s">
        <v>5787</v>
      </c>
      <c r="U2488" s="41" t="s">
        <v>40</v>
      </c>
    </row>
    <row r="2489" spans="1:21">
      <c r="A2489" s="41">
        <v>69</v>
      </c>
      <c r="B2489" s="41" t="s">
        <v>7679</v>
      </c>
      <c r="D2489" s="41">
        <v>974</v>
      </c>
      <c r="E2489" s="41" t="s">
        <v>7680</v>
      </c>
      <c r="F2489" s="41" t="s">
        <v>53</v>
      </c>
      <c r="G2489" s="41" t="s">
        <v>64</v>
      </c>
      <c r="I2489" s="41" t="s">
        <v>325</v>
      </c>
      <c r="J2489" s="41" t="s">
        <v>1652</v>
      </c>
      <c r="K2489" s="42"/>
      <c r="L2489" s="41" t="s">
        <v>7681</v>
      </c>
      <c r="M2489" s="41">
        <v>220</v>
      </c>
      <c r="N2489" s="41" t="s">
        <v>340</v>
      </c>
      <c r="O2489" s="41" t="s">
        <v>1045</v>
      </c>
      <c r="P2489" s="41" t="s">
        <v>153</v>
      </c>
      <c r="Q2489" s="41" t="s">
        <v>2004</v>
      </c>
      <c r="R2489" s="41" t="s">
        <v>62</v>
      </c>
      <c r="S2489" s="41" t="s">
        <v>7682</v>
      </c>
      <c r="T2489" s="41" t="s">
        <v>7683</v>
      </c>
      <c r="U2489" s="41" t="s">
        <v>125</v>
      </c>
    </row>
    <row r="2490" spans="1:21">
      <c r="A2490" s="41">
        <v>80</v>
      </c>
      <c r="B2490" s="41" t="s">
        <v>7138</v>
      </c>
      <c r="D2490" s="41">
        <v>1212</v>
      </c>
      <c r="E2490" s="41" t="s">
        <v>7684</v>
      </c>
      <c r="F2490" s="41" t="s">
        <v>53</v>
      </c>
      <c r="G2490" s="41" t="s">
        <v>64</v>
      </c>
      <c r="I2490" s="41" t="s">
        <v>201</v>
      </c>
      <c r="J2490" s="41" t="s">
        <v>295</v>
      </c>
      <c r="K2490" s="42"/>
      <c r="L2490" s="41" t="s">
        <v>1304</v>
      </c>
      <c r="M2490" s="41">
        <v>220</v>
      </c>
      <c r="N2490" s="41" t="s">
        <v>220</v>
      </c>
      <c r="O2490" s="41" t="s">
        <v>6177</v>
      </c>
      <c r="P2490" s="41" t="s">
        <v>98</v>
      </c>
      <c r="Q2490" s="41" t="s">
        <v>116</v>
      </c>
      <c r="R2490" s="41" t="s">
        <v>62</v>
      </c>
      <c r="S2490" s="41" t="s">
        <v>40</v>
      </c>
      <c r="T2490" s="41" t="s">
        <v>40</v>
      </c>
      <c r="U2490" s="41" t="s">
        <v>40</v>
      </c>
    </row>
    <row r="2491" spans="1:21">
      <c r="A2491" s="41">
        <v>204</v>
      </c>
      <c r="B2491" s="41" t="s">
        <v>7685</v>
      </c>
      <c r="D2491" s="41">
        <v>1255</v>
      </c>
      <c r="E2491" s="41" t="s">
        <v>6313</v>
      </c>
      <c r="F2491" s="41" t="s">
        <v>28</v>
      </c>
      <c r="G2491" s="41" t="s">
        <v>307</v>
      </c>
      <c r="I2491" s="41" t="s">
        <v>325</v>
      </c>
      <c r="J2491" s="41" t="s">
        <v>380</v>
      </c>
      <c r="K2491" s="42"/>
      <c r="L2491" s="41" t="s">
        <v>7686</v>
      </c>
      <c r="M2491" s="41">
        <v>220</v>
      </c>
      <c r="N2491" s="41" t="s">
        <v>488</v>
      </c>
      <c r="O2491" s="41" t="s">
        <v>488</v>
      </c>
      <c r="P2491" s="41" t="s">
        <v>37</v>
      </c>
      <c r="Q2491" s="41" t="s">
        <v>1661</v>
      </c>
      <c r="R2491" s="41" t="s">
        <v>39</v>
      </c>
      <c r="S2491" s="41" t="s">
        <v>40</v>
      </c>
      <c r="T2491" s="41" t="s">
        <v>40</v>
      </c>
      <c r="U2491" s="41" t="s">
        <v>40</v>
      </c>
    </row>
    <row r="2492" spans="1:21">
      <c r="A2492" s="41">
        <v>77</v>
      </c>
      <c r="B2492" s="41" t="s">
        <v>7687</v>
      </c>
      <c r="D2492" s="41">
        <v>1143</v>
      </c>
      <c r="E2492" s="41" t="s">
        <v>1035</v>
      </c>
      <c r="F2492" s="41" t="s">
        <v>53</v>
      </c>
      <c r="G2492" s="41" t="s">
        <v>307</v>
      </c>
      <c r="I2492" s="41" t="s">
        <v>392</v>
      </c>
      <c r="J2492" s="41" t="s">
        <v>295</v>
      </c>
      <c r="K2492" s="42"/>
      <c r="L2492" s="41" t="s">
        <v>574</v>
      </c>
      <c r="M2492" s="41">
        <v>220</v>
      </c>
      <c r="N2492" s="41" t="s">
        <v>220</v>
      </c>
      <c r="O2492" s="41" t="s">
        <v>7688</v>
      </c>
      <c r="P2492" s="41" t="s">
        <v>179</v>
      </c>
      <c r="Q2492" s="41" t="s">
        <v>524</v>
      </c>
      <c r="R2492" s="41" t="s">
        <v>62</v>
      </c>
      <c r="S2492" s="41" t="s">
        <v>7689</v>
      </c>
      <c r="T2492" s="41" t="s">
        <v>40</v>
      </c>
      <c r="U2492" s="41" t="s">
        <v>40</v>
      </c>
    </row>
    <row r="2493" spans="1:21">
      <c r="A2493" s="41">
        <v>76</v>
      </c>
      <c r="B2493" s="41" t="s">
        <v>7690</v>
      </c>
      <c r="D2493" s="41">
        <v>1205</v>
      </c>
      <c r="E2493" s="41" t="s">
        <v>7691</v>
      </c>
      <c r="F2493" s="41" t="s">
        <v>53</v>
      </c>
      <c r="G2493" s="41" t="s">
        <v>64</v>
      </c>
      <c r="I2493" s="41" t="s">
        <v>1480</v>
      </c>
      <c r="J2493" s="41" t="s">
        <v>295</v>
      </c>
      <c r="K2493" s="42"/>
      <c r="L2493" s="41" t="s">
        <v>5069</v>
      </c>
      <c r="M2493" s="41">
        <v>110</v>
      </c>
      <c r="N2493" s="41" t="s">
        <v>59</v>
      </c>
      <c r="O2493" s="41" t="s">
        <v>1454</v>
      </c>
      <c r="P2493" s="41" t="s">
        <v>179</v>
      </c>
      <c r="Q2493" s="41" t="s">
        <v>524</v>
      </c>
      <c r="R2493" s="41" t="s">
        <v>132</v>
      </c>
      <c r="S2493" s="41" t="s">
        <v>40</v>
      </c>
      <c r="T2493" s="41" t="s">
        <v>40</v>
      </c>
      <c r="U2493" s="41" t="s">
        <v>40</v>
      </c>
    </row>
    <row r="2494" spans="1:21">
      <c r="A2494" s="41">
        <v>202</v>
      </c>
      <c r="B2494" s="41" t="s">
        <v>7692</v>
      </c>
      <c r="D2494" s="41">
        <v>1101</v>
      </c>
      <c r="E2494" s="41" t="s">
        <v>6378</v>
      </c>
      <c r="F2494" s="41" t="s">
        <v>28</v>
      </c>
      <c r="G2494" s="41" t="s">
        <v>307</v>
      </c>
      <c r="I2494" s="41" t="s">
        <v>6978</v>
      </c>
      <c r="J2494" s="41" t="s">
        <v>295</v>
      </c>
      <c r="K2494" s="42"/>
      <c r="L2494" s="41" t="s">
        <v>3544</v>
      </c>
      <c r="M2494" s="41">
        <v>220</v>
      </c>
      <c r="N2494" s="41" t="s">
        <v>488</v>
      </c>
      <c r="O2494" s="41" t="s">
        <v>488</v>
      </c>
      <c r="P2494" s="41" t="s">
        <v>98</v>
      </c>
      <c r="Q2494" s="41" t="s">
        <v>7693</v>
      </c>
      <c r="R2494" s="41" t="s">
        <v>39</v>
      </c>
      <c r="S2494" s="41" t="s">
        <v>40</v>
      </c>
      <c r="T2494" s="41" t="s">
        <v>40</v>
      </c>
      <c r="U2494" s="41" t="s">
        <v>40</v>
      </c>
    </row>
    <row r="2495" spans="1:21">
      <c r="A2495" s="41">
        <v>75</v>
      </c>
      <c r="B2495" s="41" t="s">
        <v>7694</v>
      </c>
      <c r="D2495" s="41">
        <v>1211</v>
      </c>
      <c r="E2495" s="41" t="s">
        <v>1771</v>
      </c>
      <c r="F2495" s="41" t="s">
        <v>53</v>
      </c>
      <c r="G2495" s="41" t="s">
        <v>141</v>
      </c>
      <c r="I2495" s="41" t="s">
        <v>7695</v>
      </c>
      <c r="J2495" s="41" t="s">
        <v>380</v>
      </c>
      <c r="K2495" s="42"/>
      <c r="L2495" s="41" t="s">
        <v>103</v>
      </c>
      <c r="M2495" s="41">
        <v>220</v>
      </c>
      <c r="N2495" s="41" t="s">
        <v>2395</v>
      </c>
      <c r="O2495" s="41" t="s">
        <v>77</v>
      </c>
      <c r="P2495" s="41" t="s">
        <v>98</v>
      </c>
      <c r="Q2495" s="41" t="s">
        <v>99</v>
      </c>
      <c r="R2495" s="41" t="s">
        <v>62</v>
      </c>
      <c r="S2495" s="41" t="s">
        <v>7696</v>
      </c>
      <c r="T2495" s="41" t="s">
        <v>604</v>
      </c>
      <c r="U2495" s="41" t="s">
        <v>2169</v>
      </c>
    </row>
    <row r="2496" spans="1:21">
      <c r="A2496" s="41">
        <v>266</v>
      </c>
      <c r="B2496" s="41" t="s">
        <v>605</v>
      </c>
      <c r="D2496" s="41">
        <v>1070</v>
      </c>
      <c r="E2496" s="41" t="s">
        <v>27</v>
      </c>
      <c r="F2496" s="41" t="s">
        <v>53</v>
      </c>
      <c r="G2496" s="41" t="s">
        <v>64</v>
      </c>
      <c r="I2496" s="41" t="s">
        <v>45</v>
      </c>
      <c r="J2496" s="41" t="s">
        <v>295</v>
      </c>
      <c r="K2496" s="42"/>
      <c r="L2496" s="41" t="s">
        <v>607</v>
      </c>
      <c r="M2496" s="41">
        <v>154</v>
      </c>
      <c r="N2496" s="41" t="s">
        <v>488</v>
      </c>
      <c r="O2496" s="41" t="s">
        <v>488</v>
      </c>
      <c r="P2496" s="41" t="s">
        <v>60</v>
      </c>
      <c r="Q2496" s="41" t="s">
        <v>608</v>
      </c>
      <c r="R2496" s="41" t="s">
        <v>132</v>
      </c>
      <c r="S2496" s="41" t="s">
        <v>40</v>
      </c>
      <c r="T2496" s="41" t="s">
        <v>40</v>
      </c>
      <c r="U2496" s="41" t="s">
        <v>40</v>
      </c>
    </row>
    <row r="2497" spans="1:21">
      <c r="A2497" s="41">
        <v>201</v>
      </c>
      <c r="B2497" s="41" t="s">
        <v>7697</v>
      </c>
      <c r="D2497" s="41">
        <v>1063</v>
      </c>
      <c r="E2497" s="41" t="s">
        <v>7698</v>
      </c>
      <c r="F2497" s="41" t="s">
        <v>28</v>
      </c>
      <c r="G2497" s="41" t="s">
        <v>43</v>
      </c>
      <c r="I2497" s="41" t="s">
        <v>7699</v>
      </c>
      <c r="J2497" s="41" t="s">
        <v>295</v>
      </c>
      <c r="K2497" s="42"/>
      <c r="L2497" s="41" t="s">
        <v>7700</v>
      </c>
      <c r="M2497" s="41">
        <v>220</v>
      </c>
      <c r="N2497" s="41" t="s">
        <v>488</v>
      </c>
      <c r="O2497" s="41" t="s">
        <v>488</v>
      </c>
      <c r="P2497" s="41" t="s">
        <v>179</v>
      </c>
      <c r="Q2497" s="41" t="s">
        <v>592</v>
      </c>
      <c r="R2497" s="41" t="s">
        <v>39</v>
      </c>
      <c r="S2497" s="41" t="s">
        <v>40</v>
      </c>
      <c r="T2497" s="41" t="s">
        <v>40</v>
      </c>
      <c r="U2497" s="41" t="s">
        <v>40</v>
      </c>
    </row>
    <row r="2498" spans="1:21">
      <c r="A2498" s="41">
        <v>363</v>
      </c>
      <c r="B2498" s="41" t="s">
        <v>7701</v>
      </c>
      <c r="D2498" s="41">
        <v>1063</v>
      </c>
      <c r="E2498" s="41" t="s">
        <v>7698</v>
      </c>
      <c r="F2498" s="41" t="s">
        <v>28</v>
      </c>
      <c r="G2498" s="41" t="s">
        <v>43</v>
      </c>
      <c r="I2498" s="41" t="s">
        <v>7699</v>
      </c>
      <c r="J2498" s="41" t="s">
        <v>295</v>
      </c>
      <c r="K2498" s="42"/>
      <c r="L2498" s="41" t="s">
        <v>7702</v>
      </c>
      <c r="M2498" s="41">
        <v>220</v>
      </c>
      <c r="N2498" s="41" t="s">
        <v>488</v>
      </c>
      <c r="O2498" s="41" t="s">
        <v>488</v>
      </c>
      <c r="P2498" s="41" t="s">
        <v>179</v>
      </c>
      <c r="Q2498" s="41" t="s">
        <v>592</v>
      </c>
      <c r="R2498" s="41" t="s">
        <v>39</v>
      </c>
      <c r="S2498" s="41" t="s">
        <v>40</v>
      </c>
      <c r="T2498" s="41" t="s">
        <v>40</v>
      </c>
      <c r="U2498" s="41" t="s">
        <v>40</v>
      </c>
    </row>
    <row r="2499" spans="1:21">
      <c r="A2499" s="41">
        <v>300</v>
      </c>
      <c r="B2499" s="41" t="s">
        <v>7703</v>
      </c>
      <c r="D2499" s="41">
        <v>1690</v>
      </c>
      <c r="E2499" s="41" t="s">
        <v>1076</v>
      </c>
      <c r="F2499" s="41" t="s">
        <v>53</v>
      </c>
      <c r="G2499" s="41" t="s">
        <v>43</v>
      </c>
      <c r="I2499" s="41" t="s">
        <v>45</v>
      </c>
      <c r="J2499" s="41" t="s">
        <v>32</v>
      </c>
      <c r="K2499" s="42"/>
      <c r="L2499" s="41" t="s">
        <v>4239</v>
      </c>
      <c r="M2499" s="41">
        <v>220</v>
      </c>
      <c r="N2499" s="41" t="s">
        <v>7704</v>
      </c>
      <c r="O2499" s="41" t="s">
        <v>1615</v>
      </c>
      <c r="P2499" s="41" t="s">
        <v>60</v>
      </c>
      <c r="Q2499" s="41" t="s">
        <v>2759</v>
      </c>
      <c r="R2499" s="41" t="s">
        <v>62</v>
      </c>
      <c r="S2499" s="41" t="s">
        <v>7705</v>
      </c>
      <c r="T2499" s="41" t="s">
        <v>753</v>
      </c>
      <c r="U2499" s="41" t="s">
        <v>40</v>
      </c>
    </row>
    <row r="2500" spans="1:21">
      <c r="A2500" s="41">
        <v>301</v>
      </c>
      <c r="B2500" s="41" t="s">
        <v>7706</v>
      </c>
      <c r="D2500" s="41">
        <v>1693</v>
      </c>
      <c r="E2500" s="41" t="s">
        <v>7707</v>
      </c>
      <c r="F2500" s="41" t="s">
        <v>53</v>
      </c>
      <c r="G2500" s="41" t="s">
        <v>141</v>
      </c>
      <c r="I2500" s="41" t="s">
        <v>464</v>
      </c>
      <c r="J2500" s="41" t="s">
        <v>295</v>
      </c>
      <c r="K2500" s="42"/>
      <c r="L2500" s="41" t="s">
        <v>5828</v>
      </c>
      <c r="M2500" s="41">
        <v>110</v>
      </c>
      <c r="N2500" s="41" t="s">
        <v>7708</v>
      </c>
      <c r="O2500" s="41" t="s">
        <v>178</v>
      </c>
      <c r="P2500" s="41" t="s">
        <v>78</v>
      </c>
      <c r="Q2500" s="41" t="s">
        <v>1139</v>
      </c>
      <c r="R2500" s="41" t="s">
        <v>132</v>
      </c>
      <c r="S2500" s="41" t="s">
        <v>7709</v>
      </c>
      <c r="T2500" s="41" t="s">
        <v>4545</v>
      </c>
      <c r="U2500" s="41" t="s">
        <v>1796</v>
      </c>
    </row>
    <row r="2501" spans="1:21">
      <c r="A2501" s="41">
        <v>302</v>
      </c>
      <c r="B2501" s="41" t="s">
        <v>7710</v>
      </c>
      <c r="D2501" s="41">
        <v>1696</v>
      </c>
      <c r="E2501" s="41" t="s">
        <v>1076</v>
      </c>
      <c r="F2501" s="41" t="s">
        <v>53</v>
      </c>
      <c r="G2501" s="41" t="s">
        <v>64</v>
      </c>
      <c r="I2501" s="41" t="s">
        <v>3645</v>
      </c>
      <c r="J2501" s="41" t="s">
        <v>295</v>
      </c>
      <c r="K2501" s="42"/>
      <c r="L2501" s="41" t="s">
        <v>7150</v>
      </c>
      <c r="M2501" s="41">
        <v>154</v>
      </c>
      <c r="N2501" s="41" t="s">
        <v>6916</v>
      </c>
      <c r="O2501" s="41" t="s">
        <v>7711</v>
      </c>
      <c r="P2501" s="41" t="s">
        <v>172</v>
      </c>
      <c r="Q2501" s="41" t="s">
        <v>221</v>
      </c>
      <c r="R2501" s="41" t="s">
        <v>132</v>
      </c>
      <c r="S2501" s="41" t="s">
        <v>40</v>
      </c>
      <c r="T2501" s="41" t="s">
        <v>40</v>
      </c>
      <c r="U2501" s="41" t="s">
        <v>40</v>
      </c>
    </row>
    <row r="2502" spans="1:21">
      <c r="A2502" s="41">
        <v>288</v>
      </c>
      <c r="B2502" s="41" t="s">
        <v>7712</v>
      </c>
      <c r="D2502" s="41">
        <v>1515</v>
      </c>
      <c r="E2502" s="41" t="s">
        <v>7417</v>
      </c>
      <c r="F2502" s="41" t="s">
        <v>53</v>
      </c>
      <c r="G2502" s="41" t="s">
        <v>64</v>
      </c>
      <c r="I2502" s="41" t="s">
        <v>1024</v>
      </c>
      <c r="J2502" s="41" t="s">
        <v>295</v>
      </c>
      <c r="K2502" s="42"/>
      <c r="L2502" s="41" t="s">
        <v>3597</v>
      </c>
      <c r="M2502" s="41">
        <v>220</v>
      </c>
      <c r="N2502" s="41" t="s">
        <v>7418</v>
      </c>
      <c r="O2502" s="41" t="s">
        <v>7713</v>
      </c>
      <c r="P2502" s="41" t="s">
        <v>98</v>
      </c>
      <c r="Q2502" s="41" t="s">
        <v>116</v>
      </c>
      <c r="R2502" s="41" t="s">
        <v>62</v>
      </c>
      <c r="S2502" s="41" t="s">
        <v>40</v>
      </c>
      <c r="T2502" s="41" t="s">
        <v>40</v>
      </c>
      <c r="U2502" s="41" t="s">
        <v>40</v>
      </c>
    </row>
    <row r="2503" spans="1:21">
      <c r="A2503" s="41">
        <v>110</v>
      </c>
      <c r="B2503" s="41" t="s">
        <v>7714</v>
      </c>
      <c r="D2503" s="41">
        <v>1440</v>
      </c>
      <c r="E2503" s="41" t="s">
        <v>7715</v>
      </c>
      <c r="F2503" s="41" t="s">
        <v>53</v>
      </c>
      <c r="G2503" s="41" t="s">
        <v>64</v>
      </c>
      <c r="I2503" s="41" t="s">
        <v>521</v>
      </c>
      <c r="J2503" s="41" t="s">
        <v>295</v>
      </c>
      <c r="K2503" s="42"/>
      <c r="L2503" s="41" t="s">
        <v>5184</v>
      </c>
      <c r="M2503" s="41">
        <v>12</v>
      </c>
      <c r="N2503" s="41" t="s">
        <v>7716</v>
      </c>
      <c r="O2503" s="41" t="s">
        <v>488</v>
      </c>
      <c r="P2503" s="41" t="s">
        <v>68</v>
      </c>
      <c r="Q2503" s="41" t="s">
        <v>1156</v>
      </c>
      <c r="R2503" s="41" t="s">
        <v>132</v>
      </c>
      <c r="S2503" s="41" t="s">
        <v>40</v>
      </c>
      <c r="T2503" s="41" t="s">
        <v>40</v>
      </c>
      <c r="U2503" s="41" t="s">
        <v>40</v>
      </c>
    </row>
    <row r="2504" spans="1:21">
      <c r="A2504" s="41">
        <v>207</v>
      </c>
      <c r="B2504" s="41" t="s">
        <v>7717</v>
      </c>
      <c r="D2504" s="41">
        <v>1295</v>
      </c>
      <c r="E2504" s="41" t="s">
        <v>7718</v>
      </c>
      <c r="F2504" s="41" t="s">
        <v>28</v>
      </c>
      <c r="G2504" s="41" t="s">
        <v>307</v>
      </c>
      <c r="I2504" s="41" t="s">
        <v>521</v>
      </c>
      <c r="J2504" s="41" t="s">
        <v>295</v>
      </c>
      <c r="K2504" s="42"/>
      <c r="L2504" s="41" t="s">
        <v>7719</v>
      </c>
      <c r="M2504" s="41">
        <v>220</v>
      </c>
      <c r="N2504" s="41" t="s">
        <v>488</v>
      </c>
      <c r="O2504" s="41" t="s">
        <v>488</v>
      </c>
      <c r="P2504" s="41" t="s">
        <v>98</v>
      </c>
      <c r="Q2504" s="41" t="s">
        <v>569</v>
      </c>
      <c r="R2504" s="41" t="s">
        <v>39</v>
      </c>
      <c r="S2504" s="41" t="s">
        <v>40</v>
      </c>
      <c r="T2504" s="41" t="s">
        <v>40</v>
      </c>
      <c r="U2504" s="41" t="s">
        <v>40</v>
      </c>
    </row>
    <row r="2505" spans="1:21">
      <c r="A2505" s="41">
        <v>74</v>
      </c>
      <c r="B2505" s="41" t="s">
        <v>7720</v>
      </c>
      <c r="D2505" s="41">
        <v>1055</v>
      </c>
      <c r="E2505" s="41" t="s">
        <v>7721</v>
      </c>
      <c r="F2505" s="41" t="s">
        <v>53</v>
      </c>
      <c r="G2505" s="41" t="s">
        <v>141</v>
      </c>
      <c r="I2505" s="41" t="s">
        <v>7722</v>
      </c>
      <c r="J2505" s="41" t="s">
        <v>295</v>
      </c>
      <c r="K2505" s="42"/>
      <c r="L2505" s="41" t="s">
        <v>574</v>
      </c>
      <c r="M2505" s="41">
        <v>220</v>
      </c>
      <c r="N2505" s="41" t="s">
        <v>4131</v>
      </c>
      <c r="O2505" s="41" t="s">
        <v>7723</v>
      </c>
      <c r="P2505" s="41" t="s">
        <v>179</v>
      </c>
      <c r="Q2505" s="41" t="s">
        <v>557</v>
      </c>
      <c r="R2505" s="41" t="s">
        <v>62</v>
      </c>
      <c r="S2505" s="41" t="s">
        <v>6073</v>
      </c>
      <c r="T2505" s="41" t="s">
        <v>604</v>
      </c>
      <c r="U2505" s="41" t="s">
        <v>2169</v>
      </c>
    </row>
    <row r="2506" spans="1:21">
      <c r="A2506" s="41">
        <v>72</v>
      </c>
      <c r="B2506" s="41" t="s">
        <v>7724</v>
      </c>
      <c r="D2506" s="41">
        <v>1042</v>
      </c>
      <c r="E2506" s="41" t="s">
        <v>4187</v>
      </c>
      <c r="F2506" s="41" t="s">
        <v>53</v>
      </c>
      <c r="G2506" s="41" t="s">
        <v>307</v>
      </c>
      <c r="I2506" s="41" t="s">
        <v>45</v>
      </c>
      <c r="J2506" s="41" t="s">
        <v>295</v>
      </c>
      <c r="K2506" s="42"/>
      <c r="L2506" s="41" t="s">
        <v>7624</v>
      </c>
      <c r="M2506" s="41">
        <v>220</v>
      </c>
      <c r="N2506" s="41" t="s">
        <v>395</v>
      </c>
      <c r="O2506" s="41" t="s">
        <v>7725</v>
      </c>
      <c r="P2506" s="41" t="s">
        <v>98</v>
      </c>
      <c r="Q2506" s="41" t="s">
        <v>116</v>
      </c>
      <c r="R2506" s="41" t="s">
        <v>62</v>
      </c>
      <c r="S2506" s="41" t="s">
        <v>7726</v>
      </c>
      <c r="T2506" s="41" t="s">
        <v>40</v>
      </c>
      <c r="U2506" s="41" t="s">
        <v>40</v>
      </c>
    </row>
    <row r="2507" spans="1:21">
      <c r="A2507" s="41">
        <v>200</v>
      </c>
      <c r="B2507" s="41" t="s">
        <v>7727</v>
      </c>
      <c r="D2507" s="41">
        <v>1038</v>
      </c>
      <c r="E2507" s="41" t="s">
        <v>7728</v>
      </c>
      <c r="F2507" s="41" t="s">
        <v>28</v>
      </c>
      <c r="G2507" s="41" t="s">
        <v>307</v>
      </c>
      <c r="I2507" s="41" t="s">
        <v>475</v>
      </c>
      <c r="J2507" s="41" t="s">
        <v>1906</v>
      </c>
      <c r="K2507" s="42"/>
      <c r="L2507" s="41" t="s">
        <v>7729</v>
      </c>
      <c r="M2507" s="41">
        <v>220</v>
      </c>
      <c r="N2507" s="41" t="s">
        <v>488</v>
      </c>
      <c r="O2507" s="41" t="s">
        <v>488</v>
      </c>
      <c r="P2507" s="41" t="s">
        <v>37</v>
      </c>
      <c r="Q2507" s="41" t="s">
        <v>1960</v>
      </c>
      <c r="R2507" s="41" t="s">
        <v>39</v>
      </c>
      <c r="S2507" s="41" t="s">
        <v>40</v>
      </c>
      <c r="T2507" s="41" t="s">
        <v>40</v>
      </c>
      <c r="U2507" s="41" t="s">
        <v>40</v>
      </c>
    </row>
    <row r="2508" spans="1:21">
      <c r="A2508" s="41">
        <v>35</v>
      </c>
      <c r="B2508" s="41" t="s">
        <v>7730</v>
      </c>
      <c r="D2508" s="41">
        <v>1439</v>
      </c>
      <c r="E2508" s="41" t="s">
        <v>7731</v>
      </c>
      <c r="F2508" s="41" t="s">
        <v>28</v>
      </c>
      <c r="G2508" s="41" t="s">
        <v>64</v>
      </c>
      <c r="I2508" s="41" t="s">
        <v>7732</v>
      </c>
      <c r="J2508" s="41" t="s">
        <v>295</v>
      </c>
      <c r="K2508" s="42"/>
      <c r="L2508" s="41" t="s">
        <v>7733</v>
      </c>
      <c r="M2508" s="41">
        <v>220</v>
      </c>
      <c r="N2508" s="41" t="s">
        <v>488</v>
      </c>
      <c r="O2508" s="41" t="s">
        <v>488</v>
      </c>
      <c r="P2508" s="41" t="s">
        <v>179</v>
      </c>
      <c r="Q2508" s="41" t="s">
        <v>284</v>
      </c>
      <c r="R2508" s="41" t="s">
        <v>39</v>
      </c>
      <c r="S2508" s="41" t="s">
        <v>40</v>
      </c>
      <c r="T2508" s="41" t="s">
        <v>40</v>
      </c>
      <c r="U2508" s="41" t="s">
        <v>40</v>
      </c>
    </row>
    <row r="2509" spans="1:21">
      <c r="A2509" s="41">
        <v>142</v>
      </c>
      <c r="B2509" s="41" t="s">
        <v>7734</v>
      </c>
      <c r="D2509" s="41">
        <v>1380</v>
      </c>
      <c r="E2509" s="41" t="s">
        <v>7735</v>
      </c>
      <c r="F2509" s="41" t="s">
        <v>28</v>
      </c>
      <c r="G2509" s="41" t="s">
        <v>64</v>
      </c>
      <c r="I2509" s="41" t="s">
        <v>7736</v>
      </c>
      <c r="J2509" s="41" t="s">
        <v>295</v>
      </c>
      <c r="K2509" s="42"/>
      <c r="L2509" s="41" t="s">
        <v>7737</v>
      </c>
      <c r="M2509" s="41">
        <v>110</v>
      </c>
      <c r="N2509" s="41" t="s">
        <v>488</v>
      </c>
      <c r="O2509" s="41" t="s">
        <v>488</v>
      </c>
      <c r="P2509" s="41" t="s">
        <v>68</v>
      </c>
      <c r="Q2509" s="41" t="s">
        <v>69</v>
      </c>
      <c r="R2509" s="41" t="s">
        <v>39</v>
      </c>
      <c r="S2509" s="41" t="s">
        <v>40</v>
      </c>
      <c r="T2509" s="41" t="s">
        <v>40</v>
      </c>
      <c r="U2509" s="41" t="s">
        <v>40</v>
      </c>
    </row>
    <row r="2510" spans="1:21">
      <c r="A2510" s="41">
        <v>336</v>
      </c>
      <c r="B2510" s="41" t="s">
        <v>7738</v>
      </c>
      <c r="D2510" s="41">
        <v>1231</v>
      </c>
      <c r="E2510" s="41" t="s">
        <v>7739</v>
      </c>
      <c r="F2510" s="41" t="s">
        <v>53</v>
      </c>
      <c r="G2510" s="41" t="s">
        <v>64</v>
      </c>
      <c r="I2510" s="41" t="s">
        <v>7740</v>
      </c>
      <c r="J2510" s="41" t="s">
        <v>32</v>
      </c>
      <c r="K2510" s="42"/>
      <c r="L2510" s="41" t="s">
        <v>4456</v>
      </c>
      <c r="M2510" s="41">
        <v>220</v>
      </c>
      <c r="N2510" s="41" t="s">
        <v>7741</v>
      </c>
      <c r="O2510" s="41" t="s">
        <v>7742</v>
      </c>
      <c r="P2510" s="41" t="s">
        <v>50</v>
      </c>
      <c r="Q2510" s="41" t="s">
        <v>51</v>
      </c>
      <c r="R2510" s="41" t="s">
        <v>62</v>
      </c>
      <c r="S2510" s="41" t="s">
        <v>40</v>
      </c>
      <c r="T2510" s="41" t="s">
        <v>40</v>
      </c>
      <c r="U2510" s="41" t="s">
        <v>40</v>
      </c>
    </row>
    <row r="2511" spans="1:21">
      <c r="A2511" s="41">
        <v>199</v>
      </c>
      <c r="B2511" s="41" t="s">
        <v>7743</v>
      </c>
      <c r="D2511" s="41">
        <v>1016</v>
      </c>
      <c r="E2511" s="41" t="s">
        <v>7744</v>
      </c>
      <c r="F2511" s="41" t="s">
        <v>28</v>
      </c>
      <c r="G2511" s="41" t="s">
        <v>301</v>
      </c>
      <c r="I2511" s="41" t="s">
        <v>7745</v>
      </c>
      <c r="J2511" s="41" t="s">
        <v>295</v>
      </c>
      <c r="K2511" s="42"/>
      <c r="L2511" s="41" t="s">
        <v>2522</v>
      </c>
      <c r="M2511" s="41">
        <v>23</v>
      </c>
      <c r="N2511" s="41" t="s">
        <v>488</v>
      </c>
      <c r="O2511" s="41" t="s">
        <v>488</v>
      </c>
      <c r="P2511" s="41" t="s">
        <v>98</v>
      </c>
      <c r="Q2511" s="41" t="s">
        <v>98</v>
      </c>
      <c r="R2511" s="41" t="s">
        <v>39</v>
      </c>
      <c r="S2511" s="41" t="s">
        <v>40</v>
      </c>
      <c r="T2511" s="41" t="s">
        <v>7746</v>
      </c>
      <c r="U2511" s="41" t="s">
        <v>40</v>
      </c>
    </row>
    <row r="2512" spans="1:21">
      <c r="A2512" s="41">
        <v>961</v>
      </c>
      <c r="B2512" s="41" t="s">
        <v>7747</v>
      </c>
      <c r="D2512" s="41">
        <v>2712</v>
      </c>
      <c r="E2512" s="41" t="s">
        <v>2356</v>
      </c>
      <c r="F2512" s="41" t="s">
        <v>53</v>
      </c>
      <c r="G2512" s="41" t="s">
        <v>64</v>
      </c>
      <c r="I2512" s="41" t="s">
        <v>2915</v>
      </c>
      <c r="J2512" s="41" t="s">
        <v>380</v>
      </c>
      <c r="K2512" s="42"/>
      <c r="L2512" s="41" t="s">
        <v>2906</v>
      </c>
      <c r="M2512" s="41">
        <v>220</v>
      </c>
      <c r="N2512" s="41" t="s">
        <v>1293</v>
      </c>
      <c r="O2512" s="41" t="s">
        <v>271</v>
      </c>
      <c r="P2512" s="41" t="s">
        <v>83</v>
      </c>
      <c r="Q2512" s="41" t="s">
        <v>2908</v>
      </c>
      <c r="R2512" s="41" t="s">
        <v>62</v>
      </c>
      <c r="S2512" s="41" t="s">
        <v>40</v>
      </c>
      <c r="T2512" s="41" t="s">
        <v>40</v>
      </c>
      <c r="U2512" s="41" t="s">
        <v>40</v>
      </c>
    </row>
    <row r="2513" spans="1:21">
      <c r="A2513" s="41">
        <v>222</v>
      </c>
      <c r="B2513" s="41" t="s">
        <v>609</v>
      </c>
      <c r="D2513" s="41">
        <v>1685</v>
      </c>
      <c r="E2513" s="41" t="s">
        <v>27</v>
      </c>
      <c r="F2513" s="41" t="s">
        <v>28</v>
      </c>
      <c r="G2513" s="41" t="s">
        <v>64</v>
      </c>
      <c r="I2513" s="41" t="s">
        <v>194</v>
      </c>
      <c r="J2513" s="41" t="s">
        <v>295</v>
      </c>
      <c r="K2513" s="42"/>
      <c r="L2513" s="41" t="s">
        <v>611</v>
      </c>
      <c r="M2513" s="41">
        <v>132</v>
      </c>
      <c r="N2513" s="41" t="s">
        <v>488</v>
      </c>
      <c r="O2513" s="41" t="s">
        <v>488</v>
      </c>
      <c r="P2513" s="41" t="s">
        <v>98</v>
      </c>
      <c r="Q2513" s="41" t="s">
        <v>98</v>
      </c>
      <c r="R2513" s="41" t="s">
        <v>39</v>
      </c>
      <c r="S2513" s="41" t="s">
        <v>40</v>
      </c>
      <c r="T2513" s="41" t="s">
        <v>40</v>
      </c>
      <c r="U2513" s="41" t="s">
        <v>40</v>
      </c>
    </row>
    <row r="2514" spans="1:21">
      <c r="A2514" s="41">
        <v>36</v>
      </c>
      <c r="B2514" s="41" t="s">
        <v>7748</v>
      </c>
      <c r="D2514" s="41">
        <v>1507</v>
      </c>
      <c r="E2514" s="41" t="s">
        <v>7749</v>
      </c>
      <c r="F2514" s="41" t="s">
        <v>28</v>
      </c>
      <c r="G2514" s="41" t="s">
        <v>307</v>
      </c>
      <c r="I2514" s="41" t="s">
        <v>194</v>
      </c>
      <c r="J2514" s="41" t="s">
        <v>295</v>
      </c>
      <c r="K2514" s="42"/>
      <c r="L2514" s="41" t="s">
        <v>7750</v>
      </c>
      <c r="M2514" s="41">
        <v>23</v>
      </c>
      <c r="N2514" s="41" t="s">
        <v>488</v>
      </c>
      <c r="O2514" s="41" t="s">
        <v>488</v>
      </c>
      <c r="P2514" s="41" t="s">
        <v>153</v>
      </c>
      <c r="Q2514" s="41" t="s">
        <v>1567</v>
      </c>
      <c r="R2514" s="41" t="s">
        <v>39</v>
      </c>
      <c r="S2514" s="41" t="s">
        <v>40</v>
      </c>
      <c r="T2514" s="41" t="s">
        <v>40</v>
      </c>
      <c r="U2514" s="41" t="s">
        <v>40</v>
      </c>
    </row>
    <row r="2515" spans="1:21">
      <c r="A2515" s="41">
        <v>278</v>
      </c>
      <c r="B2515" s="41" t="s">
        <v>6498</v>
      </c>
      <c r="D2515" s="41">
        <v>1377</v>
      </c>
      <c r="E2515" s="41" t="s">
        <v>7751</v>
      </c>
      <c r="F2515" s="41" t="s">
        <v>53</v>
      </c>
      <c r="G2515" s="41" t="s">
        <v>64</v>
      </c>
      <c r="I2515" s="41" t="s">
        <v>2572</v>
      </c>
      <c r="J2515" s="41" t="s">
        <v>380</v>
      </c>
      <c r="K2515" s="42"/>
      <c r="L2515" s="41" t="s">
        <v>103</v>
      </c>
      <c r="M2515" s="41">
        <v>220</v>
      </c>
      <c r="N2515" s="41" t="s">
        <v>77</v>
      </c>
      <c r="O2515" s="41" t="s">
        <v>77</v>
      </c>
      <c r="P2515" s="41" t="s">
        <v>98</v>
      </c>
      <c r="Q2515" s="41" t="s">
        <v>99</v>
      </c>
      <c r="R2515" s="41" t="s">
        <v>62</v>
      </c>
      <c r="S2515" s="41" t="s">
        <v>40</v>
      </c>
      <c r="T2515" s="41" t="s">
        <v>40</v>
      </c>
      <c r="U2515" s="41" t="s">
        <v>40</v>
      </c>
    </row>
    <row r="2516" spans="1:21">
      <c r="A2516" s="41">
        <v>280</v>
      </c>
      <c r="B2516" s="41" t="s">
        <v>7752</v>
      </c>
      <c r="D2516" s="41">
        <v>1382</v>
      </c>
      <c r="E2516" s="41" t="s">
        <v>6313</v>
      </c>
      <c r="F2516" s="41" t="s">
        <v>53</v>
      </c>
      <c r="G2516" s="41" t="s">
        <v>64</v>
      </c>
      <c r="I2516" s="41" t="s">
        <v>392</v>
      </c>
      <c r="J2516" s="41" t="s">
        <v>295</v>
      </c>
      <c r="K2516" s="42"/>
      <c r="L2516" s="41" t="s">
        <v>103</v>
      </c>
      <c r="M2516" s="41">
        <v>220</v>
      </c>
      <c r="N2516" s="41" t="s">
        <v>77</v>
      </c>
      <c r="O2516" s="41" t="s">
        <v>77</v>
      </c>
      <c r="P2516" s="41" t="s">
        <v>98</v>
      </c>
      <c r="Q2516" s="41" t="s">
        <v>99</v>
      </c>
      <c r="R2516" s="41" t="s">
        <v>62</v>
      </c>
      <c r="S2516" s="41" t="s">
        <v>40</v>
      </c>
      <c r="T2516" s="41" t="s">
        <v>40</v>
      </c>
      <c r="U2516" s="41" t="s">
        <v>40</v>
      </c>
    </row>
    <row r="2517" spans="1:21">
      <c r="A2517" s="41">
        <v>337</v>
      </c>
      <c r="B2517" s="41" t="s">
        <v>7753</v>
      </c>
      <c r="D2517" s="41">
        <v>1105</v>
      </c>
      <c r="E2517" s="41" t="s">
        <v>7754</v>
      </c>
      <c r="F2517" s="41" t="s">
        <v>53</v>
      </c>
      <c r="G2517" s="41" t="s">
        <v>307</v>
      </c>
      <c r="I2517" s="41" t="s">
        <v>1425</v>
      </c>
      <c r="J2517" s="41" t="s">
        <v>7297</v>
      </c>
      <c r="K2517" s="42"/>
      <c r="L2517" s="41" t="s">
        <v>7145</v>
      </c>
      <c r="M2517" s="41">
        <v>220</v>
      </c>
      <c r="N2517" s="41" t="s">
        <v>7755</v>
      </c>
      <c r="O2517" s="41" t="s">
        <v>7756</v>
      </c>
      <c r="P2517" s="41" t="s">
        <v>172</v>
      </c>
      <c r="Q2517" s="41" t="s">
        <v>1104</v>
      </c>
      <c r="R2517" s="41" t="s">
        <v>62</v>
      </c>
      <c r="S2517" s="41" t="s">
        <v>7757</v>
      </c>
      <c r="T2517" s="41" t="s">
        <v>7758</v>
      </c>
      <c r="U2517" s="41" t="s">
        <v>40</v>
      </c>
    </row>
    <row r="2518" spans="1:21">
      <c r="A2518" s="41">
        <v>208</v>
      </c>
      <c r="B2518" s="41" t="s">
        <v>7759</v>
      </c>
      <c r="D2518" s="41">
        <v>1327</v>
      </c>
      <c r="E2518" s="41" t="s">
        <v>7760</v>
      </c>
      <c r="F2518" s="41" t="s">
        <v>28</v>
      </c>
      <c r="G2518" s="41" t="s">
        <v>307</v>
      </c>
      <c r="I2518" s="41" t="s">
        <v>325</v>
      </c>
      <c r="J2518" s="41" t="s">
        <v>672</v>
      </c>
      <c r="K2518" s="42"/>
      <c r="L2518" s="41" t="s">
        <v>7761</v>
      </c>
      <c r="M2518" s="41">
        <v>220</v>
      </c>
      <c r="N2518" s="41" t="s">
        <v>488</v>
      </c>
      <c r="O2518" s="41" t="s">
        <v>488</v>
      </c>
      <c r="P2518" s="41" t="s">
        <v>179</v>
      </c>
      <c r="Q2518" s="41" t="s">
        <v>592</v>
      </c>
      <c r="R2518" s="41" t="s">
        <v>39</v>
      </c>
      <c r="S2518" s="41" t="s">
        <v>40</v>
      </c>
      <c r="T2518" s="41" t="s">
        <v>7746</v>
      </c>
      <c r="U2518" s="41" t="s">
        <v>7185</v>
      </c>
    </row>
    <row r="2519" spans="1:21">
      <c r="A2519" s="41">
        <v>79</v>
      </c>
      <c r="B2519" s="41" t="s">
        <v>7762</v>
      </c>
      <c r="D2519" s="41">
        <v>1210</v>
      </c>
      <c r="E2519" s="41" t="s">
        <v>6378</v>
      </c>
      <c r="F2519" s="41" t="s">
        <v>53</v>
      </c>
      <c r="G2519" s="41" t="s">
        <v>307</v>
      </c>
      <c r="I2519" s="41" t="s">
        <v>4863</v>
      </c>
      <c r="J2519" s="41" t="s">
        <v>295</v>
      </c>
      <c r="K2519" s="42"/>
      <c r="L2519" s="41" t="s">
        <v>7345</v>
      </c>
      <c r="M2519" s="41">
        <v>220</v>
      </c>
      <c r="N2519" s="41" t="s">
        <v>697</v>
      </c>
      <c r="O2519" s="41" t="s">
        <v>4316</v>
      </c>
      <c r="P2519" s="41" t="s">
        <v>98</v>
      </c>
      <c r="Q2519" s="41" t="s">
        <v>116</v>
      </c>
      <c r="R2519" s="41" t="s">
        <v>62</v>
      </c>
      <c r="S2519" s="41" t="s">
        <v>7763</v>
      </c>
      <c r="T2519" s="41" t="s">
        <v>40</v>
      </c>
      <c r="U2519" s="41" t="s">
        <v>40</v>
      </c>
    </row>
    <row r="2520" spans="1:21">
      <c r="A2520" s="41">
        <v>68</v>
      </c>
      <c r="B2520" s="41" t="s">
        <v>7764</v>
      </c>
      <c r="D2520" s="41">
        <v>1044</v>
      </c>
      <c r="E2520" s="41" t="s">
        <v>7765</v>
      </c>
      <c r="F2520" s="41" t="s">
        <v>53</v>
      </c>
      <c r="G2520" s="41" t="s">
        <v>43</v>
      </c>
      <c r="I2520" s="41" t="s">
        <v>194</v>
      </c>
      <c r="J2520" s="41" t="s">
        <v>295</v>
      </c>
      <c r="K2520" s="42"/>
      <c r="L2520" s="41" t="s">
        <v>6040</v>
      </c>
      <c r="M2520" s="41">
        <v>110</v>
      </c>
      <c r="N2520" s="41" t="s">
        <v>6041</v>
      </c>
      <c r="O2520" s="41" t="s">
        <v>178</v>
      </c>
      <c r="P2520" s="41" t="s">
        <v>153</v>
      </c>
      <c r="Q2520" s="41" t="s">
        <v>2397</v>
      </c>
      <c r="R2520" s="41" t="s">
        <v>132</v>
      </c>
      <c r="S2520" s="41" t="s">
        <v>40</v>
      </c>
      <c r="T2520" s="41" t="s">
        <v>40</v>
      </c>
      <c r="U2520" s="41" t="s">
        <v>40</v>
      </c>
    </row>
    <row r="2521" spans="1:21">
      <c r="A2521" s="41">
        <v>67</v>
      </c>
      <c r="B2521" s="41" t="s">
        <v>7766</v>
      </c>
      <c r="D2521" s="41">
        <v>1045</v>
      </c>
      <c r="E2521" s="41" t="s">
        <v>7767</v>
      </c>
      <c r="F2521" s="41" t="s">
        <v>53</v>
      </c>
      <c r="G2521" s="41" t="s">
        <v>307</v>
      </c>
      <c r="I2521" s="41" t="s">
        <v>406</v>
      </c>
      <c r="J2521" s="41" t="s">
        <v>295</v>
      </c>
      <c r="K2521" s="42"/>
      <c r="L2521" s="41" t="s">
        <v>1990</v>
      </c>
      <c r="M2521" s="41">
        <v>220</v>
      </c>
      <c r="N2521" s="41" t="s">
        <v>7533</v>
      </c>
      <c r="O2521" s="41" t="s">
        <v>7243</v>
      </c>
      <c r="P2521" s="41" t="s">
        <v>153</v>
      </c>
      <c r="Q2521" s="41" t="s">
        <v>1865</v>
      </c>
      <c r="R2521" s="41" t="s">
        <v>62</v>
      </c>
      <c r="S2521" s="41" t="s">
        <v>7768</v>
      </c>
      <c r="T2521" s="41" t="s">
        <v>693</v>
      </c>
      <c r="U2521" s="41" t="s">
        <v>198</v>
      </c>
    </row>
    <row r="2522" spans="1:21">
      <c r="A2522" s="41">
        <v>66</v>
      </c>
      <c r="B2522" s="41" t="s">
        <v>7769</v>
      </c>
      <c r="D2522" s="41">
        <v>281</v>
      </c>
      <c r="E2522" s="41" t="s">
        <v>7770</v>
      </c>
      <c r="F2522" s="41" t="s">
        <v>53</v>
      </c>
      <c r="G2522" s="41" t="s">
        <v>307</v>
      </c>
      <c r="I2522" s="41" t="s">
        <v>411</v>
      </c>
      <c r="J2522" s="41" t="s">
        <v>1652</v>
      </c>
      <c r="K2522" s="42"/>
      <c r="L2522" s="41" t="s">
        <v>7771</v>
      </c>
      <c r="M2522" s="41">
        <v>66</v>
      </c>
      <c r="N2522" s="41" t="s">
        <v>2432</v>
      </c>
      <c r="O2522" s="41" t="s">
        <v>7772</v>
      </c>
      <c r="P2522" s="41" t="s">
        <v>172</v>
      </c>
      <c r="Q2522" s="41" t="s">
        <v>197</v>
      </c>
      <c r="R2522" s="41" t="s">
        <v>132</v>
      </c>
      <c r="S2522" s="41" t="s">
        <v>7773</v>
      </c>
      <c r="T2522" s="41" t="s">
        <v>5805</v>
      </c>
      <c r="U2522" s="41" t="s">
        <v>6129</v>
      </c>
    </row>
    <row r="2523" spans="1:21">
      <c r="A2523" s="41">
        <v>20</v>
      </c>
      <c r="B2523" s="41" t="s">
        <v>7774</v>
      </c>
      <c r="D2523" s="41">
        <v>1213</v>
      </c>
      <c r="E2523" s="41" t="s">
        <v>7618</v>
      </c>
      <c r="F2523" s="41" t="s">
        <v>28</v>
      </c>
      <c r="G2523" s="41" t="s">
        <v>64</v>
      </c>
      <c r="I2523" s="41" t="s">
        <v>3101</v>
      </c>
      <c r="J2523" s="41" t="s">
        <v>295</v>
      </c>
      <c r="K2523" s="42"/>
      <c r="L2523" s="41" t="s">
        <v>7775</v>
      </c>
      <c r="M2523" s="41">
        <v>220</v>
      </c>
      <c r="N2523" s="41" t="s">
        <v>488</v>
      </c>
      <c r="O2523" s="41" t="s">
        <v>488</v>
      </c>
      <c r="P2523" s="41" t="s">
        <v>179</v>
      </c>
      <c r="Q2523" s="41" t="s">
        <v>284</v>
      </c>
      <c r="R2523" s="41" t="s">
        <v>39</v>
      </c>
      <c r="S2523" s="41" t="s">
        <v>40</v>
      </c>
      <c r="T2523" s="41" t="s">
        <v>7683</v>
      </c>
      <c r="U2523" s="41" t="s">
        <v>40</v>
      </c>
    </row>
    <row r="2524" spans="1:21">
      <c r="A2524" s="41">
        <v>198</v>
      </c>
      <c r="B2524" s="41" t="s">
        <v>4774</v>
      </c>
      <c r="D2524" s="41">
        <v>1043</v>
      </c>
      <c r="E2524" s="41" t="s">
        <v>4775</v>
      </c>
      <c r="F2524" s="41" t="s">
        <v>28</v>
      </c>
      <c r="G2524" s="41" t="s">
        <v>43</v>
      </c>
      <c r="I2524" s="41" t="s">
        <v>2954</v>
      </c>
      <c r="J2524" s="41" t="s">
        <v>295</v>
      </c>
      <c r="K2524" s="42"/>
      <c r="L2524" s="41" t="s">
        <v>5853</v>
      </c>
      <c r="M2524" s="41">
        <v>220</v>
      </c>
      <c r="N2524" s="41" t="s">
        <v>488</v>
      </c>
      <c r="O2524" s="41" t="s">
        <v>488</v>
      </c>
      <c r="P2524" s="41" t="s">
        <v>179</v>
      </c>
      <c r="Q2524" s="41" t="s">
        <v>524</v>
      </c>
      <c r="R2524" s="41" t="s">
        <v>39</v>
      </c>
      <c r="S2524" s="41" t="s">
        <v>40</v>
      </c>
      <c r="T2524" s="41" t="s">
        <v>40</v>
      </c>
      <c r="U2524" s="41" t="s">
        <v>40</v>
      </c>
    </row>
    <row r="2525" spans="1:21">
      <c r="A2525" s="41">
        <v>65</v>
      </c>
      <c r="B2525" s="41" t="s">
        <v>7776</v>
      </c>
      <c r="D2525" s="41">
        <v>973</v>
      </c>
      <c r="E2525" s="41" t="s">
        <v>7417</v>
      </c>
      <c r="F2525" s="41" t="s">
        <v>53</v>
      </c>
      <c r="G2525" s="41" t="s">
        <v>307</v>
      </c>
      <c r="I2525" s="41" t="s">
        <v>2313</v>
      </c>
      <c r="J2525" s="41" t="s">
        <v>295</v>
      </c>
      <c r="K2525" s="42"/>
      <c r="L2525" s="41" t="s">
        <v>7624</v>
      </c>
      <c r="M2525" s="41">
        <v>220</v>
      </c>
      <c r="N2525" s="41" t="s">
        <v>7777</v>
      </c>
      <c r="O2525" s="41" t="s">
        <v>7778</v>
      </c>
      <c r="P2525" s="41" t="s">
        <v>98</v>
      </c>
      <c r="Q2525" s="41" t="s">
        <v>116</v>
      </c>
      <c r="R2525" s="41" t="s">
        <v>62</v>
      </c>
      <c r="S2525" s="41" t="s">
        <v>7779</v>
      </c>
      <c r="T2525" s="41" t="s">
        <v>40</v>
      </c>
      <c r="U2525" s="41" t="s">
        <v>40</v>
      </c>
    </row>
    <row r="2526" spans="1:21">
      <c r="A2526" s="41">
        <v>362</v>
      </c>
      <c r="B2526" s="41" t="s">
        <v>7780</v>
      </c>
      <c r="D2526" s="41">
        <v>1237</v>
      </c>
      <c r="E2526" s="41" t="s">
        <v>1106</v>
      </c>
      <c r="F2526" s="41" t="s">
        <v>28</v>
      </c>
      <c r="G2526" s="41" t="s">
        <v>43</v>
      </c>
      <c r="I2526" s="41" t="s">
        <v>325</v>
      </c>
      <c r="J2526" s="41" t="s">
        <v>1652</v>
      </c>
      <c r="K2526" s="42"/>
      <c r="L2526" s="41" t="s">
        <v>7781</v>
      </c>
      <c r="M2526" s="41">
        <v>220</v>
      </c>
      <c r="N2526" s="41" t="s">
        <v>488</v>
      </c>
      <c r="O2526" s="41" t="s">
        <v>488</v>
      </c>
      <c r="P2526" s="41" t="s">
        <v>153</v>
      </c>
      <c r="Q2526" s="41" t="s">
        <v>1567</v>
      </c>
      <c r="R2526" s="41" t="s">
        <v>39</v>
      </c>
      <c r="S2526" s="41" t="s">
        <v>40</v>
      </c>
      <c r="T2526" s="41" t="s">
        <v>40</v>
      </c>
      <c r="U2526" s="41" t="s">
        <v>40</v>
      </c>
    </row>
    <row r="2527" spans="1:21">
      <c r="A2527" s="41">
        <v>261</v>
      </c>
      <c r="B2527" s="41" t="s">
        <v>7782</v>
      </c>
      <c r="D2527" s="41">
        <v>677</v>
      </c>
      <c r="E2527" s="41" t="s">
        <v>6378</v>
      </c>
      <c r="F2527" s="41" t="s">
        <v>53</v>
      </c>
      <c r="G2527" s="41" t="s">
        <v>307</v>
      </c>
      <c r="I2527" s="41" t="s">
        <v>7783</v>
      </c>
      <c r="J2527" s="41" t="s">
        <v>295</v>
      </c>
      <c r="K2527" s="42"/>
      <c r="L2527" s="41" t="s">
        <v>4427</v>
      </c>
      <c r="M2527" s="41">
        <v>220</v>
      </c>
      <c r="N2527" s="41" t="s">
        <v>7784</v>
      </c>
      <c r="O2527" s="41" t="s">
        <v>345</v>
      </c>
      <c r="P2527" s="41" t="s">
        <v>179</v>
      </c>
      <c r="Q2527" s="41" t="s">
        <v>524</v>
      </c>
      <c r="R2527" s="41" t="s">
        <v>62</v>
      </c>
      <c r="S2527" s="41" t="s">
        <v>7442</v>
      </c>
      <c r="T2527" s="41" t="s">
        <v>40</v>
      </c>
      <c r="U2527" s="41" t="s">
        <v>40</v>
      </c>
    </row>
    <row r="2528" spans="1:21">
      <c r="A2528" s="41">
        <v>163</v>
      </c>
      <c r="B2528" s="41" t="s">
        <v>7785</v>
      </c>
      <c r="D2528" s="41">
        <v>462</v>
      </c>
      <c r="E2528" s="41" t="s">
        <v>7786</v>
      </c>
      <c r="F2528" s="41" t="s">
        <v>28</v>
      </c>
      <c r="G2528" s="41" t="s">
        <v>307</v>
      </c>
      <c r="I2528" s="41" t="s">
        <v>162</v>
      </c>
      <c r="J2528" s="41" t="s">
        <v>1652</v>
      </c>
      <c r="K2528" s="42"/>
      <c r="L2528" s="41" t="s">
        <v>7787</v>
      </c>
      <c r="M2528" s="41">
        <v>220</v>
      </c>
      <c r="N2528" s="41" t="s">
        <v>488</v>
      </c>
      <c r="O2528" s="41" t="s">
        <v>488</v>
      </c>
      <c r="P2528" s="41" t="s">
        <v>153</v>
      </c>
      <c r="Q2528" s="41" t="s">
        <v>2224</v>
      </c>
      <c r="R2528" s="41" t="s">
        <v>39</v>
      </c>
      <c r="S2528" s="41" t="s">
        <v>40</v>
      </c>
      <c r="T2528" s="41" t="s">
        <v>40</v>
      </c>
      <c r="U2528" s="41" t="s">
        <v>40</v>
      </c>
    </row>
    <row r="2529" spans="1:21">
      <c r="A2529" s="41">
        <v>195</v>
      </c>
      <c r="B2529" s="41" t="s">
        <v>7788</v>
      </c>
      <c r="D2529" s="41">
        <v>945</v>
      </c>
      <c r="E2529" s="41" t="s">
        <v>5220</v>
      </c>
      <c r="F2529" s="41" t="s">
        <v>28</v>
      </c>
      <c r="G2529" s="41" t="s">
        <v>307</v>
      </c>
      <c r="I2529" s="41" t="s">
        <v>7789</v>
      </c>
      <c r="J2529" s="41" t="s">
        <v>1906</v>
      </c>
      <c r="K2529" s="42"/>
      <c r="L2529" s="41" t="s">
        <v>7790</v>
      </c>
      <c r="M2529" s="41">
        <v>23</v>
      </c>
      <c r="N2529" s="41" t="s">
        <v>488</v>
      </c>
      <c r="O2529" s="41" t="s">
        <v>488</v>
      </c>
      <c r="P2529" s="41" t="s">
        <v>37</v>
      </c>
      <c r="Q2529" s="41" t="s">
        <v>363</v>
      </c>
      <c r="R2529" s="41" t="s">
        <v>39</v>
      </c>
      <c r="S2529" s="41" t="s">
        <v>40</v>
      </c>
      <c r="T2529" s="41" t="s">
        <v>40</v>
      </c>
      <c r="U2529" s="41" t="s">
        <v>40</v>
      </c>
    </row>
    <row r="2530" spans="1:21">
      <c r="A2530" s="41">
        <v>265</v>
      </c>
      <c r="B2530" s="41" t="s">
        <v>7791</v>
      </c>
      <c r="D2530" s="41">
        <v>831</v>
      </c>
      <c r="E2530" s="41" t="s">
        <v>7792</v>
      </c>
      <c r="F2530" s="41" t="s">
        <v>53</v>
      </c>
      <c r="G2530" s="41" t="s">
        <v>307</v>
      </c>
      <c r="I2530" s="41" t="s">
        <v>7793</v>
      </c>
      <c r="J2530" s="41" t="s">
        <v>672</v>
      </c>
      <c r="K2530" s="42"/>
      <c r="L2530" s="41" t="s">
        <v>177</v>
      </c>
      <c r="M2530" s="41">
        <v>110</v>
      </c>
      <c r="N2530" s="41" t="s">
        <v>2019</v>
      </c>
      <c r="O2530" s="41" t="s">
        <v>7794</v>
      </c>
      <c r="P2530" s="41" t="s">
        <v>179</v>
      </c>
      <c r="Q2530" s="41" t="s">
        <v>180</v>
      </c>
      <c r="R2530" s="41" t="s">
        <v>132</v>
      </c>
      <c r="S2530" s="41" t="s">
        <v>7442</v>
      </c>
      <c r="T2530" s="41" t="s">
        <v>40</v>
      </c>
      <c r="U2530" s="41" t="s">
        <v>40</v>
      </c>
    </row>
    <row r="2531" spans="1:21">
      <c r="A2531" s="41">
        <v>194</v>
      </c>
      <c r="B2531" s="41" t="s">
        <v>6241</v>
      </c>
      <c r="D2531" s="41">
        <v>942</v>
      </c>
      <c r="E2531" s="41" t="s">
        <v>7795</v>
      </c>
      <c r="F2531" s="41" t="s">
        <v>28</v>
      </c>
      <c r="G2531" s="41" t="s">
        <v>64</v>
      </c>
      <c r="I2531" s="41" t="s">
        <v>56</v>
      </c>
      <c r="J2531" s="41" t="s">
        <v>1906</v>
      </c>
      <c r="K2531" s="42"/>
      <c r="L2531" s="41" t="s">
        <v>7796</v>
      </c>
      <c r="M2531" s="41">
        <v>220</v>
      </c>
      <c r="N2531" s="41" t="s">
        <v>488</v>
      </c>
      <c r="O2531" s="41" t="s">
        <v>488</v>
      </c>
      <c r="P2531" s="41" t="s">
        <v>37</v>
      </c>
      <c r="Q2531" s="41" t="s">
        <v>1960</v>
      </c>
      <c r="R2531" s="41" t="s">
        <v>39</v>
      </c>
      <c r="S2531" s="41" t="s">
        <v>40</v>
      </c>
      <c r="T2531" s="41" t="s">
        <v>40</v>
      </c>
      <c r="U2531" s="41" t="s">
        <v>40</v>
      </c>
    </row>
    <row r="2532" spans="1:21">
      <c r="A2532" s="41">
        <v>197</v>
      </c>
      <c r="B2532" s="41" t="s">
        <v>7797</v>
      </c>
      <c r="D2532" s="41">
        <v>962</v>
      </c>
      <c r="E2532" s="41" t="s">
        <v>6313</v>
      </c>
      <c r="F2532" s="41" t="s">
        <v>28</v>
      </c>
      <c r="G2532" s="41" t="s">
        <v>43</v>
      </c>
      <c r="I2532" s="41" t="s">
        <v>325</v>
      </c>
      <c r="J2532" s="41" t="s">
        <v>380</v>
      </c>
      <c r="K2532" s="42"/>
      <c r="L2532" s="41" t="s">
        <v>7798</v>
      </c>
      <c r="M2532" s="41">
        <v>220</v>
      </c>
      <c r="N2532" s="41" t="s">
        <v>488</v>
      </c>
      <c r="O2532" s="41" t="s">
        <v>488</v>
      </c>
      <c r="P2532" s="41" t="s">
        <v>37</v>
      </c>
      <c r="Q2532" s="41" t="s">
        <v>969</v>
      </c>
      <c r="R2532" s="41" t="s">
        <v>39</v>
      </c>
      <c r="S2532" s="41" t="s">
        <v>40</v>
      </c>
      <c r="T2532" s="41" t="s">
        <v>40</v>
      </c>
      <c r="U2532" s="41" t="s">
        <v>40</v>
      </c>
    </row>
    <row r="2533" spans="1:21">
      <c r="A2533" s="41">
        <v>359</v>
      </c>
      <c r="B2533" s="41" t="s">
        <v>7799</v>
      </c>
      <c r="D2533" s="41">
        <v>930</v>
      </c>
      <c r="E2533" s="41" t="s">
        <v>6313</v>
      </c>
      <c r="F2533" s="41" t="s">
        <v>28</v>
      </c>
      <c r="G2533" s="41" t="s">
        <v>307</v>
      </c>
      <c r="I2533" s="41" t="s">
        <v>45</v>
      </c>
      <c r="J2533" s="41" t="s">
        <v>295</v>
      </c>
      <c r="K2533" s="42"/>
      <c r="L2533" s="41" t="s">
        <v>7800</v>
      </c>
      <c r="M2533" s="41">
        <v>23</v>
      </c>
      <c r="N2533" s="41" t="s">
        <v>488</v>
      </c>
      <c r="O2533" s="41" t="s">
        <v>488</v>
      </c>
      <c r="P2533" s="41" t="s">
        <v>98</v>
      </c>
      <c r="Q2533" s="41" t="s">
        <v>98</v>
      </c>
      <c r="R2533" s="41" t="s">
        <v>39</v>
      </c>
      <c r="S2533" s="41" t="s">
        <v>40</v>
      </c>
      <c r="T2533" s="41" t="s">
        <v>40</v>
      </c>
      <c r="U2533" s="41" t="s">
        <v>40</v>
      </c>
    </row>
    <row r="2534" spans="1:21">
      <c r="A2534" s="41">
        <v>16</v>
      </c>
      <c r="B2534" s="41" t="s">
        <v>7801</v>
      </c>
      <c r="D2534" s="41">
        <v>876</v>
      </c>
      <c r="E2534" s="41" t="s">
        <v>4183</v>
      </c>
      <c r="F2534" s="41" t="s">
        <v>28</v>
      </c>
      <c r="G2534" s="41" t="s">
        <v>307</v>
      </c>
      <c r="I2534" s="41" t="s">
        <v>7802</v>
      </c>
      <c r="J2534" s="41" t="s">
        <v>295</v>
      </c>
      <c r="K2534" s="42"/>
      <c r="L2534" s="41" t="s">
        <v>7671</v>
      </c>
      <c r="M2534" s="41">
        <v>220</v>
      </c>
      <c r="N2534" s="41" t="s">
        <v>488</v>
      </c>
      <c r="O2534" s="41" t="s">
        <v>488</v>
      </c>
      <c r="P2534" s="41" t="s">
        <v>179</v>
      </c>
      <c r="Q2534" s="41" t="s">
        <v>284</v>
      </c>
      <c r="R2534" s="41" t="s">
        <v>39</v>
      </c>
      <c r="S2534" s="41" t="s">
        <v>40</v>
      </c>
      <c r="T2534" s="41" t="s">
        <v>415</v>
      </c>
      <c r="U2534" s="41" t="s">
        <v>40</v>
      </c>
    </row>
    <row r="2535" spans="1:21">
      <c r="A2535" s="41">
        <v>349</v>
      </c>
      <c r="B2535" s="41" t="s">
        <v>2964</v>
      </c>
      <c r="D2535" s="41">
        <v>874</v>
      </c>
      <c r="E2535" s="41" t="s">
        <v>6845</v>
      </c>
      <c r="F2535" s="41" t="s">
        <v>53</v>
      </c>
      <c r="G2535" s="41" t="s">
        <v>43</v>
      </c>
      <c r="I2535" s="41" t="s">
        <v>4690</v>
      </c>
      <c r="J2535" s="41" t="s">
        <v>380</v>
      </c>
      <c r="K2535" s="42"/>
      <c r="L2535" s="41" t="s">
        <v>3895</v>
      </c>
      <c r="M2535" s="41">
        <v>220</v>
      </c>
      <c r="N2535" s="41" t="s">
        <v>488</v>
      </c>
      <c r="O2535" s="41" t="s">
        <v>488</v>
      </c>
      <c r="P2535" s="41" t="s">
        <v>60</v>
      </c>
      <c r="Q2535" s="41" t="s">
        <v>436</v>
      </c>
      <c r="R2535" s="41" t="s">
        <v>132</v>
      </c>
      <c r="S2535" s="41" t="s">
        <v>40</v>
      </c>
      <c r="T2535" s="41" t="s">
        <v>40</v>
      </c>
      <c r="U2535" s="41" t="s">
        <v>40</v>
      </c>
    </row>
    <row r="2536" spans="1:21">
      <c r="A2536" s="41">
        <v>193</v>
      </c>
      <c r="B2536" s="41" t="s">
        <v>7803</v>
      </c>
      <c r="D2536" s="41">
        <v>864</v>
      </c>
      <c r="E2536" s="41" t="s">
        <v>3685</v>
      </c>
      <c r="F2536" s="41" t="s">
        <v>28</v>
      </c>
      <c r="G2536" s="41" t="s">
        <v>64</v>
      </c>
      <c r="I2536" s="41" t="s">
        <v>7804</v>
      </c>
      <c r="J2536" s="41" t="s">
        <v>380</v>
      </c>
      <c r="K2536" s="42"/>
      <c r="L2536" s="41" t="s">
        <v>7805</v>
      </c>
      <c r="M2536" s="41">
        <v>220</v>
      </c>
      <c r="N2536" s="41" t="s">
        <v>488</v>
      </c>
      <c r="O2536" s="41" t="s">
        <v>488</v>
      </c>
      <c r="P2536" s="41" t="s">
        <v>37</v>
      </c>
      <c r="Q2536" s="41" t="s">
        <v>38</v>
      </c>
      <c r="R2536" s="41" t="s">
        <v>39</v>
      </c>
      <c r="S2536" s="41" t="s">
        <v>40</v>
      </c>
      <c r="T2536" s="41" t="s">
        <v>40</v>
      </c>
      <c r="U2536" s="41" t="s">
        <v>40</v>
      </c>
    </row>
    <row r="2537" spans="1:21">
      <c r="A2537" s="41">
        <v>178</v>
      </c>
      <c r="B2537" s="41" t="s">
        <v>7806</v>
      </c>
      <c r="D2537" s="41">
        <v>561</v>
      </c>
      <c r="E2537" s="41" t="s">
        <v>7767</v>
      </c>
      <c r="F2537" s="41" t="s">
        <v>28</v>
      </c>
      <c r="G2537" s="41" t="s">
        <v>43</v>
      </c>
      <c r="I2537" s="41" t="s">
        <v>325</v>
      </c>
      <c r="J2537" s="41" t="s">
        <v>380</v>
      </c>
      <c r="K2537" s="42"/>
      <c r="L2537" s="41" t="s">
        <v>7807</v>
      </c>
      <c r="M2537" s="41">
        <v>220</v>
      </c>
      <c r="N2537" s="41" t="s">
        <v>488</v>
      </c>
      <c r="O2537" s="41" t="s">
        <v>488</v>
      </c>
      <c r="P2537" s="41" t="s">
        <v>37</v>
      </c>
      <c r="Q2537" s="41" t="s">
        <v>969</v>
      </c>
      <c r="R2537" s="41" t="s">
        <v>39</v>
      </c>
      <c r="S2537" s="41" t="s">
        <v>40</v>
      </c>
      <c r="T2537" s="41" t="s">
        <v>40</v>
      </c>
      <c r="U2537" s="41" t="s">
        <v>40</v>
      </c>
    </row>
    <row r="2538" spans="1:21">
      <c r="A2538" s="41">
        <v>176</v>
      </c>
      <c r="B2538" s="41" t="s">
        <v>7808</v>
      </c>
      <c r="D2538" s="41">
        <v>549</v>
      </c>
      <c r="E2538" s="41" t="s">
        <v>7718</v>
      </c>
      <c r="F2538" s="41" t="s">
        <v>28</v>
      </c>
      <c r="G2538" s="41" t="s">
        <v>307</v>
      </c>
      <c r="I2538" s="41" t="s">
        <v>325</v>
      </c>
      <c r="J2538" s="41" t="s">
        <v>295</v>
      </c>
      <c r="K2538" s="42"/>
      <c r="L2538" s="41" t="s">
        <v>7809</v>
      </c>
      <c r="M2538" s="41">
        <v>220</v>
      </c>
      <c r="N2538" s="41" t="s">
        <v>488</v>
      </c>
      <c r="O2538" s="41" t="s">
        <v>488</v>
      </c>
      <c r="P2538" s="41" t="s">
        <v>98</v>
      </c>
      <c r="Q2538" s="41" t="s">
        <v>569</v>
      </c>
      <c r="R2538" s="41" t="s">
        <v>39</v>
      </c>
      <c r="S2538" s="41" t="s">
        <v>40</v>
      </c>
      <c r="T2538" s="41" t="s">
        <v>40</v>
      </c>
      <c r="U2538" s="41" t="s">
        <v>40</v>
      </c>
    </row>
    <row r="2539" spans="1:21">
      <c r="A2539" s="41">
        <v>254</v>
      </c>
      <c r="B2539" s="41" t="s">
        <v>7810</v>
      </c>
      <c r="D2539" s="41">
        <v>458</v>
      </c>
      <c r="E2539" s="41" t="s">
        <v>7811</v>
      </c>
      <c r="F2539" s="41" t="s">
        <v>53</v>
      </c>
      <c r="G2539" s="41" t="s">
        <v>307</v>
      </c>
      <c r="I2539" s="41" t="s">
        <v>7812</v>
      </c>
      <c r="J2539" s="41" t="s">
        <v>380</v>
      </c>
      <c r="K2539" s="42"/>
      <c r="L2539" s="41" t="s">
        <v>7448</v>
      </c>
      <c r="M2539" s="41">
        <v>220</v>
      </c>
      <c r="N2539" s="41" t="s">
        <v>488</v>
      </c>
      <c r="O2539" s="41" t="s">
        <v>488</v>
      </c>
      <c r="P2539" s="41" t="s">
        <v>1046</v>
      </c>
      <c r="Q2539" s="41" t="s">
        <v>3389</v>
      </c>
      <c r="R2539" s="41" t="s">
        <v>62</v>
      </c>
      <c r="S2539" s="41" t="s">
        <v>7813</v>
      </c>
      <c r="T2539" s="41" t="s">
        <v>40</v>
      </c>
      <c r="U2539" s="41" t="s">
        <v>40</v>
      </c>
    </row>
    <row r="2540" spans="1:21">
      <c r="A2540" s="41">
        <v>62</v>
      </c>
      <c r="B2540" s="41" t="s">
        <v>7814</v>
      </c>
      <c r="D2540" s="41">
        <v>926</v>
      </c>
      <c r="E2540" s="41" t="s">
        <v>3714</v>
      </c>
      <c r="F2540" s="41" t="s">
        <v>53</v>
      </c>
      <c r="G2540" s="41" t="s">
        <v>307</v>
      </c>
      <c r="I2540" s="41" t="s">
        <v>7815</v>
      </c>
      <c r="J2540" s="41" t="s">
        <v>380</v>
      </c>
      <c r="K2540" s="42"/>
      <c r="L2540" s="41" t="s">
        <v>3367</v>
      </c>
      <c r="M2540" s="41">
        <v>220</v>
      </c>
      <c r="N2540" s="41" t="s">
        <v>77</v>
      </c>
      <c r="O2540" s="41" t="s">
        <v>77</v>
      </c>
      <c r="P2540" s="41" t="s">
        <v>83</v>
      </c>
      <c r="Q2540" s="41" t="s">
        <v>2000</v>
      </c>
      <c r="R2540" s="41" t="s">
        <v>62</v>
      </c>
      <c r="S2540" s="41" t="s">
        <v>7816</v>
      </c>
      <c r="T2540" s="41" t="s">
        <v>40</v>
      </c>
      <c r="U2540" s="41" t="s">
        <v>40</v>
      </c>
    </row>
    <row r="2541" spans="1:21">
      <c r="A2541" s="41">
        <v>61</v>
      </c>
      <c r="B2541" s="41" t="s">
        <v>7817</v>
      </c>
      <c r="D2541" s="41">
        <v>863</v>
      </c>
      <c r="E2541" s="41" t="s">
        <v>4134</v>
      </c>
      <c r="F2541" s="41" t="s">
        <v>53</v>
      </c>
      <c r="G2541" s="41" t="s">
        <v>43</v>
      </c>
      <c r="I2541" s="41" t="s">
        <v>411</v>
      </c>
      <c r="J2541" s="41" t="s">
        <v>295</v>
      </c>
      <c r="K2541" s="42"/>
      <c r="L2541" s="41" t="s">
        <v>3337</v>
      </c>
      <c r="M2541" s="41">
        <v>66</v>
      </c>
      <c r="N2541" s="41" t="s">
        <v>7081</v>
      </c>
      <c r="O2541" s="41" t="s">
        <v>488</v>
      </c>
      <c r="P2541" s="41" t="s">
        <v>546</v>
      </c>
      <c r="Q2541" s="41" t="s">
        <v>2100</v>
      </c>
      <c r="R2541" s="41" t="s">
        <v>132</v>
      </c>
      <c r="S2541" s="41" t="s">
        <v>40</v>
      </c>
      <c r="T2541" s="41" t="s">
        <v>40</v>
      </c>
      <c r="U2541" s="41" t="s">
        <v>40</v>
      </c>
    </row>
    <row r="2542" spans="1:21">
      <c r="A2542" s="41">
        <v>191</v>
      </c>
      <c r="B2542" s="41" t="s">
        <v>7818</v>
      </c>
      <c r="D2542" s="41">
        <v>849</v>
      </c>
      <c r="E2542" s="41" t="s">
        <v>7819</v>
      </c>
      <c r="F2542" s="41" t="s">
        <v>28</v>
      </c>
      <c r="G2542" s="41" t="s">
        <v>307</v>
      </c>
      <c r="I2542" s="41" t="s">
        <v>325</v>
      </c>
      <c r="J2542" s="41" t="s">
        <v>295</v>
      </c>
      <c r="K2542" s="42"/>
      <c r="L2542" s="41" t="s">
        <v>7820</v>
      </c>
      <c r="M2542" s="41">
        <v>110</v>
      </c>
      <c r="N2542" s="41" t="s">
        <v>488</v>
      </c>
      <c r="O2542" s="41" t="s">
        <v>488</v>
      </c>
      <c r="P2542" s="41" t="s">
        <v>179</v>
      </c>
      <c r="Q2542" s="41" t="s">
        <v>592</v>
      </c>
      <c r="R2542" s="41" t="s">
        <v>39</v>
      </c>
      <c r="S2542" s="41" t="s">
        <v>40</v>
      </c>
      <c r="T2542" s="41" t="s">
        <v>7821</v>
      </c>
      <c r="U2542" s="41" t="s">
        <v>7528</v>
      </c>
    </row>
    <row r="2543" spans="1:21">
      <c r="A2543" s="41">
        <v>60</v>
      </c>
      <c r="B2543" s="41" t="s">
        <v>7822</v>
      </c>
      <c r="D2543" s="41">
        <v>862</v>
      </c>
      <c r="E2543" s="41" t="s">
        <v>3714</v>
      </c>
      <c r="F2543" s="41" t="s">
        <v>53</v>
      </c>
      <c r="G2543" s="41" t="s">
        <v>43</v>
      </c>
      <c r="I2543" s="41" t="s">
        <v>4244</v>
      </c>
      <c r="J2543" s="41" t="s">
        <v>295</v>
      </c>
      <c r="K2543" s="42"/>
      <c r="L2543" s="41" t="s">
        <v>5684</v>
      </c>
      <c r="M2543" s="41">
        <v>110</v>
      </c>
      <c r="N2543" s="41" t="s">
        <v>67</v>
      </c>
      <c r="O2543" s="41" t="s">
        <v>178</v>
      </c>
      <c r="P2543" s="41" t="s">
        <v>50</v>
      </c>
      <c r="Q2543" s="41" t="s">
        <v>51</v>
      </c>
      <c r="R2543" s="41" t="s">
        <v>132</v>
      </c>
      <c r="S2543" s="41" t="s">
        <v>7823</v>
      </c>
      <c r="T2543" s="41" t="s">
        <v>509</v>
      </c>
      <c r="U2543" s="41" t="s">
        <v>455</v>
      </c>
    </row>
    <row r="2544" spans="1:21">
      <c r="A2544" s="41">
        <v>59</v>
      </c>
      <c r="B2544" s="41" t="s">
        <v>7824</v>
      </c>
      <c r="D2544" s="41">
        <v>846</v>
      </c>
      <c r="E2544" s="41" t="s">
        <v>6845</v>
      </c>
      <c r="F2544" s="41" t="s">
        <v>53</v>
      </c>
      <c r="G2544" s="41" t="s">
        <v>64</v>
      </c>
      <c r="I2544" s="41" t="s">
        <v>7825</v>
      </c>
      <c r="J2544" s="41" t="s">
        <v>380</v>
      </c>
      <c r="K2544" s="42"/>
      <c r="L2544" s="41" t="s">
        <v>7826</v>
      </c>
      <c r="M2544" s="41">
        <v>220</v>
      </c>
      <c r="N2544" s="41" t="s">
        <v>488</v>
      </c>
      <c r="O2544" s="41" t="s">
        <v>488</v>
      </c>
      <c r="P2544" s="41" t="s">
        <v>98</v>
      </c>
      <c r="Q2544" s="41" t="s">
        <v>116</v>
      </c>
      <c r="R2544" s="41" t="s">
        <v>62</v>
      </c>
      <c r="S2544" s="41" t="s">
        <v>40</v>
      </c>
      <c r="T2544" s="41" t="s">
        <v>40</v>
      </c>
      <c r="U2544" s="41" t="s">
        <v>40</v>
      </c>
    </row>
    <row r="2545" spans="1:21">
      <c r="A2545" s="41">
        <v>264</v>
      </c>
      <c r="B2545" s="41" t="s">
        <v>7827</v>
      </c>
      <c r="D2545" s="41">
        <v>935</v>
      </c>
      <c r="E2545" s="41" t="s">
        <v>7828</v>
      </c>
      <c r="F2545" s="41" t="s">
        <v>53</v>
      </c>
      <c r="G2545" s="41" t="s">
        <v>43</v>
      </c>
      <c r="I2545" s="41" t="s">
        <v>1024</v>
      </c>
      <c r="J2545" s="41" t="s">
        <v>295</v>
      </c>
      <c r="K2545" s="42"/>
      <c r="L2545" s="41" t="s">
        <v>115</v>
      </c>
      <c r="M2545" s="41">
        <v>220</v>
      </c>
      <c r="N2545" s="41" t="s">
        <v>488</v>
      </c>
      <c r="O2545" s="41" t="s">
        <v>488</v>
      </c>
      <c r="P2545" s="41" t="s">
        <v>98</v>
      </c>
      <c r="Q2545" s="41" t="s">
        <v>116</v>
      </c>
      <c r="R2545" s="41" t="s">
        <v>62</v>
      </c>
      <c r="S2545" s="41" t="s">
        <v>7829</v>
      </c>
      <c r="T2545" s="41" t="s">
        <v>40</v>
      </c>
      <c r="U2545" s="41" t="s">
        <v>40</v>
      </c>
    </row>
    <row r="2546" spans="1:21">
      <c r="A2546" s="41">
        <v>452</v>
      </c>
      <c r="B2546" s="41" t="s">
        <v>2257</v>
      </c>
      <c r="C2546" s="43">
        <v>1</v>
      </c>
      <c r="D2546" s="41">
        <v>550</v>
      </c>
      <c r="E2546" s="41" t="s">
        <v>7129</v>
      </c>
      <c r="F2546" s="41" t="s">
        <v>53</v>
      </c>
      <c r="G2546" s="41" t="s">
        <v>43</v>
      </c>
      <c r="I2546" s="41" t="s">
        <v>2313</v>
      </c>
      <c r="J2546" s="41" t="s">
        <v>672</v>
      </c>
      <c r="K2546" s="42"/>
      <c r="L2546" s="41" t="s">
        <v>2314</v>
      </c>
      <c r="M2546" s="41">
        <v>110</v>
      </c>
      <c r="N2546" s="41" t="s">
        <v>1293</v>
      </c>
      <c r="O2546" s="41" t="s">
        <v>7830</v>
      </c>
      <c r="P2546" s="41" t="s">
        <v>68</v>
      </c>
      <c r="Q2546" s="41" t="s">
        <v>91</v>
      </c>
      <c r="R2546" s="41" t="s">
        <v>132</v>
      </c>
      <c r="S2546" s="41" t="s">
        <v>40</v>
      </c>
      <c r="T2546" s="41" t="s">
        <v>40</v>
      </c>
      <c r="U2546" s="41" t="s">
        <v>40</v>
      </c>
    </row>
    <row r="2547" spans="1:21">
      <c r="A2547" s="41">
        <v>175</v>
      </c>
      <c r="B2547" s="41" t="s">
        <v>7831</v>
      </c>
      <c r="D2547" s="41">
        <v>547</v>
      </c>
      <c r="E2547" s="41" t="s">
        <v>2644</v>
      </c>
      <c r="F2547" s="41" t="s">
        <v>28</v>
      </c>
      <c r="G2547" s="41" t="s">
        <v>307</v>
      </c>
      <c r="I2547" s="41" t="s">
        <v>977</v>
      </c>
      <c r="J2547" s="41" t="s">
        <v>672</v>
      </c>
      <c r="K2547" s="42"/>
      <c r="L2547" s="41" t="s">
        <v>3154</v>
      </c>
      <c r="M2547" s="41">
        <v>110</v>
      </c>
      <c r="N2547" s="41" t="s">
        <v>488</v>
      </c>
      <c r="O2547" s="41" t="s">
        <v>488</v>
      </c>
      <c r="P2547" s="41" t="s">
        <v>78</v>
      </c>
      <c r="Q2547" s="41" t="s">
        <v>1729</v>
      </c>
      <c r="R2547" s="41" t="s">
        <v>39</v>
      </c>
      <c r="S2547" s="41" t="s">
        <v>40</v>
      </c>
      <c r="T2547" s="41" t="s">
        <v>40</v>
      </c>
      <c r="U2547" s="41" t="s">
        <v>40</v>
      </c>
    </row>
    <row r="2548" spans="1:21">
      <c r="A2548" s="41">
        <v>50</v>
      </c>
      <c r="B2548" s="41" t="s">
        <v>7832</v>
      </c>
      <c r="D2548" s="41">
        <v>505</v>
      </c>
      <c r="E2548" s="41" t="s">
        <v>1106</v>
      </c>
      <c r="F2548" s="41" t="s">
        <v>53</v>
      </c>
      <c r="G2548" s="41" t="s">
        <v>141</v>
      </c>
      <c r="I2548" s="41" t="s">
        <v>966</v>
      </c>
      <c r="J2548" s="41" t="s">
        <v>380</v>
      </c>
      <c r="K2548" s="42"/>
      <c r="L2548" s="41" t="s">
        <v>3367</v>
      </c>
      <c r="M2548" s="41">
        <v>220</v>
      </c>
      <c r="N2548" s="41" t="s">
        <v>488</v>
      </c>
      <c r="O2548" s="41" t="s">
        <v>488</v>
      </c>
      <c r="P2548" s="41" t="s">
        <v>83</v>
      </c>
      <c r="Q2548" s="41" t="s">
        <v>2000</v>
      </c>
      <c r="R2548" s="41" t="s">
        <v>62</v>
      </c>
      <c r="S2548" s="41" t="s">
        <v>6901</v>
      </c>
      <c r="T2548" s="41" t="s">
        <v>198</v>
      </c>
      <c r="U2548" s="41" t="s">
        <v>146</v>
      </c>
    </row>
    <row r="2549" spans="1:21">
      <c r="A2549" s="41">
        <v>189</v>
      </c>
      <c r="B2549" s="41" t="s">
        <v>7833</v>
      </c>
      <c r="D2549" s="41">
        <v>494</v>
      </c>
      <c r="E2549" s="41" t="s">
        <v>3977</v>
      </c>
      <c r="F2549" s="41" t="s">
        <v>28</v>
      </c>
      <c r="G2549" s="41" t="s">
        <v>307</v>
      </c>
      <c r="I2549" s="41" t="s">
        <v>977</v>
      </c>
      <c r="J2549" s="41" t="s">
        <v>672</v>
      </c>
      <c r="K2549" s="42"/>
      <c r="L2549" s="41" t="s">
        <v>7834</v>
      </c>
      <c r="M2549" s="41">
        <v>220</v>
      </c>
      <c r="N2549" s="41" t="s">
        <v>488</v>
      </c>
      <c r="O2549" s="41" t="s">
        <v>488</v>
      </c>
      <c r="P2549" s="41" t="s">
        <v>98</v>
      </c>
      <c r="Q2549" s="41" t="s">
        <v>2300</v>
      </c>
      <c r="R2549" s="41" t="s">
        <v>39</v>
      </c>
      <c r="S2549" s="41" t="s">
        <v>40</v>
      </c>
      <c r="T2549" s="41" t="s">
        <v>40</v>
      </c>
      <c r="U2549" s="41" t="s">
        <v>40</v>
      </c>
    </row>
    <row r="2550" spans="1:21">
      <c r="A2550" s="41">
        <v>188</v>
      </c>
      <c r="B2550" s="41" t="s">
        <v>7835</v>
      </c>
      <c r="D2550" s="41">
        <v>548</v>
      </c>
      <c r="E2550" s="41" t="s">
        <v>6313</v>
      </c>
      <c r="F2550" s="41" t="s">
        <v>28</v>
      </c>
      <c r="G2550" s="41" t="s">
        <v>307</v>
      </c>
      <c r="I2550" s="41" t="s">
        <v>464</v>
      </c>
      <c r="J2550" s="41" t="s">
        <v>380</v>
      </c>
      <c r="K2550" s="42"/>
      <c r="L2550" s="41" t="s">
        <v>7836</v>
      </c>
      <c r="M2550" s="41">
        <v>154</v>
      </c>
      <c r="N2550" s="41" t="s">
        <v>488</v>
      </c>
      <c r="O2550" s="41" t="s">
        <v>488</v>
      </c>
      <c r="P2550" s="41" t="s">
        <v>37</v>
      </c>
      <c r="Q2550" s="41" t="s">
        <v>969</v>
      </c>
      <c r="R2550" s="41" t="s">
        <v>39</v>
      </c>
      <c r="S2550" s="41" t="s">
        <v>40</v>
      </c>
      <c r="T2550" s="41" t="s">
        <v>40</v>
      </c>
      <c r="U2550" s="41" t="s">
        <v>40</v>
      </c>
    </row>
    <row r="2551" spans="1:21">
      <c r="A2551" s="41">
        <v>1099</v>
      </c>
      <c r="B2551" s="41" t="s">
        <v>7837</v>
      </c>
      <c r="D2551" s="41">
        <v>3236</v>
      </c>
      <c r="E2551" s="41" t="s">
        <v>2063</v>
      </c>
      <c r="F2551" s="41" t="s">
        <v>42</v>
      </c>
      <c r="G2551" s="41" t="s">
        <v>1175</v>
      </c>
      <c r="I2551" s="41" t="s">
        <v>56</v>
      </c>
      <c r="J2551" s="41" t="s">
        <v>672</v>
      </c>
      <c r="K2551" s="42"/>
      <c r="L2551" s="41" t="s">
        <v>4079</v>
      </c>
      <c r="M2551" s="41">
        <v>220</v>
      </c>
      <c r="N2551" s="41" t="s">
        <v>67</v>
      </c>
      <c r="O2551" s="41" t="s">
        <v>7838</v>
      </c>
      <c r="P2551" s="41" t="s">
        <v>98</v>
      </c>
      <c r="Q2551" s="41" t="s">
        <v>491</v>
      </c>
      <c r="R2551" s="41" t="s">
        <v>39</v>
      </c>
      <c r="S2551" s="41" t="s">
        <v>40</v>
      </c>
      <c r="T2551" s="41" t="s">
        <v>40</v>
      </c>
      <c r="U2551" s="41" t="s">
        <v>40</v>
      </c>
    </row>
    <row r="2552" spans="1:21">
      <c r="A2552" s="41">
        <v>255</v>
      </c>
      <c r="B2552" s="41" t="s">
        <v>7839</v>
      </c>
      <c r="D2552" s="41">
        <v>487</v>
      </c>
      <c r="E2552" s="41" t="s">
        <v>3714</v>
      </c>
      <c r="F2552" s="41" t="s">
        <v>53</v>
      </c>
      <c r="G2552" s="41" t="s">
        <v>307</v>
      </c>
      <c r="I2552" s="41" t="s">
        <v>6872</v>
      </c>
      <c r="J2552" s="41" t="s">
        <v>295</v>
      </c>
      <c r="K2552" s="42"/>
      <c r="L2552" s="41" t="s">
        <v>7840</v>
      </c>
      <c r="M2552" s="41">
        <v>220</v>
      </c>
      <c r="N2552" s="41" t="s">
        <v>6177</v>
      </c>
      <c r="O2552" s="41" t="s">
        <v>4027</v>
      </c>
      <c r="P2552" s="41" t="s">
        <v>179</v>
      </c>
      <c r="Q2552" s="41" t="s">
        <v>524</v>
      </c>
      <c r="R2552" s="41" t="s">
        <v>62</v>
      </c>
      <c r="S2552" s="41" t="s">
        <v>7841</v>
      </c>
      <c r="T2552" s="41" t="s">
        <v>40</v>
      </c>
      <c r="U2552" s="41" t="s">
        <v>40</v>
      </c>
    </row>
    <row r="2553" spans="1:21">
      <c r="A2553" s="41">
        <v>57</v>
      </c>
      <c r="B2553" s="41" t="s">
        <v>1546</v>
      </c>
      <c r="D2553" s="41">
        <v>860</v>
      </c>
      <c r="E2553" s="41" t="s">
        <v>1549</v>
      </c>
      <c r="F2553" s="41" t="s">
        <v>53</v>
      </c>
      <c r="G2553" s="41" t="s">
        <v>64</v>
      </c>
      <c r="I2553" s="41" t="s">
        <v>1550</v>
      </c>
      <c r="J2553" s="41" t="s">
        <v>295</v>
      </c>
      <c r="K2553" s="42"/>
      <c r="L2553" s="41" t="s">
        <v>4427</v>
      </c>
      <c r="M2553" s="41">
        <v>220</v>
      </c>
      <c r="N2553" s="41" t="s">
        <v>488</v>
      </c>
      <c r="O2553" s="41" t="s">
        <v>201</v>
      </c>
      <c r="P2553" s="41" t="s">
        <v>179</v>
      </c>
      <c r="Q2553" s="41" t="s">
        <v>524</v>
      </c>
      <c r="R2553" s="41" t="s">
        <v>62</v>
      </c>
      <c r="S2553" s="41" t="s">
        <v>40</v>
      </c>
      <c r="T2553" s="41" t="s">
        <v>40</v>
      </c>
      <c r="U2553" s="41" t="s">
        <v>40</v>
      </c>
    </row>
    <row r="2554" spans="1:21">
      <c r="A2554" s="41">
        <v>186</v>
      </c>
      <c r="B2554" s="41" t="s">
        <v>7842</v>
      </c>
      <c r="D2554" s="41">
        <v>780</v>
      </c>
      <c r="E2554" s="41" t="s">
        <v>2487</v>
      </c>
      <c r="F2554" s="41" t="s">
        <v>28</v>
      </c>
      <c r="G2554" s="41" t="s">
        <v>64</v>
      </c>
      <c r="I2554" s="41" t="s">
        <v>194</v>
      </c>
      <c r="J2554" s="41" t="s">
        <v>295</v>
      </c>
      <c r="K2554" s="42"/>
      <c r="L2554" s="41" t="s">
        <v>7205</v>
      </c>
      <c r="M2554" s="41">
        <v>44</v>
      </c>
      <c r="N2554" s="41" t="s">
        <v>488</v>
      </c>
      <c r="O2554" s="41" t="s">
        <v>488</v>
      </c>
      <c r="P2554" s="41" t="s">
        <v>68</v>
      </c>
      <c r="Q2554" s="41" t="s">
        <v>1156</v>
      </c>
      <c r="R2554" s="41" t="s">
        <v>39</v>
      </c>
      <c r="S2554" s="41" t="s">
        <v>40</v>
      </c>
      <c r="T2554" s="41" t="s">
        <v>40</v>
      </c>
      <c r="U2554" s="41" t="s">
        <v>40</v>
      </c>
    </row>
    <row r="2555" spans="1:21">
      <c r="A2555" s="41">
        <v>262</v>
      </c>
      <c r="B2555" s="41" t="s">
        <v>7843</v>
      </c>
      <c r="D2555" s="41">
        <v>759</v>
      </c>
      <c r="E2555" s="41" t="s">
        <v>1227</v>
      </c>
      <c r="F2555" s="41" t="s">
        <v>53</v>
      </c>
      <c r="G2555" s="41" t="s">
        <v>307</v>
      </c>
      <c r="I2555" s="41" t="s">
        <v>4078</v>
      </c>
      <c r="J2555" s="41" t="s">
        <v>295</v>
      </c>
      <c r="K2555" s="42"/>
      <c r="L2555" s="41" t="s">
        <v>7844</v>
      </c>
      <c r="M2555" s="41">
        <v>110</v>
      </c>
      <c r="N2555" s="41" t="s">
        <v>7845</v>
      </c>
      <c r="O2555" s="41" t="s">
        <v>747</v>
      </c>
      <c r="P2555" s="41" t="s">
        <v>98</v>
      </c>
      <c r="Q2555" s="41" t="s">
        <v>98</v>
      </c>
      <c r="R2555" s="41" t="s">
        <v>132</v>
      </c>
      <c r="S2555" s="41" t="s">
        <v>7846</v>
      </c>
      <c r="T2555" s="41" t="s">
        <v>40</v>
      </c>
      <c r="U2555" s="41" t="s">
        <v>40</v>
      </c>
    </row>
    <row r="2556" spans="1:21">
      <c r="A2556" s="41">
        <v>56</v>
      </c>
      <c r="B2556" s="41" t="s">
        <v>2063</v>
      </c>
      <c r="D2556" s="41">
        <v>755</v>
      </c>
      <c r="E2556" s="41" t="s">
        <v>2063</v>
      </c>
      <c r="F2556" s="41" t="s">
        <v>53</v>
      </c>
      <c r="G2556" s="41" t="s">
        <v>307</v>
      </c>
      <c r="I2556" s="41" t="s">
        <v>5319</v>
      </c>
      <c r="J2556" s="41" t="s">
        <v>672</v>
      </c>
      <c r="K2556" s="42"/>
      <c r="L2556" s="41" t="s">
        <v>5363</v>
      </c>
      <c r="M2556" s="41">
        <v>220</v>
      </c>
      <c r="N2556" s="41" t="s">
        <v>1988</v>
      </c>
      <c r="O2556" s="41" t="s">
        <v>7847</v>
      </c>
      <c r="P2556" s="41" t="s">
        <v>98</v>
      </c>
      <c r="Q2556" s="41" t="s">
        <v>569</v>
      </c>
      <c r="R2556" s="41" t="s">
        <v>62</v>
      </c>
      <c r="S2556" s="41" t="s">
        <v>7848</v>
      </c>
      <c r="T2556" s="41" t="s">
        <v>5087</v>
      </c>
      <c r="U2556" s="41" t="s">
        <v>604</v>
      </c>
    </row>
    <row r="2557" spans="1:21">
      <c r="A2557" s="41">
        <v>170</v>
      </c>
      <c r="B2557" s="41" t="s">
        <v>7849</v>
      </c>
      <c r="D2557" s="41">
        <v>418</v>
      </c>
      <c r="E2557" s="41" t="s">
        <v>7850</v>
      </c>
      <c r="F2557" s="41" t="s">
        <v>28</v>
      </c>
      <c r="G2557" s="41" t="s">
        <v>64</v>
      </c>
      <c r="I2557" s="41" t="s">
        <v>149</v>
      </c>
      <c r="J2557" s="41" t="s">
        <v>295</v>
      </c>
      <c r="K2557" s="42"/>
      <c r="L2557" s="41" t="s">
        <v>7851</v>
      </c>
      <c r="M2557" s="41">
        <v>66</v>
      </c>
      <c r="N2557" s="41" t="s">
        <v>488</v>
      </c>
      <c r="O2557" s="41" t="s">
        <v>488</v>
      </c>
      <c r="P2557" s="41" t="s">
        <v>98</v>
      </c>
      <c r="Q2557" s="41" t="s">
        <v>98</v>
      </c>
      <c r="R2557" s="41" t="s">
        <v>39</v>
      </c>
      <c r="S2557" s="41" t="s">
        <v>40</v>
      </c>
      <c r="T2557" s="41" t="s">
        <v>40</v>
      </c>
      <c r="U2557" s="41" t="s">
        <v>40</v>
      </c>
    </row>
    <row r="2558" spans="1:21">
      <c r="A2558" s="41">
        <v>348</v>
      </c>
      <c r="B2558" s="41" t="s">
        <v>3169</v>
      </c>
      <c r="D2558" s="41">
        <v>721</v>
      </c>
      <c r="E2558" s="41" t="s">
        <v>3170</v>
      </c>
      <c r="F2558" s="41" t="s">
        <v>53</v>
      </c>
      <c r="G2558" s="41" t="s">
        <v>43</v>
      </c>
      <c r="I2558" s="41" t="s">
        <v>966</v>
      </c>
      <c r="J2558" s="41" t="s">
        <v>380</v>
      </c>
      <c r="K2558" s="42"/>
      <c r="L2558" s="41" t="s">
        <v>3172</v>
      </c>
      <c r="M2558" s="41">
        <v>220</v>
      </c>
      <c r="N2558" s="41" t="s">
        <v>77</v>
      </c>
      <c r="O2558" s="41" t="s">
        <v>77</v>
      </c>
      <c r="P2558" s="41" t="s">
        <v>83</v>
      </c>
      <c r="Q2558" s="41" t="s">
        <v>1357</v>
      </c>
      <c r="R2558" s="41" t="s">
        <v>62</v>
      </c>
      <c r="S2558" s="41" t="s">
        <v>7852</v>
      </c>
      <c r="T2558" s="41" t="s">
        <v>508</v>
      </c>
      <c r="U2558" s="41" t="s">
        <v>4822</v>
      </c>
    </row>
    <row r="2559" spans="1:21">
      <c r="A2559" s="41">
        <v>341</v>
      </c>
      <c r="B2559" s="41" t="s">
        <v>7853</v>
      </c>
      <c r="D2559" s="41">
        <v>718</v>
      </c>
      <c r="E2559" s="41" t="s">
        <v>7154</v>
      </c>
      <c r="F2559" s="41" t="s">
        <v>28</v>
      </c>
      <c r="G2559" s="41" t="s">
        <v>307</v>
      </c>
      <c r="I2559" s="41" t="s">
        <v>7854</v>
      </c>
      <c r="J2559" s="41" t="s">
        <v>295</v>
      </c>
      <c r="K2559" s="42"/>
      <c r="L2559" s="41" t="s">
        <v>7855</v>
      </c>
      <c r="M2559" s="41">
        <v>23</v>
      </c>
      <c r="N2559" s="41" t="s">
        <v>488</v>
      </c>
      <c r="O2559" s="41" t="s">
        <v>488</v>
      </c>
      <c r="P2559" s="41" t="s">
        <v>179</v>
      </c>
      <c r="Q2559" s="41" t="s">
        <v>1116</v>
      </c>
      <c r="R2559" s="41" t="s">
        <v>39</v>
      </c>
      <c r="S2559" s="41" t="s">
        <v>40</v>
      </c>
      <c r="T2559" s="41" t="s">
        <v>40</v>
      </c>
      <c r="U2559" s="41" t="s">
        <v>40</v>
      </c>
    </row>
    <row r="2560" spans="1:21">
      <c r="A2560" s="41">
        <v>358</v>
      </c>
      <c r="B2560" s="41" t="s">
        <v>7856</v>
      </c>
      <c r="D2560" s="41">
        <v>717</v>
      </c>
      <c r="E2560" s="41" t="s">
        <v>7154</v>
      </c>
      <c r="F2560" s="41" t="s">
        <v>28</v>
      </c>
      <c r="G2560" s="41" t="s">
        <v>64</v>
      </c>
      <c r="I2560" s="41" t="s">
        <v>194</v>
      </c>
      <c r="J2560" s="41" t="s">
        <v>295</v>
      </c>
      <c r="K2560" s="42"/>
      <c r="L2560" s="41" t="s">
        <v>7855</v>
      </c>
      <c r="M2560" s="41">
        <v>23</v>
      </c>
      <c r="N2560" s="41" t="s">
        <v>488</v>
      </c>
      <c r="O2560" s="41" t="s">
        <v>488</v>
      </c>
      <c r="P2560" s="41" t="s">
        <v>179</v>
      </c>
      <c r="Q2560" s="41" t="s">
        <v>1116</v>
      </c>
      <c r="R2560" s="41" t="s">
        <v>39</v>
      </c>
      <c r="S2560" s="41" t="s">
        <v>40</v>
      </c>
      <c r="T2560" s="41" t="s">
        <v>40</v>
      </c>
      <c r="U2560" s="41" t="s">
        <v>40</v>
      </c>
    </row>
    <row r="2561" spans="1:21">
      <c r="A2561" s="41">
        <v>184</v>
      </c>
      <c r="B2561" s="41" t="s">
        <v>7857</v>
      </c>
      <c r="D2561" s="41">
        <v>779</v>
      </c>
      <c r="E2561" s="41" t="s">
        <v>4179</v>
      </c>
      <c r="F2561" s="41" t="s">
        <v>28</v>
      </c>
      <c r="G2561" s="41" t="s">
        <v>307</v>
      </c>
      <c r="I2561" s="41" t="s">
        <v>231</v>
      </c>
      <c r="J2561" s="41" t="s">
        <v>295</v>
      </c>
      <c r="K2561" s="42"/>
      <c r="L2561" s="41" t="s">
        <v>7858</v>
      </c>
      <c r="M2561" s="41">
        <v>220</v>
      </c>
      <c r="N2561" s="41" t="s">
        <v>488</v>
      </c>
      <c r="O2561" s="41" t="s">
        <v>757</v>
      </c>
      <c r="P2561" s="41" t="s">
        <v>98</v>
      </c>
      <c r="Q2561" s="41" t="s">
        <v>116</v>
      </c>
      <c r="R2561" s="41" t="s">
        <v>39</v>
      </c>
      <c r="S2561" s="41" t="s">
        <v>40</v>
      </c>
      <c r="T2561" s="41" t="s">
        <v>40</v>
      </c>
      <c r="U2561" s="41" t="s">
        <v>40</v>
      </c>
    </row>
    <row r="2562" spans="1:21">
      <c r="A2562" s="41">
        <v>183</v>
      </c>
      <c r="B2562" s="41" t="s">
        <v>4778</v>
      </c>
      <c r="D2562" s="41">
        <v>778</v>
      </c>
      <c r="E2562" s="41" t="s">
        <v>4779</v>
      </c>
      <c r="F2562" s="41" t="s">
        <v>28</v>
      </c>
      <c r="G2562" s="41" t="s">
        <v>64</v>
      </c>
      <c r="I2562" s="41" t="s">
        <v>406</v>
      </c>
      <c r="J2562" s="41" t="s">
        <v>295</v>
      </c>
      <c r="K2562" s="42"/>
      <c r="L2562" s="41" t="s">
        <v>7859</v>
      </c>
      <c r="M2562" s="41">
        <v>110</v>
      </c>
      <c r="N2562" s="41" t="s">
        <v>488</v>
      </c>
      <c r="O2562" s="41" t="s">
        <v>488</v>
      </c>
      <c r="P2562" s="41" t="s">
        <v>179</v>
      </c>
      <c r="Q2562" s="41" t="s">
        <v>532</v>
      </c>
      <c r="R2562" s="41" t="s">
        <v>39</v>
      </c>
      <c r="S2562" s="41" t="s">
        <v>40</v>
      </c>
      <c r="T2562" s="41" t="s">
        <v>40</v>
      </c>
      <c r="U2562" s="41" t="s">
        <v>40</v>
      </c>
    </row>
    <row r="2563" spans="1:21">
      <c r="A2563" s="41">
        <v>181</v>
      </c>
      <c r="B2563" s="41" t="s">
        <v>7860</v>
      </c>
      <c r="D2563" s="41">
        <v>500</v>
      </c>
      <c r="E2563" s="41" t="s">
        <v>7861</v>
      </c>
      <c r="F2563" s="41" t="s">
        <v>28</v>
      </c>
      <c r="G2563" s="41" t="s">
        <v>43</v>
      </c>
      <c r="I2563" s="41" t="s">
        <v>1068</v>
      </c>
      <c r="J2563" s="41" t="s">
        <v>1906</v>
      </c>
      <c r="K2563" s="42"/>
      <c r="L2563" s="41" t="s">
        <v>7862</v>
      </c>
      <c r="M2563" s="41">
        <v>110</v>
      </c>
      <c r="N2563" s="41" t="s">
        <v>488</v>
      </c>
      <c r="O2563" s="41" t="s">
        <v>488</v>
      </c>
      <c r="P2563" s="41" t="s">
        <v>83</v>
      </c>
      <c r="Q2563" s="41" t="s">
        <v>461</v>
      </c>
      <c r="R2563" s="41" t="s">
        <v>39</v>
      </c>
      <c r="S2563" s="41" t="s">
        <v>40</v>
      </c>
      <c r="T2563" s="41" t="s">
        <v>40</v>
      </c>
      <c r="U2563" s="41" t="s">
        <v>40</v>
      </c>
    </row>
    <row r="2564" spans="1:21">
      <c r="A2564" s="41">
        <v>182</v>
      </c>
      <c r="B2564" s="41" t="s">
        <v>7863</v>
      </c>
      <c r="D2564" s="41">
        <v>501</v>
      </c>
      <c r="E2564" s="41" t="s">
        <v>7861</v>
      </c>
      <c r="F2564" s="41" t="s">
        <v>28</v>
      </c>
      <c r="G2564" s="41" t="s">
        <v>43</v>
      </c>
      <c r="I2564" s="41" t="s">
        <v>7864</v>
      </c>
      <c r="J2564" s="41" t="s">
        <v>1906</v>
      </c>
      <c r="K2564" s="42"/>
      <c r="L2564" s="41" t="s">
        <v>7862</v>
      </c>
      <c r="M2564" s="41">
        <v>110</v>
      </c>
      <c r="N2564" s="41" t="s">
        <v>488</v>
      </c>
      <c r="O2564" s="41" t="s">
        <v>488</v>
      </c>
      <c r="P2564" s="41" t="s">
        <v>83</v>
      </c>
      <c r="Q2564" s="41" t="s">
        <v>461</v>
      </c>
      <c r="R2564" s="41" t="s">
        <v>39</v>
      </c>
      <c r="S2564" s="41" t="s">
        <v>40</v>
      </c>
      <c r="T2564" s="41" t="s">
        <v>40</v>
      </c>
      <c r="U2564" s="41" t="s">
        <v>40</v>
      </c>
    </row>
    <row r="2565" spans="1:21">
      <c r="A2565" s="41">
        <v>196</v>
      </c>
      <c r="B2565" s="41" t="s">
        <v>7865</v>
      </c>
      <c r="D2565" s="41">
        <v>957</v>
      </c>
      <c r="E2565" s="41" t="s">
        <v>7866</v>
      </c>
      <c r="F2565" s="41" t="s">
        <v>28</v>
      </c>
      <c r="G2565" s="41" t="s">
        <v>307</v>
      </c>
      <c r="I2565" s="41" t="s">
        <v>7867</v>
      </c>
      <c r="J2565" s="41" t="s">
        <v>1906</v>
      </c>
      <c r="K2565" s="42"/>
      <c r="L2565" s="41" t="s">
        <v>3637</v>
      </c>
      <c r="M2565" s="41">
        <v>220</v>
      </c>
      <c r="N2565" s="41" t="s">
        <v>488</v>
      </c>
      <c r="O2565" s="41" t="s">
        <v>488</v>
      </c>
      <c r="P2565" s="41" t="s">
        <v>382</v>
      </c>
      <c r="Q2565" s="41" t="s">
        <v>7868</v>
      </c>
      <c r="R2565" s="41" t="s">
        <v>39</v>
      </c>
      <c r="S2565" s="41" t="s">
        <v>40</v>
      </c>
      <c r="T2565" s="41" t="s">
        <v>40</v>
      </c>
      <c r="U2565" s="41" t="s">
        <v>40</v>
      </c>
    </row>
    <row r="2566" spans="1:21">
      <c r="A2566" s="41">
        <v>187</v>
      </c>
      <c r="B2566" s="41" t="s">
        <v>7869</v>
      </c>
      <c r="D2566" s="41">
        <v>729</v>
      </c>
      <c r="E2566" s="41" t="s">
        <v>7870</v>
      </c>
      <c r="F2566" s="41" t="s">
        <v>28</v>
      </c>
      <c r="G2566" s="41" t="s">
        <v>64</v>
      </c>
      <c r="I2566" s="41" t="s">
        <v>1183</v>
      </c>
      <c r="J2566" s="41" t="s">
        <v>380</v>
      </c>
      <c r="K2566" s="42"/>
      <c r="L2566" s="41" t="s">
        <v>7871</v>
      </c>
      <c r="M2566" s="41">
        <v>220</v>
      </c>
      <c r="N2566" s="41" t="s">
        <v>488</v>
      </c>
      <c r="O2566" s="41" t="s">
        <v>488</v>
      </c>
      <c r="P2566" s="41" t="s">
        <v>37</v>
      </c>
      <c r="Q2566" s="41" t="s">
        <v>1661</v>
      </c>
      <c r="R2566" s="41" t="s">
        <v>39</v>
      </c>
      <c r="S2566" s="41" t="s">
        <v>40</v>
      </c>
      <c r="T2566" s="41" t="s">
        <v>40</v>
      </c>
      <c r="U2566" s="41" t="s">
        <v>40</v>
      </c>
    </row>
    <row r="2567" spans="1:21">
      <c r="A2567" s="41">
        <v>356</v>
      </c>
      <c r="B2567" s="41" t="s">
        <v>7872</v>
      </c>
      <c r="D2567" s="41">
        <v>446</v>
      </c>
      <c r="E2567" s="41" t="s">
        <v>7422</v>
      </c>
      <c r="F2567" s="41" t="s">
        <v>28</v>
      </c>
      <c r="G2567" s="41" t="s">
        <v>43</v>
      </c>
      <c r="I2567" s="41" t="s">
        <v>7873</v>
      </c>
      <c r="J2567" s="41" t="s">
        <v>672</v>
      </c>
      <c r="K2567" s="42"/>
      <c r="L2567" s="41" t="s">
        <v>7424</v>
      </c>
      <c r="M2567" s="41">
        <v>23</v>
      </c>
      <c r="N2567" s="41" t="s">
        <v>488</v>
      </c>
      <c r="O2567" s="41" t="s">
        <v>488</v>
      </c>
      <c r="P2567" s="41" t="s">
        <v>179</v>
      </c>
      <c r="Q2567" s="41" t="s">
        <v>524</v>
      </c>
      <c r="R2567" s="41" t="s">
        <v>39</v>
      </c>
      <c r="S2567" s="41" t="s">
        <v>40</v>
      </c>
      <c r="T2567" s="41" t="s">
        <v>40</v>
      </c>
      <c r="U2567" s="41" t="s">
        <v>40</v>
      </c>
    </row>
    <row r="2568" spans="1:21">
      <c r="A2568" s="41">
        <v>169</v>
      </c>
      <c r="B2568" s="41" t="s">
        <v>7874</v>
      </c>
      <c r="D2568" s="41">
        <v>93</v>
      </c>
      <c r="E2568" s="41" t="s">
        <v>7875</v>
      </c>
      <c r="F2568" s="41" t="s">
        <v>28</v>
      </c>
      <c r="G2568" s="41" t="s">
        <v>307</v>
      </c>
      <c r="I2568" s="41" t="s">
        <v>2572</v>
      </c>
      <c r="J2568" s="41" t="s">
        <v>295</v>
      </c>
      <c r="K2568" s="42"/>
      <c r="L2568" s="41" t="s">
        <v>7876</v>
      </c>
      <c r="M2568" s="41">
        <v>220</v>
      </c>
      <c r="N2568" s="41" t="s">
        <v>488</v>
      </c>
      <c r="O2568" s="41" t="s">
        <v>488</v>
      </c>
      <c r="P2568" s="41" t="s">
        <v>98</v>
      </c>
      <c r="Q2568" s="41" t="s">
        <v>116</v>
      </c>
      <c r="R2568" s="41" t="s">
        <v>39</v>
      </c>
      <c r="S2568" s="41" t="s">
        <v>40</v>
      </c>
      <c r="T2568" s="41" t="s">
        <v>40</v>
      </c>
      <c r="U2568" s="41" t="s">
        <v>40</v>
      </c>
    </row>
    <row r="2569" spans="1:21">
      <c r="A2569" s="41">
        <v>260</v>
      </c>
      <c r="B2569" s="41" t="s">
        <v>7877</v>
      </c>
      <c r="D2569" s="41">
        <v>667</v>
      </c>
      <c r="E2569" s="41" t="s">
        <v>7878</v>
      </c>
      <c r="F2569" s="41" t="s">
        <v>53</v>
      </c>
      <c r="G2569" s="41" t="s">
        <v>307</v>
      </c>
      <c r="I2569" s="41" t="s">
        <v>7879</v>
      </c>
      <c r="J2569" s="41" t="s">
        <v>672</v>
      </c>
      <c r="K2569" s="42"/>
      <c r="L2569" s="41" t="s">
        <v>7289</v>
      </c>
      <c r="M2569" s="41">
        <v>220</v>
      </c>
      <c r="N2569" s="41" t="s">
        <v>7880</v>
      </c>
      <c r="O2569" s="41" t="s">
        <v>7881</v>
      </c>
      <c r="P2569" s="41" t="s">
        <v>98</v>
      </c>
      <c r="Q2569" s="41" t="s">
        <v>491</v>
      </c>
      <c r="R2569" s="41" t="s">
        <v>62</v>
      </c>
      <c r="S2569" s="41" t="s">
        <v>7442</v>
      </c>
      <c r="T2569" s="41" t="s">
        <v>40</v>
      </c>
      <c r="U2569" s="41" t="s">
        <v>40</v>
      </c>
    </row>
    <row r="2570" spans="1:21">
      <c r="A2570" s="41">
        <v>54</v>
      </c>
      <c r="B2570" s="41" t="s">
        <v>7882</v>
      </c>
      <c r="D2570" s="41">
        <v>666</v>
      </c>
      <c r="E2570" s="41" t="s">
        <v>7883</v>
      </c>
      <c r="F2570" s="41" t="s">
        <v>53</v>
      </c>
      <c r="G2570" s="41" t="s">
        <v>43</v>
      </c>
      <c r="I2570" s="41" t="s">
        <v>7884</v>
      </c>
      <c r="J2570" s="41" t="s">
        <v>672</v>
      </c>
      <c r="K2570" s="42"/>
      <c r="L2570" s="41" t="s">
        <v>7885</v>
      </c>
      <c r="M2570" s="41">
        <v>66</v>
      </c>
      <c r="N2570" s="41" t="s">
        <v>619</v>
      </c>
      <c r="O2570" s="41" t="s">
        <v>488</v>
      </c>
      <c r="P2570" s="41" t="s">
        <v>153</v>
      </c>
      <c r="Q2570" s="41" t="s">
        <v>1757</v>
      </c>
      <c r="R2570" s="41" t="s">
        <v>132</v>
      </c>
      <c r="S2570" s="41" t="s">
        <v>40</v>
      </c>
      <c r="T2570" s="41" t="s">
        <v>40</v>
      </c>
      <c r="U2570" s="41" t="s">
        <v>40</v>
      </c>
    </row>
    <row r="2571" spans="1:21">
      <c r="A2571" s="41">
        <v>180</v>
      </c>
      <c r="B2571" s="41" t="s">
        <v>7886</v>
      </c>
      <c r="D2571" s="41">
        <v>652</v>
      </c>
      <c r="E2571" s="41" t="s">
        <v>7887</v>
      </c>
      <c r="F2571" s="41" t="s">
        <v>28</v>
      </c>
      <c r="G2571" s="41" t="s">
        <v>43</v>
      </c>
      <c r="I2571" s="41" t="s">
        <v>2820</v>
      </c>
      <c r="J2571" s="41" t="s">
        <v>1906</v>
      </c>
      <c r="K2571" s="42"/>
      <c r="L2571" s="41" t="s">
        <v>7888</v>
      </c>
      <c r="M2571" s="41">
        <v>110</v>
      </c>
      <c r="N2571" s="41" t="s">
        <v>488</v>
      </c>
      <c r="O2571" s="41" t="s">
        <v>488</v>
      </c>
      <c r="P2571" s="41" t="s">
        <v>68</v>
      </c>
      <c r="Q2571" s="41" t="s">
        <v>2440</v>
      </c>
      <c r="R2571" s="41" t="s">
        <v>39</v>
      </c>
      <c r="S2571" s="41" t="s">
        <v>40</v>
      </c>
      <c r="T2571" s="41" t="s">
        <v>40</v>
      </c>
      <c r="U2571" s="41" t="s">
        <v>40</v>
      </c>
    </row>
    <row r="2572" spans="1:21">
      <c r="A2572" s="41">
        <v>357</v>
      </c>
      <c r="B2572" s="41" t="s">
        <v>612</v>
      </c>
      <c r="D2572" s="41">
        <v>650</v>
      </c>
      <c r="E2572" s="41" t="s">
        <v>27</v>
      </c>
      <c r="F2572" s="41" t="s">
        <v>53</v>
      </c>
      <c r="G2572" s="41" t="s">
        <v>43</v>
      </c>
      <c r="I2572" s="41" t="s">
        <v>194</v>
      </c>
      <c r="J2572" s="41" t="s">
        <v>295</v>
      </c>
      <c r="K2572" s="42"/>
      <c r="L2572" s="41" t="s">
        <v>615</v>
      </c>
      <c r="M2572" s="41">
        <v>23</v>
      </c>
      <c r="N2572" s="41" t="s">
        <v>290</v>
      </c>
      <c r="O2572" s="41" t="s">
        <v>77</v>
      </c>
      <c r="P2572" s="41" t="s">
        <v>50</v>
      </c>
      <c r="Q2572" s="41" t="s">
        <v>51</v>
      </c>
      <c r="R2572" s="41" t="s">
        <v>132</v>
      </c>
      <c r="S2572" s="41" t="s">
        <v>40</v>
      </c>
      <c r="T2572" s="41" t="s">
        <v>40</v>
      </c>
      <c r="U2572" s="41" t="s">
        <v>40</v>
      </c>
    </row>
    <row r="2573" spans="1:21">
      <c r="A2573" s="41">
        <v>53</v>
      </c>
      <c r="B2573" s="41" t="s">
        <v>7889</v>
      </c>
      <c r="D2573" s="41">
        <v>664</v>
      </c>
      <c r="E2573" s="41" t="s">
        <v>7767</v>
      </c>
      <c r="F2573" s="41" t="s">
        <v>53</v>
      </c>
      <c r="G2573" s="41" t="s">
        <v>43</v>
      </c>
      <c r="I2573" s="41" t="s">
        <v>4488</v>
      </c>
      <c r="J2573" s="41" t="s">
        <v>380</v>
      </c>
      <c r="K2573" s="42"/>
      <c r="L2573" s="41" t="s">
        <v>7890</v>
      </c>
      <c r="M2573" s="41">
        <v>220</v>
      </c>
      <c r="N2573" s="41" t="s">
        <v>7891</v>
      </c>
      <c r="O2573" s="41" t="s">
        <v>4799</v>
      </c>
      <c r="P2573" s="41" t="s">
        <v>37</v>
      </c>
      <c r="Q2573" s="41" t="s">
        <v>969</v>
      </c>
      <c r="R2573" s="41" t="s">
        <v>62</v>
      </c>
      <c r="S2573" s="41" t="s">
        <v>7892</v>
      </c>
      <c r="T2573" s="41" t="s">
        <v>5087</v>
      </c>
      <c r="U2573" s="41" t="s">
        <v>1773</v>
      </c>
    </row>
    <row r="2574" spans="1:21">
      <c r="A2574" s="41">
        <v>259</v>
      </c>
      <c r="B2574" s="41" t="s">
        <v>7893</v>
      </c>
      <c r="D2574" s="41">
        <v>665</v>
      </c>
      <c r="E2574" s="41" t="s">
        <v>4243</v>
      </c>
      <c r="F2574" s="41" t="s">
        <v>53</v>
      </c>
      <c r="G2574" s="41" t="s">
        <v>307</v>
      </c>
      <c r="I2574" s="41" t="s">
        <v>1370</v>
      </c>
      <c r="J2574" s="41" t="s">
        <v>295</v>
      </c>
      <c r="K2574" s="42"/>
      <c r="L2574" s="41" t="s">
        <v>4592</v>
      </c>
      <c r="M2574" s="41">
        <v>220</v>
      </c>
      <c r="N2574" s="41" t="s">
        <v>7894</v>
      </c>
      <c r="O2574" s="41" t="s">
        <v>488</v>
      </c>
      <c r="P2574" s="41" t="s">
        <v>546</v>
      </c>
      <c r="Q2574" s="41" t="s">
        <v>2100</v>
      </c>
      <c r="R2574" s="41" t="s">
        <v>62</v>
      </c>
      <c r="S2574" s="41" t="s">
        <v>7299</v>
      </c>
      <c r="T2574" s="41" t="s">
        <v>40</v>
      </c>
      <c r="U2574" s="41" t="s">
        <v>40</v>
      </c>
    </row>
    <row r="2575" spans="1:21">
      <c r="A2575" s="41">
        <v>258</v>
      </c>
      <c r="B2575" s="41" t="s">
        <v>4834</v>
      </c>
      <c r="D2575" s="41">
        <v>640</v>
      </c>
      <c r="E2575" s="41" t="s">
        <v>4835</v>
      </c>
      <c r="F2575" s="41" t="s">
        <v>53</v>
      </c>
      <c r="G2575" s="41" t="s">
        <v>64</v>
      </c>
      <c r="I2575" s="41" t="s">
        <v>4836</v>
      </c>
      <c r="J2575" s="41" t="s">
        <v>1906</v>
      </c>
      <c r="K2575" s="42"/>
      <c r="L2575" s="41" t="s">
        <v>5004</v>
      </c>
      <c r="M2575" s="41">
        <v>220</v>
      </c>
      <c r="N2575" s="41" t="s">
        <v>2432</v>
      </c>
      <c r="O2575" s="41" t="s">
        <v>488</v>
      </c>
      <c r="P2575" s="41" t="s">
        <v>37</v>
      </c>
      <c r="Q2575" s="41" t="s">
        <v>1661</v>
      </c>
      <c r="R2575" s="41" t="s">
        <v>62</v>
      </c>
      <c r="S2575" s="41" t="s">
        <v>7895</v>
      </c>
      <c r="T2575" s="41" t="s">
        <v>40</v>
      </c>
      <c r="U2575" s="41" t="s">
        <v>40</v>
      </c>
    </row>
    <row r="2576" spans="1:21">
      <c r="A2576" s="41">
        <v>179</v>
      </c>
      <c r="B2576" s="41" t="s">
        <v>7896</v>
      </c>
      <c r="D2576" s="41">
        <v>638</v>
      </c>
      <c r="E2576" s="41" t="s">
        <v>7897</v>
      </c>
      <c r="F2576" s="41" t="s">
        <v>28</v>
      </c>
      <c r="G2576" s="41" t="s">
        <v>307</v>
      </c>
      <c r="I2576" s="41" t="s">
        <v>7898</v>
      </c>
      <c r="J2576" s="41" t="s">
        <v>7899</v>
      </c>
      <c r="K2576" s="42"/>
      <c r="L2576" s="41" t="s">
        <v>7900</v>
      </c>
      <c r="M2576" s="41">
        <v>220</v>
      </c>
      <c r="N2576" s="41" t="s">
        <v>488</v>
      </c>
      <c r="O2576" s="41" t="s">
        <v>488</v>
      </c>
      <c r="P2576" s="41" t="s">
        <v>98</v>
      </c>
      <c r="Q2576" s="41" t="s">
        <v>7693</v>
      </c>
      <c r="R2576" s="41" t="s">
        <v>39</v>
      </c>
      <c r="S2576" s="41" t="s">
        <v>40</v>
      </c>
      <c r="T2576" s="41" t="s">
        <v>40</v>
      </c>
      <c r="U2576" s="41" t="s">
        <v>40</v>
      </c>
    </row>
    <row r="2577" spans="1:21">
      <c r="A2577" s="41">
        <v>63</v>
      </c>
      <c r="B2577" s="41" t="s">
        <v>7901</v>
      </c>
      <c r="D2577" s="41">
        <v>929</v>
      </c>
      <c r="E2577" s="41" t="s">
        <v>7902</v>
      </c>
      <c r="F2577" s="41" t="s">
        <v>53</v>
      </c>
      <c r="G2577" s="41" t="s">
        <v>43</v>
      </c>
      <c r="I2577" s="41" t="s">
        <v>7903</v>
      </c>
      <c r="J2577" s="41" t="s">
        <v>295</v>
      </c>
      <c r="K2577" s="42"/>
      <c r="L2577" s="41" t="s">
        <v>4731</v>
      </c>
      <c r="M2577" s="41">
        <v>110</v>
      </c>
      <c r="N2577" s="41" t="s">
        <v>7904</v>
      </c>
      <c r="O2577" s="41" t="s">
        <v>7905</v>
      </c>
      <c r="P2577" s="41" t="s">
        <v>172</v>
      </c>
      <c r="Q2577" s="41" t="s">
        <v>1104</v>
      </c>
      <c r="R2577" s="41" t="s">
        <v>132</v>
      </c>
      <c r="S2577" s="41" t="s">
        <v>7906</v>
      </c>
      <c r="T2577" s="41" t="s">
        <v>40</v>
      </c>
      <c r="U2577" s="41" t="s">
        <v>40</v>
      </c>
    </row>
    <row r="2578" spans="1:21">
      <c r="A2578" s="41">
        <v>55</v>
      </c>
      <c r="B2578" s="41" t="s">
        <v>7907</v>
      </c>
      <c r="D2578" s="41">
        <v>731</v>
      </c>
      <c r="E2578" s="41" t="s">
        <v>981</v>
      </c>
      <c r="F2578" s="41" t="s">
        <v>53</v>
      </c>
      <c r="G2578" s="41" t="s">
        <v>64</v>
      </c>
      <c r="I2578" s="41" t="s">
        <v>231</v>
      </c>
      <c r="J2578" s="41" t="s">
        <v>295</v>
      </c>
      <c r="K2578" s="42"/>
      <c r="L2578" s="41" t="s">
        <v>6171</v>
      </c>
      <c r="M2578" s="41">
        <v>110</v>
      </c>
      <c r="N2578" s="41" t="s">
        <v>6172</v>
      </c>
      <c r="O2578" s="41" t="s">
        <v>7908</v>
      </c>
      <c r="P2578" s="41" t="s">
        <v>179</v>
      </c>
      <c r="Q2578" s="41" t="s">
        <v>592</v>
      </c>
      <c r="R2578" s="41" t="s">
        <v>132</v>
      </c>
      <c r="S2578" s="41" t="s">
        <v>7024</v>
      </c>
      <c r="T2578" s="41" t="s">
        <v>40</v>
      </c>
      <c r="U2578" s="41" t="s">
        <v>40</v>
      </c>
    </row>
    <row r="2579" spans="1:21">
      <c r="A2579" s="41">
        <v>185</v>
      </c>
      <c r="B2579" s="41" t="s">
        <v>7909</v>
      </c>
      <c r="D2579" s="41">
        <v>257</v>
      </c>
      <c r="E2579" s="41" t="s">
        <v>7910</v>
      </c>
      <c r="F2579" s="41" t="s">
        <v>28</v>
      </c>
      <c r="G2579" s="41" t="s">
        <v>64</v>
      </c>
      <c r="I2579" s="41" t="s">
        <v>7911</v>
      </c>
      <c r="J2579" s="41" t="s">
        <v>380</v>
      </c>
      <c r="K2579" s="42"/>
      <c r="L2579" s="41" t="s">
        <v>7912</v>
      </c>
      <c r="M2579" s="41">
        <v>220</v>
      </c>
      <c r="N2579" s="41" t="s">
        <v>488</v>
      </c>
      <c r="O2579" s="41" t="s">
        <v>488</v>
      </c>
      <c r="P2579" s="41" t="s">
        <v>37</v>
      </c>
      <c r="Q2579" s="41" t="s">
        <v>38</v>
      </c>
      <c r="R2579" s="41" t="s">
        <v>39</v>
      </c>
      <c r="S2579" s="41" t="s">
        <v>40</v>
      </c>
      <c r="T2579" s="41" t="s">
        <v>40</v>
      </c>
      <c r="U2579" s="41" t="s">
        <v>40</v>
      </c>
    </row>
    <row r="2580" spans="1:21">
      <c r="A2580" s="41">
        <v>173</v>
      </c>
      <c r="B2580" s="41" t="s">
        <v>7913</v>
      </c>
      <c r="D2580" s="41">
        <v>557</v>
      </c>
      <c r="E2580" s="41" t="s">
        <v>7914</v>
      </c>
      <c r="F2580" s="41" t="s">
        <v>28</v>
      </c>
      <c r="G2580" s="41" t="s">
        <v>43</v>
      </c>
      <c r="I2580" s="41" t="s">
        <v>3101</v>
      </c>
      <c r="J2580" s="41" t="s">
        <v>380</v>
      </c>
      <c r="K2580" s="42"/>
      <c r="L2580" s="41" t="s">
        <v>7915</v>
      </c>
      <c r="M2580" s="41">
        <v>220</v>
      </c>
      <c r="N2580" s="41" t="s">
        <v>488</v>
      </c>
      <c r="O2580" s="41" t="s">
        <v>488</v>
      </c>
      <c r="P2580" s="41" t="s">
        <v>37</v>
      </c>
      <c r="Q2580" s="41" t="s">
        <v>969</v>
      </c>
      <c r="R2580" s="41" t="s">
        <v>39</v>
      </c>
      <c r="S2580" s="41" t="s">
        <v>40</v>
      </c>
      <c r="T2580" s="41" t="s">
        <v>40</v>
      </c>
      <c r="U2580" s="41" t="s">
        <v>40</v>
      </c>
    </row>
    <row r="2581" spans="1:21">
      <c r="A2581" s="41">
        <v>168</v>
      </c>
      <c r="B2581" s="41" t="s">
        <v>7916</v>
      </c>
      <c r="D2581" s="41">
        <v>482</v>
      </c>
      <c r="E2581" s="41" t="s">
        <v>7917</v>
      </c>
      <c r="F2581" s="41" t="s">
        <v>28</v>
      </c>
      <c r="G2581" s="41" t="s">
        <v>43</v>
      </c>
      <c r="I2581" s="41" t="s">
        <v>7918</v>
      </c>
      <c r="J2581" s="41" t="s">
        <v>1906</v>
      </c>
      <c r="K2581" s="42"/>
      <c r="L2581" s="41" t="s">
        <v>7919</v>
      </c>
      <c r="M2581" s="41">
        <v>220</v>
      </c>
      <c r="N2581" s="41" t="s">
        <v>488</v>
      </c>
      <c r="O2581" s="41" t="s">
        <v>488</v>
      </c>
      <c r="P2581" s="41" t="s">
        <v>37</v>
      </c>
      <c r="Q2581" s="41" t="s">
        <v>2769</v>
      </c>
      <c r="R2581" s="41" t="s">
        <v>39</v>
      </c>
      <c r="S2581" s="41" t="s">
        <v>40</v>
      </c>
      <c r="T2581" s="41" t="s">
        <v>40</v>
      </c>
      <c r="U2581" s="41" t="s">
        <v>40</v>
      </c>
    </row>
    <row r="2582" spans="1:21">
      <c r="A2582" s="41">
        <v>177</v>
      </c>
      <c r="B2582" s="41" t="s">
        <v>7920</v>
      </c>
      <c r="D2582" s="41">
        <v>613</v>
      </c>
      <c r="E2582" s="41" t="s">
        <v>2664</v>
      </c>
      <c r="F2582" s="41" t="s">
        <v>28</v>
      </c>
      <c r="G2582" s="41" t="s">
        <v>307</v>
      </c>
      <c r="I2582" s="41" t="s">
        <v>231</v>
      </c>
      <c r="J2582" s="41" t="s">
        <v>672</v>
      </c>
      <c r="K2582" s="42"/>
      <c r="L2582" s="41" t="s">
        <v>7921</v>
      </c>
      <c r="M2582" s="41">
        <v>110</v>
      </c>
      <c r="N2582" s="41" t="s">
        <v>488</v>
      </c>
      <c r="O2582" s="41" t="s">
        <v>488</v>
      </c>
      <c r="P2582" s="41" t="s">
        <v>98</v>
      </c>
      <c r="Q2582" s="41" t="s">
        <v>98</v>
      </c>
      <c r="R2582" s="41" t="s">
        <v>39</v>
      </c>
      <c r="S2582" s="41" t="s">
        <v>40</v>
      </c>
      <c r="T2582" s="41" t="s">
        <v>40</v>
      </c>
      <c r="U2582" s="41" t="s">
        <v>40</v>
      </c>
    </row>
    <row r="2583" spans="1:21">
      <c r="A2583" s="41">
        <v>52</v>
      </c>
      <c r="B2583" s="41" t="s">
        <v>7922</v>
      </c>
      <c r="D2583" s="41">
        <v>421</v>
      </c>
      <c r="E2583" s="41" t="s">
        <v>2342</v>
      </c>
      <c r="F2583" s="41" t="s">
        <v>53</v>
      </c>
      <c r="G2583" s="41" t="s">
        <v>307</v>
      </c>
      <c r="I2583" s="41" t="s">
        <v>56</v>
      </c>
      <c r="J2583" s="41" t="s">
        <v>295</v>
      </c>
      <c r="K2583" s="42"/>
      <c r="L2583" s="41" t="s">
        <v>4731</v>
      </c>
      <c r="M2583" s="41">
        <v>110</v>
      </c>
      <c r="N2583" s="41" t="s">
        <v>2432</v>
      </c>
      <c r="O2583" s="41" t="s">
        <v>741</v>
      </c>
      <c r="P2583" s="41" t="s">
        <v>172</v>
      </c>
      <c r="Q2583" s="41" t="s">
        <v>197</v>
      </c>
      <c r="R2583" s="41" t="s">
        <v>132</v>
      </c>
      <c r="S2583" s="41" t="s">
        <v>7923</v>
      </c>
      <c r="T2583" s="41" t="s">
        <v>506</v>
      </c>
      <c r="U2583" s="41" t="s">
        <v>706</v>
      </c>
    </row>
    <row r="2584" spans="1:21">
      <c r="A2584" s="41">
        <v>257</v>
      </c>
      <c r="B2584" s="41" t="s">
        <v>7924</v>
      </c>
      <c r="D2584" s="41">
        <v>575</v>
      </c>
      <c r="E2584" s="41" t="s">
        <v>7925</v>
      </c>
      <c r="F2584" s="41" t="s">
        <v>53</v>
      </c>
      <c r="G2584" s="41" t="s">
        <v>307</v>
      </c>
      <c r="I2584" s="41" t="s">
        <v>1520</v>
      </c>
      <c r="J2584" s="41" t="s">
        <v>295</v>
      </c>
      <c r="K2584" s="42"/>
      <c r="L2584" s="41" t="s">
        <v>1842</v>
      </c>
      <c r="M2584" s="41">
        <v>220</v>
      </c>
      <c r="N2584" s="41" t="s">
        <v>619</v>
      </c>
      <c r="O2584" s="41" t="s">
        <v>452</v>
      </c>
      <c r="P2584" s="41" t="s">
        <v>179</v>
      </c>
      <c r="Q2584" s="41" t="s">
        <v>592</v>
      </c>
      <c r="R2584" s="41" t="s">
        <v>62</v>
      </c>
      <c r="S2584" s="41" t="s">
        <v>7926</v>
      </c>
      <c r="T2584" s="41" t="s">
        <v>40</v>
      </c>
      <c r="U2584" s="41" t="s">
        <v>40</v>
      </c>
    </row>
    <row r="2585" spans="1:21">
      <c r="A2585" s="41">
        <v>51</v>
      </c>
      <c r="B2585" s="41" t="s">
        <v>7927</v>
      </c>
      <c r="D2585" s="41">
        <v>574</v>
      </c>
      <c r="E2585" s="41" t="s">
        <v>7928</v>
      </c>
      <c r="F2585" s="41" t="s">
        <v>53</v>
      </c>
      <c r="G2585" s="41" t="s">
        <v>64</v>
      </c>
      <c r="I2585" s="41" t="s">
        <v>7929</v>
      </c>
      <c r="J2585" s="41" t="s">
        <v>380</v>
      </c>
      <c r="K2585" s="42"/>
      <c r="L2585" s="41" t="s">
        <v>7448</v>
      </c>
      <c r="M2585" s="41">
        <v>220</v>
      </c>
      <c r="N2585" s="41" t="s">
        <v>488</v>
      </c>
      <c r="O2585" s="41" t="s">
        <v>488</v>
      </c>
      <c r="P2585" s="41" t="s">
        <v>1046</v>
      </c>
      <c r="Q2585" s="41" t="s">
        <v>3389</v>
      </c>
      <c r="R2585" s="41" t="s">
        <v>62</v>
      </c>
      <c r="S2585" s="41" t="s">
        <v>7930</v>
      </c>
      <c r="T2585" s="41" t="s">
        <v>40</v>
      </c>
      <c r="U2585" s="41" t="s">
        <v>40</v>
      </c>
    </row>
    <row r="2586" spans="1:21">
      <c r="A2586" s="41">
        <v>64</v>
      </c>
      <c r="B2586" s="41" t="s">
        <v>7931</v>
      </c>
      <c r="D2586" s="41">
        <v>955</v>
      </c>
      <c r="E2586" s="41" t="s">
        <v>7231</v>
      </c>
      <c r="F2586" s="41" t="s">
        <v>53</v>
      </c>
      <c r="G2586" s="41" t="s">
        <v>43</v>
      </c>
      <c r="I2586" s="41" t="s">
        <v>7932</v>
      </c>
      <c r="J2586" s="41" t="s">
        <v>295</v>
      </c>
      <c r="K2586" s="42"/>
      <c r="L2586" s="41" t="s">
        <v>1842</v>
      </c>
      <c r="M2586" s="41">
        <v>220</v>
      </c>
      <c r="N2586" s="41" t="s">
        <v>7933</v>
      </c>
      <c r="O2586" s="41" t="s">
        <v>7934</v>
      </c>
      <c r="P2586" s="41" t="s">
        <v>179</v>
      </c>
      <c r="Q2586" s="41" t="s">
        <v>592</v>
      </c>
      <c r="R2586" s="41" t="s">
        <v>62</v>
      </c>
      <c r="S2586" s="41" t="s">
        <v>7045</v>
      </c>
      <c r="T2586" s="41" t="s">
        <v>706</v>
      </c>
      <c r="U2586" s="41" t="s">
        <v>40</v>
      </c>
    </row>
    <row r="2587" spans="1:21">
      <c r="A2587" s="41">
        <v>190</v>
      </c>
      <c r="B2587" s="41" t="s">
        <v>7935</v>
      </c>
      <c r="D2587" s="41">
        <v>927</v>
      </c>
      <c r="E2587" s="41" t="s">
        <v>7936</v>
      </c>
      <c r="F2587" s="41" t="s">
        <v>28</v>
      </c>
      <c r="G2587" s="41" t="s">
        <v>307</v>
      </c>
      <c r="I2587" s="41" t="s">
        <v>3473</v>
      </c>
      <c r="J2587" s="41" t="s">
        <v>1906</v>
      </c>
      <c r="K2587" s="42"/>
      <c r="L2587" s="41" t="s">
        <v>7937</v>
      </c>
      <c r="M2587" s="41">
        <v>23</v>
      </c>
      <c r="N2587" s="41" t="s">
        <v>488</v>
      </c>
      <c r="O2587" s="41" t="s">
        <v>488</v>
      </c>
      <c r="P2587" s="41" t="s">
        <v>382</v>
      </c>
      <c r="Q2587" s="41" t="s">
        <v>7868</v>
      </c>
      <c r="R2587" s="41" t="s">
        <v>39</v>
      </c>
      <c r="S2587" s="41" t="s">
        <v>40</v>
      </c>
      <c r="T2587" s="41" t="s">
        <v>40</v>
      </c>
      <c r="U2587" s="41" t="s">
        <v>40</v>
      </c>
    </row>
    <row r="2588" spans="1:21">
      <c r="A2588" s="41">
        <v>347</v>
      </c>
      <c r="B2588" s="41" t="s">
        <v>7938</v>
      </c>
      <c r="D2588" s="41">
        <v>562</v>
      </c>
      <c r="E2588" s="41" t="s">
        <v>1227</v>
      </c>
      <c r="F2588" s="41" t="s">
        <v>53</v>
      </c>
      <c r="G2588" s="41" t="s">
        <v>64</v>
      </c>
      <c r="I2588" s="41" t="s">
        <v>1425</v>
      </c>
      <c r="J2588" s="41" t="s">
        <v>7297</v>
      </c>
      <c r="K2588" s="42"/>
      <c r="L2588" s="41" t="s">
        <v>7939</v>
      </c>
      <c r="M2588" s="41">
        <v>66</v>
      </c>
      <c r="N2588" s="41" t="s">
        <v>488</v>
      </c>
      <c r="O2588" s="41" t="s">
        <v>488</v>
      </c>
      <c r="P2588" s="41" t="s">
        <v>546</v>
      </c>
      <c r="Q2588" s="41" t="s">
        <v>2100</v>
      </c>
      <c r="R2588" s="41" t="s">
        <v>132</v>
      </c>
      <c r="S2588" s="41" t="s">
        <v>40</v>
      </c>
      <c r="T2588" s="41" t="s">
        <v>40</v>
      </c>
      <c r="U2588" s="41" t="s">
        <v>40</v>
      </c>
    </row>
    <row r="2589" spans="1:21">
      <c r="A2589" s="41">
        <v>171</v>
      </c>
      <c r="B2589" s="41" t="s">
        <v>7940</v>
      </c>
      <c r="D2589" s="41">
        <v>383</v>
      </c>
      <c r="E2589" s="41" t="s">
        <v>7786</v>
      </c>
      <c r="F2589" s="41" t="s">
        <v>28</v>
      </c>
      <c r="G2589" s="41" t="s">
        <v>64</v>
      </c>
      <c r="I2589" s="41" t="s">
        <v>325</v>
      </c>
      <c r="J2589" s="41" t="s">
        <v>1652</v>
      </c>
      <c r="K2589" s="42"/>
      <c r="L2589" s="41" t="s">
        <v>7941</v>
      </c>
      <c r="M2589" s="41">
        <v>220</v>
      </c>
      <c r="N2589" s="41" t="s">
        <v>488</v>
      </c>
      <c r="O2589" s="41" t="s">
        <v>488</v>
      </c>
      <c r="P2589" s="41" t="s">
        <v>179</v>
      </c>
      <c r="Q2589" s="41" t="s">
        <v>284</v>
      </c>
      <c r="R2589" s="41" t="s">
        <v>39</v>
      </c>
      <c r="S2589" s="41" t="s">
        <v>40</v>
      </c>
      <c r="T2589" s="41" t="s">
        <v>40</v>
      </c>
      <c r="U2589" s="41" t="s">
        <v>40</v>
      </c>
    </row>
    <row r="2590" spans="1:21">
      <c r="A2590" s="41">
        <v>172</v>
      </c>
      <c r="B2590" s="41" t="s">
        <v>7942</v>
      </c>
      <c r="D2590" s="41">
        <v>546</v>
      </c>
      <c r="E2590" s="41" t="s">
        <v>7943</v>
      </c>
      <c r="F2590" s="41" t="s">
        <v>28</v>
      </c>
      <c r="G2590" s="41" t="s">
        <v>43</v>
      </c>
      <c r="I2590" s="41" t="s">
        <v>1966</v>
      </c>
      <c r="J2590" s="41" t="s">
        <v>1652</v>
      </c>
      <c r="K2590" s="42"/>
      <c r="L2590" s="41" t="s">
        <v>7944</v>
      </c>
      <c r="M2590" s="41">
        <v>23</v>
      </c>
      <c r="N2590" s="41" t="s">
        <v>488</v>
      </c>
      <c r="O2590" s="41" t="s">
        <v>7945</v>
      </c>
      <c r="P2590" s="41" t="s">
        <v>83</v>
      </c>
      <c r="Q2590" s="41" t="s">
        <v>6792</v>
      </c>
      <c r="R2590" s="41" t="s">
        <v>39</v>
      </c>
      <c r="S2590" s="41" t="s">
        <v>40</v>
      </c>
      <c r="T2590" s="41" t="s">
        <v>40</v>
      </c>
      <c r="U2590" s="41" t="s">
        <v>40</v>
      </c>
    </row>
    <row r="2591" spans="1:21">
      <c r="A2591" s="41">
        <v>192</v>
      </c>
      <c r="B2591" s="41" t="s">
        <v>7946</v>
      </c>
      <c r="D2591" s="41">
        <v>928</v>
      </c>
      <c r="E2591" s="41" t="s">
        <v>2196</v>
      </c>
      <c r="F2591" s="41" t="s">
        <v>28</v>
      </c>
      <c r="G2591" s="41" t="s">
        <v>307</v>
      </c>
      <c r="I2591" s="41" t="s">
        <v>45</v>
      </c>
      <c r="J2591" s="41" t="s">
        <v>295</v>
      </c>
      <c r="K2591" s="42"/>
      <c r="L2591" s="41" t="s">
        <v>7947</v>
      </c>
      <c r="M2591" s="41">
        <v>220</v>
      </c>
      <c r="N2591" s="41" t="s">
        <v>488</v>
      </c>
      <c r="O2591" s="41" t="s">
        <v>488</v>
      </c>
      <c r="P2591" s="41" t="s">
        <v>98</v>
      </c>
      <c r="Q2591" s="41" t="s">
        <v>116</v>
      </c>
      <c r="R2591" s="41" t="s">
        <v>39</v>
      </c>
      <c r="S2591" s="41" t="s">
        <v>40</v>
      </c>
      <c r="T2591" s="41" t="s">
        <v>40</v>
      </c>
      <c r="U2591" s="41" t="s">
        <v>40</v>
      </c>
    </row>
    <row r="2592" spans="1:21">
      <c r="A2592" s="41">
        <v>58</v>
      </c>
      <c r="B2592" s="41" t="s">
        <v>7948</v>
      </c>
      <c r="D2592" s="41">
        <v>861</v>
      </c>
      <c r="E2592" s="41" t="s">
        <v>3714</v>
      </c>
      <c r="F2592" s="41" t="s">
        <v>53</v>
      </c>
      <c r="G2592" s="41" t="s">
        <v>307</v>
      </c>
      <c r="I2592" s="41" t="s">
        <v>1168</v>
      </c>
      <c r="J2592" s="41" t="s">
        <v>380</v>
      </c>
      <c r="K2592" s="42"/>
      <c r="L2592" s="41" t="s">
        <v>7949</v>
      </c>
      <c r="M2592" s="41">
        <v>220</v>
      </c>
      <c r="N2592" s="41" t="s">
        <v>7950</v>
      </c>
      <c r="O2592" s="41" t="s">
        <v>1827</v>
      </c>
      <c r="P2592" s="41" t="s">
        <v>98</v>
      </c>
      <c r="Q2592" s="41" t="s">
        <v>98</v>
      </c>
      <c r="R2592" s="41" t="s">
        <v>62</v>
      </c>
      <c r="S2592" s="41" t="s">
        <v>7951</v>
      </c>
      <c r="T2592" s="41" t="s">
        <v>7454</v>
      </c>
      <c r="U2592" s="41" t="s">
        <v>40</v>
      </c>
    </row>
    <row r="2593" spans="1:21">
      <c r="A2593" s="41">
        <v>49</v>
      </c>
      <c r="B2593" s="41" t="s">
        <v>7952</v>
      </c>
      <c r="D2593" s="41">
        <v>503</v>
      </c>
      <c r="E2593" s="41" t="s">
        <v>7953</v>
      </c>
      <c r="F2593" s="41" t="s">
        <v>53</v>
      </c>
      <c r="G2593" s="41" t="s">
        <v>43</v>
      </c>
      <c r="I2593" s="41" t="s">
        <v>6225</v>
      </c>
      <c r="J2593" s="41" t="s">
        <v>380</v>
      </c>
      <c r="K2593" s="42"/>
      <c r="L2593" s="41" t="s">
        <v>7954</v>
      </c>
      <c r="M2593" s="41">
        <v>66</v>
      </c>
      <c r="N2593" s="41" t="s">
        <v>488</v>
      </c>
      <c r="O2593" s="41" t="s">
        <v>488</v>
      </c>
      <c r="P2593" s="41" t="s">
        <v>37</v>
      </c>
      <c r="Q2593" s="41" t="s">
        <v>1125</v>
      </c>
      <c r="R2593" s="41" t="s">
        <v>132</v>
      </c>
      <c r="S2593" s="41" t="s">
        <v>40</v>
      </c>
      <c r="T2593" s="41" t="s">
        <v>40</v>
      </c>
      <c r="U2593" s="41" t="s">
        <v>40</v>
      </c>
    </row>
    <row r="2594" spans="1:21">
      <c r="A2594" s="41">
        <v>167</v>
      </c>
      <c r="B2594" s="41" t="s">
        <v>7955</v>
      </c>
      <c r="D2594" s="41">
        <v>479</v>
      </c>
      <c r="E2594" s="41" t="s">
        <v>7956</v>
      </c>
      <c r="F2594" s="41" t="s">
        <v>28</v>
      </c>
      <c r="G2594" s="41" t="s">
        <v>64</v>
      </c>
      <c r="I2594" s="41" t="s">
        <v>1142</v>
      </c>
      <c r="J2594" s="41" t="s">
        <v>1906</v>
      </c>
      <c r="K2594" s="42"/>
      <c r="L2594" s="41" t="s">
        <v>7957</v>
      </c>
      <c r="M2594" s="41">
        <v>66</v>
      </c>
      <c r="N2594" s="41" t="s">
        <v>488</v>
      </c>
      <c r="O2594" s="41" t="s">
        <v>488</v>
      </c>
      <c r="P2594" s="41" t="s">
        <v>172</v>
      </c>
      <c r="Q2594" s="41" t="s">
        <v>3755</v>
      </c>
      <c r="R2594" s="41" t="s">
        <v>39</v>
      </c>
      <c r="S2594" s="41" t="s">
        <v>40</v>
      </c>
      <c r="T2594" s="41" t="s">
        <v>40</v>
      </c>
      <c r="U2594" s="41" t="s">
        <v>40</v>
      </c>
    </row>
    <row r="2595" spans="1:21">
      <c r="A2595" s="41">
        <v>165</v>
      </c>
      <c r="B2595" s="41" t="s">
        <v>7958</v>
      </c>
      <c r="D2595" s="41">
        <v>332</v>
      </c>
      <c r="E2595" s="41" t="s">
        <v>3714</v>
      </c>
      <c r="F2595" s="41" t="s">
        <v>28</v>
      </c>
      <c r="G2595" s="41" t="s">
        <v>307</v>
      </c>
      <c r="I2595" s="41" t="s">
        <v>7959</v>
      </c>
      <c r="J2595" s="41" t="s">
        <v>380</v>
      </c>
      <c r="K2595" s="42"/>
      <c r="L2595" s="41" t="s">
        <v>7960</v>
      </c>
      <c r="M2595" s="41">
        <v>220</v>
      </c>
      <c r="N2595" s="41" t="s">
        <v>488</v>
      </c>
      <c r="O2595" s="41" t="s">
        <v>488</v>
      </c>
      <c r="P2595" s="41" t="s">
        <v>37</v>
      </c>
      <c r="Q2595" s="41" t="s">
        <v>969</v>
      </c>
      <c r="R2595" s="41" t="s">
        <v>39</v>
      </c>
      <c r="S2595" s="41" t="s">
        <v>40</v>
      </c>
      <c r="T2595" s="41" t="s">
        <v>40</v>
      </c>
      <c r="U2595" s="41" t="s">
        <v>40</v>
      </c>
    </row>
    <row r="2596" spans="1:21">
      <c r="A2596" s="41">
        <v>164</v>
      </c>
      <c r="B2596" s="41" t="s">
        <v>7961</v>
      </c>
      <c r="D2596" s="41">
        <v>465</v>
      </c>
      <c r="E2596" s="41" t="s">
        <v>7962</v>
      </c>
      <c r="F2596" s="41" t="s">
        <v>28</v>
      </c>
      <c r="G2596" s="41" t="s">
        <v>307</v>
      </c>
      <c r="I2596" s="41" t="s">
        <v>194</v>
      </c>
      <c r="J2596" s="41" t="s">
        <v>1906</v>
      </c>
      <c r="K2596" s="42"/>
      <c r="L2596" s="41" t="s">
        <v>7963</v>
      </c>
      <c r="M2596" s="41">
        <v>66</v>
      </c>
      <c r="N2596" s="41" t="s">
        <v>488</v>
      </c>
      <c r="O2596" s="41" t="s">
        <v>488</v>
      </c>
      <c r="P2596" s="41" t="s">
        <v>172</v>
      </c>
      <c r="Q2596" s="41" t="s">
        <v>3755</v>
      </c>
      <c r="R2596" s="41" t="s">
        <v>39</v>
      </c>
      <c r="S2596" s="41" t="s">
        <v>40</v>
      </c>
      <c r="T2596" s="41" t="s">
        <v>40</v>
      </c>
      <c r="U2596" s="41" t="s">
        <v>40</v>
      </c>
    </row>
    <row r="2597" spans="1:21">
      <c r="A2597" s="41">
        <v>166</v>
      </c>
      <c r="B2597" s="41" t="s">
        <v>7964</v>
      </c>
      <c r="D2597" s="41">
        <v>477</v>
      </c>
      <c r="E2597" s="41" t="s">
        <v>7965</v>
      </c>
      <c r="F2597" s="41" t="s">
        <v>28</v>
      </c>
      <c r="G2597" s="41" t="s">
        <v>307</v>
      </c>
      <c r="I2597" s="41" t="s">
        <v>7959</v>
      </c>
      <c r="J2597" s="41" t="s">
        <v>295</v>
      </c>
      <c r="K2597" s="42"/>
      <c r="L2597" s="41" t="s">
        <v>281</v>
      </c>
      <c r="M2597" s="41">
        <v>220</v>
      </c>
      <c r="N2597" s="41" t="s">
        <v>488</v>
      </c>
      <c r="O2597" s="41" t="s">
        <v>488</v>
      </c>
      <c r="P2597" s="41" t="s">
        <v>179</v>
      </c>
      <c r="Q2597" s="41" t="s">
        <v>284</v>
      </c>
      <c r="R2597" s="41" t="s">
        <v>39</v>
      </c>
      <c r="S2597" s="41" t="s">
        <v>40</v>
      </c>
      <c r="T2597" s="41" t="s">
        <v>40</v>
      </c>
      <c r="U2597" s="41" t="s">
        <v>40</v>
      </c>
    </row>
    <row r="2598" spans="1:21">
      <c r="A2598" s="41">
        <v>174</v>
      </c>
      <c r="B2598" s="41" t="s">
        <v>7966</v>
      </c>
      <c r="D2598" s="41">
        <v>446</v>
      </c>
      <c r="E2598" s="41" t="s">
        <v>7422</v>
      </c>
      <c r="F2598" s="41" t="s">
        <v>28</v>
      </c>
      <c r="G2598" s="41" t="s">
        <v>64</v>
      </c>
      <c r="I2598" s="41" t="s">
        <v>7873</v>
      </c>
      <c r="J2598" s="41" t="s">
        <v>672</v>
      </c>
      <c r="K2598" s="42"/>
      <c r="L2598" s="41" t="s">
        <v>7424</v>
      </c>
      <c r="M2598" s="41">
        <v>23</v>
      </c>
      <c r="N2598" s="41" t="s">
        <v>962</v>
      </c>
      <c r="O2598" s="41" t="s">
        <v>488</v>
      </c>
      <c r="P2598" s="41" t="s">
        <v>179</v>
      </c>
      <c r="Q2598" s="41" t="s">
        <v>524</v>
      </c>
      <c r="R2598" s="41" t="s">
        <v>39</v>
      </c>
      <c r="S2598" s="41" t="s">
        <v>40</v>
      </c>
      <c r="T2598" s="41" t="s">
        <v>7967</v>
      </c>
      <c r="U2598" s="41" t="s">
        <v>7504</v>
      </c>
    </row>
    <row r="2599" spans="1:21">
      <c r="A2599" s="41">
        <v>253</v>
      </c>
      <c r="B2599" s="41" t="s">
        <v>7968</v>
      </c>
      <c r="D2599" s="41">
        <v>300</v>
      </c>
      <c r="E2599" s="41" t="s">
        <v>7969</v>
      </c>
      <c r="F2599" s="41" t="s">
        <v>53</v>
      </c>
      <c r="G2599" s="41" t="s">
        <v>307</v>
      </c>
      <c r="I2599" s="41" t="s">
        <v>7970</v>
      </c>
      <c r="J2599" s="41" t="s">
        <v>380</v>
      </c>
      <c r="K2599" s="42"/>
      <c r="L2599" s="41" t="s">
        <v>7954</v>
      </c>
      <c r="M2599" s="41">
        <v>66</v>
      </c>
      <c r="N2599" s="41" t="s">
        <v>488</v>
      </c>
      <c r="O2599" s="41" t="s">
        <v>7971</v>
      </c>
      <c r="P2599" s="41" t="s">
        <v>37</v>
      </c>
      <c r="Q2599" s="41" t="s">
        <v>1125</v>
      </c>
      <c r="R2599" s="41" t="s">
        <v>132</v>
      </c>
      <c r="S2599" s="41" t="s">
        <v>7442</v>
      </c>
      <c r="T2599" s="41" t="s">
        <v>40</v>
      </c>
      <c r="U2599" s="41" t="s">
        <v>40</v>
      </c>
    </row>
    <row r="2600" spans="1:21">
      <c r="A2600" s="41">
        <v>252</v>
      </c>
      <c r="B2600" s="41" t="s">
        <v>616</v>
      </c>
      <c r="D2600" s="41">
        <v>433</v>
      </c>
      <c r="E2600" s="41" t="s">
        <v>27</v>
      </c>
      <c r="F2600" s="41" t="s">
        <v>53</v>
      </c>
      <c r="G2600" s="41" t="s">
        <v>64</v>
      </c>
      <c r="I2600" s="41" t="s">
        <v>45</v>
      </c>
      <c r="J2600" s="41" t="s">
        <v>295</v>
      </c>
      <c r="K2600" s="42"/>
      <c r="L2600" s="41" t="s">
        <v>618</v>
      </c>
      <c r="M2600" s="41">
        <v>220</v>
      </c>
      <c r="N2600" s="41" t="s">
        <v>619</v>
      </c>
      <c r="O2600" s="41" t="s">
        <v>620</v>
      </c>
      <c r="P2600" s="41" t="s">
        <v>50</v>
      </c>
      <c r="Q2600" s="41" t="s">
        <v>51</v>
      </c>
      <c r="R2600" s="41" t="s">
        <v>62</v>
      </c>
      <c r="S2600" s="41" t="s">
        <v>40</v>
      </c>
      <c r="T2600" s="41" t="s">
        <v>40</v>
      </c>
      <c r="U2600" s="41" t="s">
        <v>40</v>
      </c>
    </row>
    <row r="2601" spans="1:21">
      <c r="A2601" s="41">
        <v>160</v>
      </c>
      <c r="B2601" s="41" t="s">
        <v>7972</v>
      </c>
      <c r="D2601" s="41">
        <v>425</v>
      </c>
      <c r="E2601" s="41" t="s">
        <v>3714</v>
      </c>
      <c r="F2601" s="41" t="s">
        <v>28</v>
      </c>
      <c r="G2601" s="41" t="s">
        <v>307</v>
      </c>
      <c r="I2601" s="41" t="s">
        <v>325</v>
      </c>
      <c r="J2601" s="41" t="s">
        <v>295</v>
      </c>
      <c r="K2601" s="42"/>
      <c r="L2601" s="41" t="s">
        <v>7973</v>
      </c>
      <c r="M2601" s="41">
        <v>220</v>
      </c>
      <c r="N2601" s="41" t="s">
        <v>488</v>
      </c>
      <c r="O2601" s="41" t="s">
        <v>488</v>
      </c>
      <c r="P2601" s="41" t="s">
        <v>98</v>
      </c>
      <c r="Q2601" s="41" t="s">
        <v>98</v>
      </c>
      <c r="R2601" s="41" t="s">
        <v>39</v>
      </c>
      <c r="S2601" s="41" t="s">
        <v>40</v>
      </c>
      <c r="T2601" s="41" t="s">
        <v>40</v>
      </c>
      <c r="U2601" s="41" t="s">
        <v>40</v>
      </c>
    </row>
    <row r="2602" spans="1:21">
      <c r="A2602" s="41">
        <v>161</v>
      </c>
      <c r="B2602" s="41" t="s">
        <v>7974</v>
      </c>
      <c r="D2602" s="41">
        <v>426</v>
      </c>
      <c r="E2602" s="41" t="s">
        <v>3714</v>
      </c>
      <c r="F2602" s="41" t="s">
        <v>28</v>
      </c>
      <c r="G2602" s="41" t="s">
        <v>307</v>
      </c>
      <c r="I2602" s="41" t="s">
        <v>7975</v>
      </c>
      <c r="J2602" s="41" t="s">
        <v>380</v>
      </c>
      <c r="K2602" s="42"/>
      <c r="L2602" s="41" t="s">
        <v>7976</v>
      </c>
      <c r="M2602" s="41">
        <v>220</v>
      </c>
      <c r="N2602" s="41" t="s">
        <v>488</v>
      </c>
      <c r="O2602" s="41" t="s">
        <v>488</v>
      </c>
      <c r="P2602" s="41" t="s">
        <v>98</v>
      </c>
      <c r="Q2602" s="41" t="s">
        <v>569</v>
      </c>
      <c r="R2602" s="41" t="s">
        <v>39</v>
      </c>
      <c r="S2602" s="41" t="s">
        <v>40</v>
      </c>
      <c r="T2602" s="41" t="s">
        <v>40</v>
      </c>
      <c r="U2602" s="41" t="s">
        <v>40</v>
      </c>
    </row>
    <row r="2603" spans="1:21">
      <c r="A2603" s="41">
        <v>162</v>
      </c>
      <c r="B2603" s="41" t="s">
        <v>7977</v>
      </c>
      <c r="D2603" s="41">
        <v>231</v>
      </c>
      <c r="E2603" s="41" t="s">
        <v>3714</v>
      </c>
      <c r="F2603" s="41" t="s">
        <v>28</v>
      </c>
      <c r="G2603" s="41" t="s">
        <v>307</v>
      </c>
      <c r="I2603" s="41" t="s">
        <v>7347</v>
      </c>
      <c r="J2603" s="41" t="s">
        <v>380</v>
      </c>
      <c r="K2603" s="42"/>
      <c r="L2603" s="41" t="s">
        <v>7978</v>
      </c>
      <c r="M2603" s="41">
        <v>220</v>
      </c>
      <c r="N2603" s="41" t="s">
        <v>488</v>
      </c>
      <c r="O2603" s="41" t="s">
        <v>488</v>
      </c>
      <c r="P2603" s="41" t="s">
        <v>98</v>
      </c>
      <c r="Q2603" s="41" t="s">
        <v>98</v>
      </c>
      <c r="R2603" s="41" t="s">
        <v>39</v>
      </c>
      <c r="S2603" s="41" t="s">
        <v>40</v>
      </c>
      <c r="T2603" s="41" t="s">
        <v>40</v>
      </c>
      <c r="U2603" s="41" t="s">
        <v>40</v>
      </c>
    </row>
    <row r="2604" spans="1:21">
      <c r="A2604" s="41">
        <v>345</v>
      </c>
      <c r="B2604" s="41" t="s">
        <v>7979</v>
      </c>
      <c r="D2604" s="41">
        <v>399</v>
      </c>
      <c r="E2604" s="41" t="s">
        <v>1724</v>
      </c>
      <c r="F2604" s="41" t="s">
        <v>53</v>
      </c>
      <c r="G2604" s="41" t="s">
        <v>307</v>
      </c>
      <c r="I2604" s="41" t="s">
        <v>1188</v>
      </c>
      <c r="J2604" s="41" t="s">
        <v>295</v>
      </c>
      <c r="K2604" s="42"/>
      <c r="L2604" s="41" t="s">
        <v>115</v>
      </c>
      <c r="M2604" s="41">
        <v>220</v>
      </c>
      <c r="N2604" s="41" t="s">
        <v>488</v>
      </c>
      <c r="O2604" s="41" t="s">
        <v>6981</v>
      </c>
      <c r="P2604" s="41" t="s">
        <v>98</v>
      </c>
      <c r="Q2604" s="41" t="s">
        <v>116</v>
      </c>
      <c r="R2604" s="41" t="s">
        <v>62</v>
      </c>
      <c r="S2604" s="41" t="s">
        <v>7980</v>
      </c>
      <c r="T2604" s="41" t="s">
        <v>6251</v>
      </c>
      <c r="U2604" s="41" t="s">
        <v>40</v>
      </c>
    </row>
    <row r="2605" spans="1:21">
      <c r="A2605" s="41">
        <v>249</v>
      </c>
      <c r="B2605" s="41" t="s">
        <v>7981</v>
      </c>
      <c r="D2605" s="41">
        <v>146</v>
      </c>
      <c r="E2605" s="41" t="s">
        <v>7982</v>
      </c>
      <c r="F2605" s="41" t="s">
        <v>53</v>
      </c>
      <c r="G2605" s="41" t="s">
        <v>307</v>
      </c>
      <c r="I2605" s="41" t="s">
        <v>325</v>
      </c>
      <c r="J2605" s="41" t="s">
        <v>295</v>
      </c>
      <c r="K2605" s="42"/>
      <c r="L2605" s="41" t="s">
        <v>4456</v>
      </c>
      <c r="M2605" s="41">
        <v>220</v>
      </c>
      <c r="N2605" s="41" t="s">
        <v>2432</v>
      </c>
      <c r="O2605" s="41" t="s">
        <v>1827</v>
      </c>
      <c r="P2605" s="41" t="s">
        <v>50</v>
      </c>
      <c r="Q2605" s="41" t="s">
        <v>51</v>
      </c>
      <c r="R2605" s="41" t="s">
        <v>62</v>
      </c>
      <c r="S2605" s="41" t="s">
        <v>7442</v>
      </c>
      <c r="T2605" s="41" t="s">
        <v>40</v>
      </c>
      <c r="U2605" s="41" t="s">
        <v>40</v>
      </c>
    </row>
    <row r="2606" spans="1:21">
      <c r="A2606" s="41">
        <v>242</v>
      </c>
      <c r="B2606" s="41" t="s">
        <v>7983</v>
      </c>
      <c r="D2606" s="41">
        <v>317</v>
      </c>
      <c r="E2606" s="41" t="s">
        <v>7984</v>
      </c>
      <c r="F2606" s="41" t="s">
        <v>53</v>
      </c>
      <c r="G2606" s="41" t="s">
        <v>307</v>
      </c>
      <c r="I2606" s="41" t="s">
        <v>4690</v>
      </c>
      <c r="J2606" s="41" t="s">
        <v>7297</v>
      </c>
      <c r="K2606" s="42"/>
      <c r="L2606" s="41" t="s">
        <v>5004</v>
      </c>
      <c r="M2606" s="41">
        <v>220</v>
      </c>
      <c r="N2606" s="41" t="s">
        <v>6177</v>
      </c>
      <c r="O2606" s="41" t="s">
        <v>3173</v>
      </c>
      <c r="P2606" s="41" t="s">
        <v>37</v>
      </c>
      <c r="Q2606" s="41" t="s">
        <v>1661</v>
      </c>
      <c r="R2606" s="41" t="s">
        <v>62</v>
      </c>
      <c r="S2606" s="41" t="s">
        <v>7442</v>
      </c>
      <c r="T2606" s="41" t="s">
        <v>40</v>
      </c>
      <c r="U2606" s="41" t="s">
        <v>40</v>
      </c>
    </row>
    <row r="2607" spans="1:21">
      <c r="A2607" s="41">
        <v>245</v>
      </c>
      <c r="B2607" s="41" t="s">
        <v>7985</v>
      </c>
      <c r="D2607" s="41">
        <v>270</v>
      </c>
      <c r="E2607" s="41" t="s">
        <v>2664</v>
      </c>
      <c r="F2607" s="41" t="s">
        <v>53</v>
      </c>
      <c r="G2607" s="41" t="s">
        <v>307</v>
      </c>
      <c r="I2607" s="41" t="s">
        <v>999</v>
      </c>
      <c r="J2607" s="41" t="s">
        <v>672</v>
      </c>
      <c r="K2607" s="42"/>
      <c r="L2607" s="41" t="s">
        <v>7355</v>
      </c>
      <c r="M2607" s="41">
        <v>23</v>
      </c>
      <c r="N2607" s="41" t="s">
        <v>488</v>
      </c>
      <c r="O2607" s="41" t="s">
        <v>4921</v>
      </c>
      <c r="P2607" s="41" t="s">
        <v>98</v>
      </c>
      <c r="Q2607" s="41" t="s">
        <v>98</v>
      </c>
      <c r="R2607" s="41" t="s">
        <v>132</v>
      </c>
      <c r="S2607" s="41" t="s">
        <v>7986</v>
      </c>
      <c r="T2607" s="41" t="s">
        <v>40</v>
      </c>
      <c r="U2607" s="41" t="s">
        <v>40</v>
      </c>
    </row>
    <row r="2608" spans="1:21">
      <c r="A2608" s="41">
        <v>158</v>
      </c>
      <c r="B2608" s="41" t="s">
        <v>7987</v>
      </c>
      <c r="D2608" s="41">
        <v>344</v>
      </c>
      <c r="E2608" s="41" t="s">
        <v>7988</v>
      </c>
      <c r="F2608" s="41" t="s">
        <v>28</v>
      </c>
      <c r="G2608" s="41" t="s">
        <v>307</v>
      </c>
      <c r="I2608" s="41" t="s">
        <v>7989</v>
      </c>
      <c r="J2608" s="41" t="s">
        <v>295</v>
      </c>
      <c r="K2608" s="42"/>
      <c r="L2608" s="41" t="s">
        <v>7990</v>
      </c>
      <c r="M2608" s="41">
        <v>220</v>
      </c>
      <c r="N2608" s="41" t="s">
        <v>488</v>
      </c>
      <c r="O2608" s="41" t="s">
        <v>488</v>
      </c>
      <c r="P2608" s="41" t="s">
        <v>98</v>
      </c>
      <c r="Q2608" s="41" t="s">
        <v>98</v>
      </c>
      <c r="R2608" s="41" t="s">
        <v>39</v>
      </c>
      <c r="S2608" s="41" t="s">
        <v>40</v>
      </c>
      <c r="T2608" s="41" t="s">
        <v>40</v>
      </c>
      <c r="U2608" s="41" t="s">
        <v>40</v>
      </c>
    </row>
    <row r="2609" spans="1:21">
      <c r="A2609" s="41">
        <v>157</v>
      </c>
      <c r="B2609" s="41" t="s">
        <v>7991</v>
      </c>
      <c r="D2609" s="41">
        <v>380</v>
      </c>
      <c r="E2609" s="41" t="s">
        <v>3714</v>
      </c>
      <c r="F2609" s="41" t="s">
        <v>28</v>
      </c>
      <c r="G2609" s="41" t="s">
        <v>307</v>
      </c>
      <c r="I2609" s="41" t="s">
        <v>7992</v>
      </c>
      <c r="J2609" s="41" t="s">
        <v>380</v>
      </c>
      <c r="K2609" s="42"/>
      <c r="L2609" s="41" t="s">
        <v>595</v>
      </c>
      <c r="M2609" s="41">
        <v>220</v>
      </c>
      <c r="N2609" s="41" t="s">
        <v>488</v>
      </c>
      <c r="O2609" s="41" t="s">
        <v>488</v>
      </c>
      <c r="P2609" s="41" t="s">
        <v>98</v>
      </c>
      <c r="Q2609" s="41" t="s">
        <v>569</v>
      </c>
      <c r="R2609" s="41" t="s">
        <v>39</v>
      </c>
      <c r="S2609" s="41" t="s">
        <v>40</v>
      </c>
      <c r="T2609" s="41" t="s">
        <v>40</v>
      </c>
      <c r="U2609" s="41" t="s">
        <v>40</v>
      </c>
    </row>
    <row r="2610" spans="1:21">
      <c r="A2610" s="41">
        <v>244</v>
      </c>
      <c r="B2610" s="41" t="s">
        <v>7993</v>
      </c>
      <c r="D2610" s="41">
        <v>302</v>
      </c>
      <c r="E2610" s="41" t="s">
        <v>6526</v>
      </c>
      <c r="F2610" s="41" t="s">
        <v>53</v>
      </c>
      <c r="G2610" s="41" t="s">
        <v>43</v>
      </c>
      <c r="I2610" s="41" t="s">
        <v>966</v>
      </c>
      <c r="J2610" s="41" t="s">
        <v>295</v>
      </c>
      <c r="K2610" s="42"/>
      <c r="L2610" s="41" t="s">
        <v>7826</v>
      </c>
      <c r="M2610" s="41">
        <v>220</v>
      </c>
      <c r="N2610" s="41" t="s">
        <v>488</v>
      </c>
      <c r="O2610" s="41" t="s">
        <v>6981</v>
      </c>
      <c r="P2610" s="41" t="s">
        <v>98</v>
      </c>
      <c r="Q2610" s="41" t="s">
        <v>116</v>
      </c>
      <c r="R2610" s="41" t="s">
        <v>62</v>
      </c>
      <c r="S2610" s="41" t="s">
        <v>7895</v>
      </c>
      <c r="T2610" s="41" t="s">
        <v>40</v>
      </c>
      <c r="U2610" s="41" t="s">
        <v>40</v>
      </c>
    </row>
    <row r="2611" spans="1:21">
      <c r="A2611" s="41">
        <v>153</v>
      </c>
      <c r="B2611" s="41" t="s">
        <v>7994</v>
      </c>
      <c r="D2611" s="41">
        <v>340</v>
      </c>
      <c r="E2611" s="41" t="s">
        <v>1227</v>
      </c>
      <c r="F2611" s="41" t="s">
        <v>28</v>
      </c>
      <c r="G2611" s="41" t="s">
        <v>307</v>
      </c>
      <c r="I2611" s="41" t="s">
        <v>162</v>
      </c>
      <c r="J2611" s="41" t="s">
        <v>380</v>
      </c>
      <c r="K2611" s="42"/>
      <c r="L2611" s="41" t="s">
        <v>7809</v>
      </c>
      <c r="M2611" s="41">
        <v>220</v>
      </c>
      <c r="N2611" s="41" t="s">
        <v>488</v>
      </c>
      <c r="O2611" s="41" t="s">
        <v>488</v>
      </c>
      <c r="P2611" s="41" t="s">
        <v>98</v>
      </c>
      <c r="Q2611" s="41" t="s">
        <v>569</v>
      </c>
      <c r="R2611" s="41" t="s">
        <v>39</v>
      </c>
      <c r="S2611" s="41" t="s">
        <v>40</v>
      </c>
      <c r="T2611" s="41" t="s">
        <v>40</v>
      </c>
      <c r="U2611" s="41" t="s">
        <v>40</v>
      </c>
    </row>
    <row r="2612" spans="1:21">
      <c r="A2612" s="41">
        <v>334</v>
      </c>
      <c r="B2612" s="41" t="s">
        <v>7995</v>
      </c>
      <c r="D2612" s="41">
        <v>339</v>
      </c>
      <c r="E2612" s="41" t="s">
        <v>1227</v>
      </c>
      <c r="F2612" s="41" t="s">
        <v>53</v>
      </c>
      <c r="G2612" s="41" t="s">
        <v>307</v>
      </c>
      <c r="I2612" s="41" t="s">
        <v>1679</v>
      </c>
      <c r="J2612" s="41" t="s">
        <v>1906</v>
      </c>
      <c r="K2612" s="42"/>
      <c r="L2612" s="41" t="s">
        <v>3038</v>
      </c>
      <c r="M2612" s="41">
        <v>220</v>
      </c>
      <c r="N2612" s="41" t="s">
        <v>488</v>
      </c>
      <c r="O2612" s="41" t="s">
        <v>488</v>
      </c>
      <c r="P2612" s="41" t="s">
        <v>37</v>
      </c>
      <c r="Q2612" s="41" t="s">
        <v>969</v>
      </c>
      <c r="R2612" s="41" t="s">
        <v>62</v>
      </c>
      <c r="S2612" s="41" t="s">
        <v>7996</v>
      </c>
      <c r="T2612" s="41" t="s">
        <v>6813</v>
      </c>
      <c r="U2612" s="41" t="s">
        <v>40</v>
      </c>
    </row>
    <row r="2613" spans="1:21">
      <c r="A2613" s="41">
        <v>152</v>
      </c>
      <c r="B2613" s="41" t="s">
        <v>7997</v>
      </c>
      <c r="D2613" s="41">
        <v>295</v>
      </c>
      <c r="E2613" s="41" t="s">
        <v>5140</v>
      </c>
      <c r="F2613" s="41" t="s">
        <v>53</v>
      </c>
      <c r="G2613" s="41" t="s">
        <v>64</v>
      </c>
      <c r="I2613" s="41" t="s">
        <v>231</v>
      </c>
      <c r="J2613" s="41" t="s">
        <v>1652</v>
      </c>
      <c r="K2613" s="42"/>
      <c r="L2613" s="41" t="s">
        <v>7998</v>
      </c>
      <c r="M2613" s="41">
        <v>66</v>
      </c>
      <c r="N2613" s="41" t="s">
        <v>488</v>
      </c>
      <c r="O2613" s="41" t="s">
        <v>488</v>
      </c>
      <c r="P2613" s="41" t="s">
        <v>60</v>
      </c>
      <c r="Q2613" s="41" t="s">
        <v>608</v>
      </c>
      <c r="R2613" s="41" t="s">
        <v>39</v>
      </c>
      <c r="S2613" s="41" t="s">
        <v>40</v>
      </c>
      <c r="T2613" s="41" t="s">
        <v>40</v>
      </c>
      <c r="U2613" s="41" t="s">
        <v>40</v>
      </c>
    </row>
    <row r="2614" spans="1:21">
      <c r="A2614" s="41">
        <v>248</v>
      </c>
      <c r="B2614" s="41" t="s">
        <v>7999</v>
      </c>
      <c r="D2614" s="41">
        <v>392</v>
      </c>
      <c r="E2614" s="41" t="s">
        <v>8000</v>
      </c>
      <c r="F2614" s="41" t="s">
        <v>53</v>
      </c>
      <c r="G2614" s="41" t="s">
        <v>307</v>
      </c>
      <c r="I2614" s="41" t="s">
        <v>8001</v>
      </c>
      <c r="J2614" s="41" t="s">
        <v>295</v>
      </c>
      <c r="K2614" s="42"/>
      <c r="L2614" s="41" t="s">
        <v>7616</v>
      </c>
      <c r="M2614" s="41">
        <v>110</v>
      </c>
      <c r="N2614" s="41" t="s">
        <v>488</v>
      </c>
      <c r="O2614" s="41" t="s">
        <v>741</v>
      </c>
      <c r="P2614" s="41" t="s">
        <v>98</v>
      </c>
      <c r="Q2614" s="41" t="s">
        <v>569</v>
      </c>
      <c r="R2614" s="41" t="s">
        <v>132</v>
      </c>
      <c r="S2614" s="41" t="s">
        <v>7442</v>
      </c>
      <c r="T2614" s="41" t="s">
        <v>40</v>
      </c>
      <c r="U2614" s="41" t="s">
        <v>40</v>
      </c>
    </row>
    <row r="2615" spans="1:21">
      <c r="A2615" s="41">
        <v>155</v>
      </c>
      <c r="B2615" s="41" t="s">
        <v>8002</v>
      </c>
      <c r="D2615" s="41">
        <v>358</v>
      </c>
      <c r="E2615" s="41" t="s">
        <v>8003</v>
      </c>
      <c r="F2615" s="41" t="s">
        <v>28</v>
      </c>
      <c r="G2615" s="41" t="s">
        <v>64</v>
      </c>
      <c r="I2615" s="41" t="s">
        <v>5117</v>
      </c>
      <c r="J2615" s="41" t="s">
        <v>1906</v>
      </c>
      <c r="K2615" s="42"/>
      <c r="L2615" s="41" t="s">
        <v>7957</v>
      </c>
      <c r="M2615" s="41">
        <v>66</v>
      </c>
      <c r="N2615" s="41" t="s">
        <v>488</v>
      </c>
      <c r="O2615" s="41" t="s">
        <v>488</v>
      </c>
      <c r="P2615" s="41" t="s">
        <v>172</v>
      </c>
      <c r="Q2615" s="41" t="s">
        <v>3755</v>
      </c>
      <c r="R2615" s="41" t="s">
        <v>39</v>
      </c>
      <c r="S2615" s="41" t="s">
        <v>40</v>
      </c>
      <c r="T2615" s="41" t="s">
        <v>40</v>
      </c>
      <c r="U2615" s="41" t="s">
        <v>40</v>
      </c>
    </row>
    <row r="2616" spans="1:21">
      <c r="A2616" s="41">
        <v>156</v>
      </c>
      <c r="B2616" s="41" t="s">
        <v>8004</v>
      </c>
      <c r="D2616" s="41">
        <v>359</v>
      </c>
      <c r="E2616" s="41" t="s">
        <v>8005</v>
      </c>
      <c r="F2616" s="41" t="s">
        <v>28</v>
      </c>
      <c r="G2616" s="41" t="s">
        <v>64</v>
      </c>
      <c r="I2616" s="41" t="s">
        <v>1142</v>
      </c>
      <c r="J2616" s="41" t="s">
        <v>1906</v>
      </c>
      <c r="K2616" s="42"/>
      <c r="L2616" s="41" t="s">
        <v>7957</v>
      </c>
      <c r="M2616" s="41">
        <v>66</v>
      </c>
      <c r="N2616" s="41" t="s">
        <v>488</v>
      </c>
      <c r="O2616" s="41" t="s">
        <v>488</v>
      </c>
      <c r="P2616" s="41" t="s">
        <v>172</v>
      </c>
      <c r="Q2616" s="41" t="s">
        <v>3755</v>
      </c>
      <c r="R2616" s="41" t="s">
        <v>39</v>
      </c>
      <c r="S2616" s="41" t="s">
        <v>40</v>
      </c>
      <c r="T2616" s="41" t="s">
        <v>40</v>
      </c>
      <c r="U2616" s="41" t="s">
        <v>40</v>
      </c>
    </row>
    <row r="2617" spans="1:21">
      <c r="A2617" s="41">
        <v>247</v>
      </c>
      <c r="B2617" s="41" t="s">
        <v>8006</v>
      </c>
      <c r="D2617" s="41">
        <v>378</v>
      </c>
      <c r="E2617" s="41" t="s">
        <v>8007</v>
      </c>
      <c r="F2617" s="41" t="s">
        <v>53</v>
      </c>
      <c r="G2617" s="41" t="s">
        <v>307</v>
      </c>
      <c r="I2617" s="41" t="s">
        <v>8008</v>
      </c>
      <c r="J2617" s="41" t="s">
        <v>1652</v>
      </c>
      <c r="K2617" s="42"/>
      <c r="L2617" s="41" t="s">
        <v>8009</v>
      </c>
      <c r="M2617" s="41">
        <v>110</v>
      </c>
      <c r="N2617" s="41" t="s">
        <v>2432</v>
      </c>
      <c r="O2617" s="41" t="s">
        <v>1473</v>
      </c>
      <c r="P2617" s="41" t="s">
        <v>179</v>
      </c>
      <c r="Q2617" s="41" t="s">
        <v>1116</v>
      </c>
      <c r="R2617" s="41" t="s">
        <v>132</v>
      </c>
      <c r="S2617" s="41" t="s">
        <v>7442</v>
      </c>
      <c r="T2617" s="41" t="s">
        <v>40</v>
      </c>
      <c r="U2617" s="41" t="s">
        <v>40</v>
      </c>
    </row>
    <row r="2618" spans="1:21">
      <c r="A2618" s="41">
        <v>149</v>
      </c>
      <c r="B2618" s="41" t="s">
        <v>8010</v>
      </c>
      <c r="D2618" s="41">
        <v>269</v>
      </c>
      <c r="E2618" s="41" t="s">
        <v>8011</v>
      </c>
      <c r="F2618" s="41" t="s">
        <v>28</v>
      </c>
      <c r="G2618" s="41" t="s">
        <v>64</v>
      </c>
      <c r="I2618" s="41" t="s">
        <v>5221</v>
      </c>
      <c r="J2618" s="41" t="s">
        <v>1906</v>
      </c>
      <c r="K2618" s="42"/>
      <c r="L2618" s="41" t="s">
        <v>8012</v>
      </c>
      <c r="M2618" s="41">
        <v>66</v>
      </c>
      <c r="N2618" s="41" t="s">
        <v>488</v>
      </c>
      <c r="O2618" s="41" t="s">
        <v>488</v>
      </c>
      <c r="P2618" s="41" t="s">
        <v>60</v>
      </c>
      <c r="Q2618" s="41" t="s">
        <v>472</v>
      </c>
      <c r="R2618" s="41" t="s">
        <v>39</v>
      </c>
      <c r="S2618" s="41" t="s">
        <v>40</v>
      </c>
      <c r="T2618" s="41" t="s">
        <v>40</v>
      </c>
      <c r="U2618" s="41" t="s">
        <v>40</v>
      </c>
    </row>
    <row r="2619" spans="1:21">
      <c r="A2619" s="41">
        <v>346</v>
      </c>
      <c r="B2619" s="41" t="s">
        <v>8013</v>
      </c>
      <c r="D2619" s="41">
        <v>318</v>
      </c>
      <c r="E2619" s="41" t="s">
        <v>8014</v>
      </c>
      <c r="F2619" s="41" t="s">
        <v>53</v>
      </c>
      <c r="G2619" s="41" t="s">
        <v>307</v>
      </c>
      <c r="I2619" s="41" t="s">
        <v>7898</v>
      </c>
      <c r="J2619" s="41" t="s">
        <v>380</v>
      </c>
      <c r="K2619" s="42"/>
      <c r="L2619" s="41" t="s">
        <v>8015</v>
      </c>
      <c r="M2619" s="41">
        <v>66</v>
      </c>
      <c r="N2619" s="41" t="s">
        <v>488</v>
      </c>
      <c r="O2619" s="41" t="s">
        <v>7971</v>
      </c>
      <c r="P2619" s="41" t="s">
        <v>1046</v>
      </c>
      <c r="Q2619" s="41" t="s">
        <v>1047</v>
      </c>
      <c r="R2619" s="41" t="s">
        <v>132</v>
      </c>
      <c r="S2619" s="41" t="s">
        <v>8016</v>
      </c>
      <c r="T2619" s="41" t="s">
        <v>40</v>
      </c>
      <c r="U2619" s="41" t="s">
        <v>40</v>
      </c>
    </row>
    <row r="2620" spans="1:21">
      <c r="A2620" s="41">
        <v>355</v>
      </c>
      <c r="B2620" s="41" t="s">
        <v>8017</v>
      </c>
      <c r="D2620" s="41">
        <v>317</v>
      </c>
      <c r="E2620" s="41" t="s">
        <v>7984</v>
      </c>
      <c r="F2620" s="41" t="s">
        <v>53</v>
      </c>
      <c r="G2620" s="41" t="s">
        <v>307</v>
      </c>
      <c r="I2620" s="41" t="s">
        <v>4690</v>
      </c>
      <c r="J2620" s="41" t="s">
        <v>380</v>
      </c>
      <c r="K2620" s="42"/>
      <c r="L2620" s="41" t="s">
        <v>5004</v>
      </c>
      <c r="M2620" s="41">
        <v>220</v>
      </c>
      <c r="N2620" s="41" t="s">
        <v>488</v>
      </c>
      <c r="O2620" s="41" t="s">
        <v>488</v>
      </c>
      <c r="P2620" s="41" t="s">
        <v>37</v>
      </c>
      <c r="Q2620" s="41" t="s">
        <v>1661</v>
      </c>
      <c r="R2620" s="41" t="s">
        <v>62</v>
      </c>
      <c r="S2620" s="41" t="s">
        <v>8018</v>
      </c>
      <c r="T2620" s="41" t="s">
        <v>40</v>
      </c>
      <c r="U2620" s="41" t="s">
        <v>40</v>
      </c>
    </row>
    <row r="2621" spans="1:21">
      <c r="A2621" s="41">
        <v>240</v>
      </c>
      <c r="B2621" s="41" t="s">
        <v>8019</v>
      </c>
      <c r="D2621" s="41">
        <v>289</v>
      </c>
      <c r="E2621" s="41" t="s">
        <v>7304</v>
      </c>
      <c r="F2621" s="41" t="s">
        <v>53</v>
      </c>
      <c r="G2621" s="41" t="s">
        <v>64</v>
      </c>
      <c r="I2621" s="41" t="s">
        <v>8020</v>
      </c>
      <c r="J2621" s="41" t="s">
        <v>295</v>
      </c>
      <c r="K2621" s="42"/>
      <c r="L2621" s="41" t="s">
        <v>8021</v>
      </c>
      <c r="M2621" s="41">
        <v>66</v>
      </c>
      <c r="N2621" s="41" t="s">
        <v>488</v>
      </c>
      <c r="O2621" s="41" t="s">
        <v>488</v>
      </c>
      <c r="P2621" s="41" t="s">
        <v>153</v>
      </c>
      <c r="Q2621" s="41" t="s">
        <v>329</v>
      </c>
      <c r="R2621" s="41" t="s">
        <v>132</v>
      </c>
      <c r="S2621" s="41" t="s">
        <v>40</v>
      </c>
      <c r="T2621" s="41" t="s">
        <v>40</v>
      </c>
      <c r="U2621" s="41" t="s">
        <v>40</v>
      </c>
    </row>
    <row r="2622" spans="1:21">
      <c r="A2622" s="41">
        <v>241</v>
      </c>
      <c r="B2622" s="41" t="s">
        <v>8022</v>
      </c>
      <c r="D2622" s="41">
        <v>290</v>
      </c>
      <c r="E2622" s="41" t="s">
        <v>7158</v>
      </c>
      <c r="F2622" s="41" t="s">
        <v>53</v>
      </c>
      <c r="G2622" s="41" t="s">
        <v>307</v>
      </c>
      <c r="I2622" s="41" t="s">
        <v>464</v>
      </c>
      <c r="J2622" s="41" t="s">
        <v>380</v>
      </c>
      <c r="K2622" s="42"/>
      <c r="L2622" s="41" t="s">
        <v>4460</v>
      </c>
      <c r="M2622" s="41">
        <v>66</v>
      </c>
      <c r="N2622" s="41" t="s">
        <v>488</v>
      </c>
      <c r="O2622" s="41" t="s">
        <v>482</v>
      </c>
      <c r="P2622" s="41" t="s">
        <v>37</v>
      </c>
      <c r="Q2622" s="41" t="s">
        <v>969</v>
      </c>
      <c r="R2622" s="41" t="s">
        <v>132</v>
      </c>
      <c r="S2622" s="41" t="s">
        <v>7299</v>
      </c>
      <c r="T2622" s="41" t="s">
        <v>7503</v>
      </c>
      <c r="U2622" s="41" t="s">
        <v>40</v>
      </c>
    </row>
    <row r="2623" spans="1:21">
      <c r="A2623" s="41">
        <v>150</v>
      </c>
      <c r="B2623" s="41" t="s">
        <v>8023</v>
      </c>
      <c r="D2623" s="41">
        <v>288</v>
      </c>
      <c r="E2623" s="41" t="s">
        <v>8024</v>
      </c>
      <c r="F2623" s="41" t="s">
        <v>28</v>
      </c>
      <c r="G2623" s="41" t="s">
        <v>307</v>
      </c>
      <c r="I2623" s="41" t="s">
        <v>149</v>
      </c>
      <c r="J2623" s="41" t="s">
        <v>1906</v>
      </c>
      <c r="K2623" s="42"/>
      <c r="L2623" s="41" t="s">
        <v>8025</v>
      </c>
      <c r="M2623" s="41">
        <v>154</v>
      </c>
      <c r="N2623" s="41" t="s">
        <v>488</v>
      </c>
      <c r="O2623" s="41" t="s">
        <v>488</v>
      </c>
      <c r="P2623" s="41" t="s">
        <v>37</v>
      </c>
      <c r="Q2623" s="41" t="s">
        <v>2769</v>
      </c>
      <c r="R2623" s="41" t="s">
        <v>132</v>
      </c>
      <c r="S2623" s="41" t="s">
        <v>40</v>
      </c>
      <c r="T2623" s="41" t="s">
        <v>40</v>
      </c>
      <c r="U2623" s="41" t="s">
        <v>40</v>
      </c>
    </row>
    <row r="2624" spans="1:21">
      <c r="A2624" s="41">
        <v>48</v>
      </c>
      <c r="B2624" s="41" t="s">
        <v>8026</v>
      </c>
      <c r="D2624" s="41">
        <v>415</v>
      </c>
      <c r="E2624" s="41" t="s">
        <v>8027</v>
      </c>
      <c r="F2624" s="41" t="s">
        <v>53</v>
      </c>
      <c r="G2624" s="41" t="s">
        <v>307</v>
      </c>
      <c r="I2624" s="41" t="s">
        <v>45</v>
      </c>
      <c r="J2624" s="41" t="s">
        <v>295</v>
      </c>
      <c r="K2624" s="42"/>
      <c r="L2624" s="41" t="s">
        <v>7327</v>
      </c>
      <c r="M2624" s="41">
        <v>220</v>
      </c>
      <c r="N2624" s="41" t="s">
        <v>6177</v>
      </c>
      <c r="O2624" s="41" t="s">
        <v>138</v>
      </c>
      <c r="P2624" s="41" t="s">
        <v>78</v>
      </c>
      <c r="Q2624" s="41" t="s">
        <v>1295</v>
      </c>
      <c r="R2624" s="41" t="s">
        <v>62</v>
      </c>
      <c r="S2624" s="41" t="s">
        <v>8028</v>
      </c>
      <c r="T2624" s="41" t="s">
        <v>40</v>
      </c>
      <c r="U2624" s="41" t="s">
        <v>40</v>
      </c>
    </row>
    <row r="2625" spans="1:21">
      <c r="A2625" s="41">
        <v>250</v>
      </c>
      <c r="B2625" s="41" t="s">
        <v>8029</v>
      </c>
      <c r="D2625" s="41">
        <v>417</v>
      </c>
      <c r="E2625" s="41" t="s">
        <v>7304</v>
      </c>
      <c r="F2625" s="41" t="s">
        <v>53</v>
      </c>
      <c r="G2625" s="41" t="s">
        <v>64</v>
      </c>
      <c r="I2625" s="41" t="s">
        <v>7600</v>
      </c>
      <c r="J2625" s="41" t="s">
        <v>295</v>
      </c>
      <c r="K2625" s="42"/>
      <c r="L2625" s="41" t="s">
        <v>578</v>
      </c>
      <c r="M2625" s="41">
        <v>220</v>
      </c>
      <c r="N2625" s="41" t="s">
        <v>488</v>
      </c>
      <c r="O2625" s="41" t="s">
        <v>488</v>
      </c>
      <c r="P2625" s="41" t="s">
        <v>179</v>
      </c>
      <c r="Q2625" s="41" t="s">
        <v>524</v>
      </c>
      <c r="R2625" s="41" t="s">
        <v>62</v>
      </c>
      <c r="S2625" s="41" t="s">
        <v>40</v>
      </c>
      <c r="T2625" s="41" t="s">
        <v>40</v>
      </c>
      <c r="U2625" s="41" t="s">
        <v>40</v>
      </c>
    </row>
    <row r="2626" spans="1:21">
      <c r="A2626" s="41">
        <v>354</v>
      </c>
      <c r="B2626" s="41" t="s">
        <v>7968</v>
      </c>
      <c r="D2626" s="41">
        <v>300</v>
      </c>
      <c r="E2626" s="41" t="s">
        <v>7969</v>
      </c>
      <c r="F2626" s="41" t="s">
        <v>53</v>
      </c>
      <c r="G2626" s="41" t="s">
        <v>64</v>
      </c>
      <c r="I2626" s="41" t="s">
        <v>7970</v>
      </c>
      <c r="J2626" s="41" t="s">
        <v>380</v>
      </c>
      <c r="K2626" s="42"/>
      <c r="L2626" s="41" t="s">
        <v>7954</v>
      </c>
      <c r="M2626" s="41">
        <v>66</v>
      </c>
      <c r="N2626" s="41" t="s">
        <v>488</v>
      </c>
      <c r="O2626" s="41" t="s">
        <v>7971</v>
      </c>
      <c r="P2626" s="41" t="s">
        <v>37</v>
      </c>
      <c r="Q2626" s="41" t="s">
        <v>1125</v>
      </c>
      <c r="R2626" s="41" t="s">
        <v>132</v>
      </c>
      <c r="S2626" s="41" t="s">
        <v>40</v>
      </c>
      <c r="T2626" s="41" t="s">
        <v>40</v>
      </c>
      <c r="U2626" s="41" t="s">
        <v>40</v>
      </c>
    </row>
    <row r="2627" spans="1:21">
      <c r="A2627" s="41">
        <v>151</v>
      </c>
      <c r="B2627" s="41" t="s">
        <v>8030</v>
      </c>
      <c r="D2627" s="41">
        <v>330</v>
      </c>
      <c r="E2627" s="41" t="s">
        <v>3977</v>
      </c>
      <c r="F2627" s="41" t="s">
        <v>28</v>
      </c>
      <c r="G2627" s="41" t="s">
        <v>307</v>
      </c>
      <c r="I2627" s="41" t="s">
        <v>2653</v>
      </c>
      <c r="J2627" s="41" t="s">
        <v>672</v>
      </c>
      <c r="K2627" s="42"/>
      <c r="L2627" s="41" t="s">
        <v>8031</v>
      </c>
      <c r="M2627" s="41">
        <v>23</v>
      </c>
      <c r="N2627" s="41" t="s">
        <v>488</v>
      </c>
      <c r="O2627" s="41" t="s">
        <v>488</v>
      </c>
      <c r="P2627" s="41" t="s">
        <v>98</v>
      </c>
      <c r="Q2627" s="41" t="s">
        <v>98</v>
      </c>
      <c r="R2627" s="41" t="s">
        <v>39</v>
      </c>
      <c r="S2627" s="41" t="s">
        <v>40</v>
      </c>
      <c r="T2627" s="41" t="s">
        <v>40</v>
      </c>
      <c r="U2627" s="41" t="s">
        <v>40</v>
      </c>
    </row>
    <row r="2628" spans="1:21">
      <c r="A2628" s="41">
        <v>239</v>
      </c>
      <c r="B2628" s="41" t="s">
        <v>8032</v>
      </c>
      <c r="D2628" s="41">
        <v>295</v>
      </c>
      <c r="E2628" s="41" t="s">
        <v>5140</v>
      </c>
      <c r="F2628" s="41" t="s">
        <v>28</v>
      </c>
      <c r="G2628" s="41" t="s">
        <v>307</v>
      </c>
      <c r="I2628" s="41" t="s">
        <v>231</v>
      </c>
      <c r="J2628" s="41" t="s">
        <v>1652</v>
      </c>
      <c r="K2628" s="42"/>
      <c r="L2628" s="41" t="s">
        <v>8033</v>
      </c>
      <c r="M2628" s="41">
        <v>66</v>
      </c>
      <c r="N2628" s="41" t="s">
        <v>488</v>
      </c>
      <c r="O2628" s="41" t="s">
        <v>488</v>
      </c>
      <c r="P2628" s="41" t="s">
        <v>60</v>
      </c>
      <c r="Q2628" s="41" t="s">
        <v>608</v>
      </c>
      <c r="R2628" s="41" t="s">
        <v>39</v>
      </c>
      <c r="S2628" s="41" t="s">
        <v>40</v>
      </c>
      <c r="T2628" s="41" t="s">
        <v>40</v>
      </c>
      <c r="U2628" s="41" t="s">
        <v>40</v>
      </c>
    </row>
    <row r="2629" spans="1:21">
      <c r="A2629" s="41">
        <v>147</v>
      </c>
      <c r="B2629" s="41" t="s">
        <v>8034</v>
      </c>
      <c r="D2629" s="41">
        <v>294</v>
      </c>
      <c r="E2629" s="41" t="s">
        <v>8035</v>
      </c>
      <c r="F2629" s="41" t="s">
        <v>28</v>
      </c>
      <c r="G2629" s="41" t="s">
        <v>64</v>
      </c>
      <c r="I2629" s="41" t="s">
        <v>999</v>
      </c>
      <c r="J2629" s="41" t="s">
        <v>1906</v>
      </c>
      <c r="K2629" s="42"/>
      <c r="L2629" s="41" t="s">
        <v>8036</v>
      </c>
      <c r="M2629" s="41">
        <v>66</v>
      </c>
      <c r="N2629" s="41" t="s">
        <v>488</v>
      </c>
      <c r="O2629" s="41" t="s">
        <v>488</v>
      </c>
      <c r="P2629" s="41" t="s">
        <v>60</v>
      </c>
      <c r="Q2629" s="41" t="s">
        <v>472</v>
      </c>
      <c r="R2629" s="41" t="s">
        <v>39</v>
      </c>
      <c r="S2629" s="41" t="s">
        <v>40</v>
      </c>
      <c r="T2629" s="41" t="s">
        <v>40</v>
      </c>
      <c r="U2629" s="41" t="s">
        <v>40</v>
      </c>
    </row>
    <row r="2630" spans="1:21">
      <c r="A2630" s="41">
        <v>238</v>
      </c>
      <c r="B2630" s="41" t="s">
        <v>8037</v>
      </c>
      <c r="D2630" s="41">
        <v>286</v>
      </c>
      <c r="E2630" s="41" t="s">
        <v>3142</v>
      </c>
      <c r="F2630" s="41" t="s">
        <v>53</v>
      </c>
      <c r="G2630" s="41" t="s">
        <v>307</v>
      </c>
      <c r="I2630" s="41" t="s">
        <v>5625</v>
      </c>
      <c r="J2630" s="41" t="s">
        <v>1652</v>
      </c>
      <c r="K2630" s="42"/>
      <c r="L2630" s="41" t="s">
        <v>4881</v>
      </c>
      <c r="M2630" s="41">
        <v>220</v>
      </c>
      <c r="N2630" s="41" t="s">
        <v>1142</v>
      </c>
      <c r="O2630" s="41" t="s">
        <v>620</v>
      </c>
      <c r="P2630" s="41" t="s">
        <v>37</v>
      </c>
      <c r="Q2630" s="41" t="s">
        <v>38</v>
      </c>
      <c r="R2630" s="41" t="s">
        <v>62</v>
      </c>
      <c r="S2630" s="41" t="s">
        <v>8038</v>
      </c>
      <c r="T2630" s="41" t="s">
        <v>40</v>
      </c>
      <c r="U2630" s="41" t="s">
        <v>40</v>
      </c>
    </row>
    <row r="2631" spans="1:21">
      <c r="A2631" s="41">
        <v>148</v>
      </c>
      <c r="B2631" s="41" t="s">
        <v>8039</v>
      </c>
      <c r="D2631" s="41">
        <v>267</v>
      </c>
      <c r="E2631" s="41" t="s">
        <v>8040</v>
      </c>
      <c r="F2631" s="41" t="s">
        <v>28</v>
      </c>
      <c r="G2631" s="41" t="s">
        <v>64</v>
      </c>
      <c r="I2631" s="41" t="s">
        <v>1121</v>
      </c>
      <c r="J2631" s="41" t="s">
        <v>1906</v>
      </c>
      <c r="K2631" s="42"/>
      <c r="L2631" s="41" t="s">
        <v>8041</v>
      </c>
      <c r="M2631" s="41">
        <v>23</v>
      </c>
      <c r="N2631" s="41" t="s">
        <v>488</v>
      </c>
      <c r="O2631" s="41" t="s">
        <v>488</v>
      </c>
      <c r="P2631" s="41" t="s">
        <v>1046</v>
      </c>
      <c r="Q2631" s="41" t="s">
        <v>5256</v>
      </c>
      <c r="R2631" s="41" t="s">
        <v>39</v>
      </c>
      <c r="S2631" s="41" t="s">
        <v>40</v>
      </c>
      <c r="T2631" s="41" t="s">
        <v>40</v>
      </c>
      <c r="U2631" s="41" t="s">
        <v>40</v>
      </c>
    </row>
    <row r="2632" spans="1:21">
      <c r="A2632" s="41">
        <v>146</v>
      </c>
      <c r="B2632" s="41" t="s">
        <v>8042</v>
      </c>
      <c r="D2632" s="41">
        <v>268</v>
      </c>
      <c r="E2632" s="41" t="s">
        <v>8043</v>
      </c>
      <c r="F2632" s="41" t="s">
        <v>28</v>
      </c>
      <c r="G2632" s="41" t="s">
        <v>307</v>
      </c>
      <c r="I2632" s="41" t="s">
        <v>8044</v>
      </c>
      <c r="J2632" s="41" t="s">
        <v>1906</v>
      </c>
      <c r="K2632" s="42"/>
      <c r="L2632" s="41" t="s">
        <v>8045</v>
      </c>
      <c r="M2632" s="41">
        <v>220</v>
      </c>
      <c r="N2632" s="41" t="s">
        <v>488</v>
      </c>
      <c r="O2632" s="41" t="s">
        <v>488</v>
      </c>
      <c r="P2632" s="41" t="s">
        <v>60</v>
      </c>
      <c r="Q2632" s="41" t="s">
        <v>990</v>
      </c>
      <c r="R2632" s="41" t="s">
        <v>39</v>
      </c>
      <c r="S2632" s="41" t="s">
        <v>40</v>
      </c>
      <c r="T2632" s="41" t="s">
        <v>40</v>
      </c>
      <c r="U2632" s="41" t="s">
        <v>40</v>
      </c>
    </row>
    <row r="2633" spans="1:21">
      <c r="A2633" s="41">
        <v>154</v>
      </c>
      <c r="B2633" s="41" t="s">
        <v>8046</v>
      </c>
      <c r="D2633" s="41">
        <v>342</v>
      </c>
      <c r="E2633" s="41" t="s">
        <v>3504</v>
      </c>
      <c r="F2633" s="41" t="s">
        <v>28</v>
      </c>
      <c r="G2633" s="41" t="s">
        <v>64</v>
      </c>
      <c r="I2633" s="41" t="s">
        <v>8047</v>
      </c>
      <c r="J2633" s="41" t="s">
        <v>1906</v>
      </c>
      <c r="K2633" s="42"/>
      <c r="L2633" s="41" t="s">
        <v>8048</v>
      </c>
      <c r="M2633" s="41">
        <v>220</v>
      </c>
      <c r="N2633" s="41" t="s">
        <v>488</v>
      </c>
      <c r="O2633" s="41" t="s">
        <v>488</v>
      </c>
      <c r="P2633" s="41" t="s">
        <v>172</v>
      </c>
      <c r="Q2633" s="41" t="s">
        <v>1104</v>
      </c>
      <c r="R2633" s="41" t="s">
        <v>39</v>
      </c>
      <c r="S2633" s="41" t="s">
        <v>40</v>
      </c>
      <c r="T2633" s="41" t="s">
        <v>40</v>
      </c>
      <c r="U2633" s="41" t="s">
        <v>40</v>
      </c>
    </row>
    <row r="2634" spans="1:21">
      <c r="A2634" s="41">
        <v>144</v>
      </c>
      <c r="B2634" s="41" t="s">
        <v>8049</v>
      </c>
      <c r="D2634" s="41">
        <v>261</v>
      </c>
      <c r="E2634" s="41" t="s">
        <v>8050</v>
      </c>
      <c r="F2634" s="41" t="s">
        <v>28</v>
      </c>
      <c r="G2634" s="41" t="s">
        <v>64</v>
      </c>
      <c r="I2634" s="41" t="s">
        <v>5117</v>
      </c>
      <c r="J2634" s="41" t="s">
        <v>1906</v>
      </c>
      <c r="K2634" s="42"/>
      <c r="L2634" s="41" t="s">
        <v>7957</v>
      </c>
      <c r="M2634" s="41">
        <v>66</v>
      </c>
      <c r="N2634" s="41" t="s">
        <v>488</v>
      </c>
      <c r="O2634" s="41" t="s">
        <v>488</v>
      </c>
      <c r="P2634" s="41" t="s">
        <v>172</v>
      </c>
      <c r="Q2634" s="41" t="s">
        <v>3755</v>
      </c>
      <c r="R2634" s="41" t="s">
        <v>39</v>
      </c>
      <c r="S2634" s="41" t="s">
        <v>40</v>
      </c>
      <c r="T2634" s="41" t="s">
        <v>40</v>
      </c>
      <c r="U2634" s="41" t="s">
        <v>40</v>
      </c>
    </row>
    <row r="2635" spans="1:21">
      <c r="A2635" s="41">
        <v>145</v>
      </c>
      <c r="B2635" s="41" t="s">
        <v>38</v>
      </c>
      <c r="D2635" s="41">
        <v>262</v>
      </c>
      <c r="E2635" s="41" t="s">
        <v>8051</v>
      </c>
      <c r="F2635" s="41" t="s">
        <v>28</v>
      </c>
      <c r="G2635" s="41" t="s">
        <v>64</v>
      </c>
      <c r="I2635" s="41" t="s">
        <v>5377</v>
      </c>
      <c r="J2635" s="41" t="s">
        <v>1906</v>
      </c>
      <c r="K2635" s="42"/>
      <c r="L2635" s="41" t="s">
        <v>8052</v>
      </c>
      <c r="M2635" s="41">
        <v>23</v>
      </c>
      <c r="N2635" s="41" t="s">
        <v>488</v>
      </c>
      <c r="O2635" s="41" t="s">
        <v>488</v>
      </c>
      <c r="P2635" s="41" t="s">
        <v>1046</v>
      </c>
      <c r="Q2635" s="41" t="s">
        <v>5256</v>
      </c>
      <c r="R2635" s="41" t="s">
        <v>39</v>
      </c>
      <c r="S2635" s="41" t="s">
        <v>40</v>
      </c>
      <c r="T2635" s="41" t="s">
        <v>40</v>
      </c>
      <c r="U2635" s="41" t="s">
        <v>40</v>
      </c>
    </row>
    <row r="2636" spans="1:21">
      <c r="A2636" s="41">
        <v>143</v>
      </c>
      <c r="B2636" s="41" t="s">
        <v>8053</v>
      </c>
      <c r="D2636" s="41">
        <v>263</v>
      </c>
      <c r="E2636" s="41" t="s">
        <v>8054</v>
      </c>
      <c r="F2636" s="41" t="s">
        <v>28</v>
      </c>
      <c r="G2636" s="41" t="s">
        <v>64</v>
      </c>
      <c r="I2636" s="41" t="s">
        <v>1142</v>
      </c>
      <c r="J2636" s="41" t="s">
        <v>1906</v>
      </c>
      <c r="K2636" s="42"/>
      <c r="L2636" s="41" t="s">
        <v>8012</v>
      </c>
      <c r="M2636" s="41">
        <v>66</v>
      </c>
      <c r="N2636" s="41" t="s">
        <v>488</v>
      </c>
      <c r="O2636" s="41" t="s">
        <v>488</v>
      </c>
      <c r="P2636" s="41" t="s">
        <v>60</v>
      </c>
      <c r="Q2636" s="41" t="s">
        <v>472</v>
      </c>
      <c r="R2636" s="41" t="s">
        <v>39</v>
      </c>
      <c r="S2636" s="41" t="s">
        <v>40</v>
      </c>
      <c r="T2636" s="41" t="s">
        <v>40</v>
      </c>
      <c r="U2636" s="41" t="s">
        <v>40</v>
      </c>
    </row>
    <row r="2637" spans="1:21">
      <c r="A2637" s="41">
        <v>251</v>
      </c>
      <c r="B2637" s="41" t="s">
        <v>4834</v>
      </c>
      <c r="D2637" s="41">
        <v>353</v>
      </c>
      <c r="E2637" s="41" t="s">
        <v>2554</v>
      </c>
      <c r="F2637" s="41" t="s">
        <v>53</v>
      </c>
      <c r="G2637" s="41" t="s">
        <v>64</v>
      </c>
      <c r="I2637" s="41" t="s">
        <v>8055</v>
      </c>
      <c r="J2637" s="41" t="s">
        <v>1906</v>
      </c>
      <c r="K2637" s="42"/>
      <c r="L2637" s="41" t="s">
        <v>5004</v>
      </c>
      <c r="M2637" s="41">
        <v>220</v>
      </c>
      <c r="N2637" s="41" t="s">
        <v>6177</v>
      </c>
      <c r="O2637" s="41" t="s">
        <v>7688</v>
      </c>
      <c r="P2637" s="41" t="s">
        <v>37</v>
      </c>
      <c r="Q2637" s="41" t="s">
        <v>1661</v>
      </c>
      <c r="R2637" s="41" t="s">
        <v>62</v>
      </c>
      <c r="S2637" s="41" t="s">
        <v>40</v>
      </c>
      <c r="T2637" s="41" t="s">
        <v>40</v>
      </c>
      <c r="U2637" s="41" t="s">
        <v>40</v>
      </c>
    </row>
    <row r="2638" spans="1:21">
      <c r="A2638" s="41">
        <v>159</v>
      </c>
      <c r="B2638" s="41" t="s">
        <v>8056</v>
      </c>
      <c r="D2638" s="41">
        <v>413</v>
      </c>
      <c r="E2638" s="41" t="s">
        <v>8057</v>
      </c>
      <c r="F2638" s="41" t="s">
        <v>28</v>
      </c>
      <c r="G2638" s="41" t="s">
        <v>307</v>
      </c>
      <c r="I2638" s="41" t="s">
        <v>8058</v>
      </c>
      <c r="J2638" s="41" t="s">
        <v>672</v>
      </c>
      <c r="K2638" s="42"/>
      <c r="L2638" s="41" t="s">
        <v>8059</v>
      </c>
      <c r="M2638" s="41">
        <v>23</v>
      </c>
      <c r="N2638" s="41" t="s">
        <v>488</v>
      </c>
      <c r="O2638" s="41" t="s">
        <v>488</v>
      </c>
      <c r="P2638" s="41" t="s">
        <v>546</v>
      </c>
      <c r="Q2638" s="41" t="s">
        <v>547</v>
      </c>
      <c r="R2638" s="41" t="s">
        <v>39</v>
      </c>
      <c r="S2638" s="41" t="s">
        <v>40</v>
      </c>
      <c r="T2638" s="41" t="s">
        <v>40</v>
      </c>
      <c r="U2638" s="41" t="s">
        <v>40</v>
      </c>
    </row>
    <row r="2639" spans="1:21">
      <c r="A2639" s="41">
        <v>246</v>
      </c>
      <c r="B2639" s="41" t="s">
        <v>8060</v>
      </c>
      <c r="D2639" s="41">
        <v>369</v>
      </c>
      <c r="E2639" s="41" t="s">
        <v>2043</v>
      </c>
      <c r="F2639" s="41" t="s">
        <v>53</v>
      </c>
      <c r="G2639" s="41" t="s">
        <v>307</v>
      </c>
      <c r="I2639" s="41" t="s">
        <v>1042</v>
      </c>
      <c r="J2639" s="41" t="s">
        <v>295</v>
      </c>
      <c r="K2639" s="42"/>
      <c r="L2639" s="41" t="s">
        <v>4456</v>
      </c>
      <c r="M2639" s="41">
        <v>220</v>
      </c>
      <c r="N2639" s="41" t="s">
        <v>488</v>
      </c>
      <c r="O2639" s="41" t="s">
        <v>488</v>
      </c>
      <c r="P2639" s="41" t="s">
        <v>50</v>
      </c>
      <c r="Q2639" s="41" t="s">
        <v>51</v>
      </c>
      <c r="R2639" s="41" t="s">
        <v>62</v>
      </c>
      <c r="S2639" s="41" t="s">
        <v>40</v>
      </c>
      <c r="T2639" s="41" t="s">
        <v>40</v>
      </c>
      <c r="U2639" s="41" t="s">
        <v>40</v>
      </c>
    </row>
    <row r="2640" spans="1:21">
      <c r="A2640" s="41">
        <v>340</v>
      </c>
      <c r="B2640" s="41" t="s">
        <v>8061</v>
      </c>
      <c r="D2640" s="41">
        <v>370</v>
      </c>
      <c r="E2640" s="41" t="s">
        <v>8062</v>
      </c>
      <c r="F2640" s="41" t="s">
        <v>53</v>
      </c>
      <c r="G2640" s="41" t="s">
        <v>64</v>
      </c>
      <c r="I2640" s="41" t="s">
        <v>4556</v>
      </c>
      <c r="J2640" s="41" t="s">
        <v>295</v>
      </c>
      <c r="K2640" s="42"/>
      <c r="L2640" s="41" t="s">
        <v>8063</v>
      </c>
      <c r="M2640" s="41">
        <v>110</v>
      </c>
      <c r="N2640" s="41" t="s">
        <v>488</v>
      </c>
      <c r="O2640" s="41" t="s">
        <v>488</v>
      </c>
      <c r="P2640" s="41" t="s">
        <v>179</v>
      </c>
      <c r="Q2640" s="41" t="s">
        <v>284</v>
      </c>
      <c r="R2640" s="41" t="s">
        <v>132</v>
      </c>
      <c r="S2640" s="41" t="s">
        <v>40</v>
      </c>
      <c r="T2640" s="41" t="s">
        <v>40</v>
      </c>
      <c r="U2640" s="41" t="s">
        <v>40</v>
      </c>
    </row>
    <row r="2641" spans="1:21">
      <c r="A2641" s="41">
        <v>243</v>
      </c>
      <c r="B2641" s="41" t="s">
        <v>8064</v>
      </c>
      <c r="D2641" s="41">
        <v>321</v>
      </c>
      <c r="E2641" s="41" t="s">
        <v>4832</v>
      </c>
      <c r="F2641" s="41" t="s">
        <v>53</v>
      </c>
      <c r="G2641" s="41" t="s">
        <v>64</v>
      </c>
      <c r="I2641" s="41" t="s">
        <v>406</v>
      </c>
      <c r="J2641" s="41" t="s">
        <v>295</v>
      </c>
      <c r="K2641" s="42"/>
      <c r="L2641" s="41" t="s">
        <v>3337</v>
      </c>
      <c r="M2641" s="41">
        <v>66</v>
      </c>
      <c r="N2641" s="41" t="s">
        <v>6098</v>
      </c>
      <c r="O2641" s="41" t="s">
        <v>488</v>
      </c>
      <c r="P2641" s="41" t="s">
        <v>546</v>
      </c>
      <c r="Q2641" s="41" t="s">
        <v>2100</v>
      </c>
      <c r="R2641" s="41" t="s">
        <v>132</v>
      </c>
      <c r="S2641" s="41" t="s">
        <v>40</v>
      </c>
      <c r="T2641" s="41" t="s">
        <v>40</v>
      </c>
      <c r="U2641" s="41" t="s">
        <v>40</v>
      </c>
    </row>
  </sheetData>
  <autoFilter ref="A1:T264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eee71-33ce-4c0c-a60f-ec2cac2fb32c">
      <Terms xmlns="http://schemas.microsoft.com/office/infopath/2007/PartnerControls"/>
    </lcf76f155ced4ddcb4097134ff3c332f>
    <TaxCatchAll xmlns="2bafa801-4748-42a1-87c2-8368f7507f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6A83F2A16E6F4A86F692A250284BBB" ma:contentTypeVersion="12" ma:contentTypeDescription="Crear nuevo documento." ma:contentTypeScope="" ma:versionID="1abb6ca163a032c9a440299ca334f043">
  <xsd:schema xmlns:xsd="http://www.w3.org/2001/XMLSchema" xmlns:xs="http://www.w3.org/2001/XMLSchema" xmlns:p="http://schemas.microsoft.com/office/2006/metadata/properties" xmlns:ns2="69beee71-33ce-4c0c-a60f-ec2cac2fb32c" xmlns:ns3="2bafa801-4748-42a1-87c2-8368f7507f10" targetNamespace="http://schemas.microsoft.com/office/2006/metadata/properties" ma:root="true" ma:fieldsID="90891130044c0c7d945861b9915315d7" ns2:_="" ns3:_="">
    <xsd:import namespace="69beee71-33ce-4c0c-a60f-ec2cac2fb32c"/>
    <xsd:import namespace="2bafa801-4748-42a1-87c2-8368f7507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eee71-33ce-4c0c-a60f-ec2cac2fb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ead76dc-e34e-4f17-8b66-16e19172c0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fa801-4748-42a1-87c2-8368f7507f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bcca11-60a3-4951-af72-3afb8a2a3ffc}" ma:internalName="TaxCatchAll" ma:showField="CatchAllData" ma:web="2bafa801-4748-42a1-87c2-8368f7507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66A8FA-DB12-416B-AF81-184F5047E381}"/>
</file>

<file path=customXml/itemProps2.xml><?xml version="1.0" encoding="utf-8"?>
<ds:datastoreItem xmlns:ds="http://schemas.openxmlformats.org/officeDocument/2006/customXml" ds:itemID="{9D5EF457-A370-4857-83B4-9FC609D03AD1}"/>
</file>

<file path=customXml/itemProps3.xml><?xml version="1.0" encoding="utf-8"?>
<ds:datastoreItem xmlns:ds="http://schemas.openxmlformats.org/officeDocument/2006/customXml" ds:itemID="{D93CDAB8-5F03-4BC5-8689-14C786E407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Tomás Eduardo Valderrama Riquelme</dc:creator>
  <cp:keywords/>
  <dc:description/>
  <cp:lastModifiedBy/>
  <cp:revision/>
  <dcterms:created xsi:type="dcterms:W3CDTF">2025-07-23T13:51:14Z</dcterms:created>
  <dcterms:modified xsi:type="dcterms:W3CDTF">2026-10-01T05:20:35Z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0x010100216A83F2A16E6F4A86F692A250284BBB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